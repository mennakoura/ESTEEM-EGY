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mennakoura/Downloads/"/>
    </mc:Choice>
  </mc:AlternateContent>
  <xr:revisionPtr revIDLastSave="0" documentId="8_{9DF48BDD-2553-5B45-B46B-2DCFB6245EC9}" xr6:coauthVersionLast="47" xr6:coauthVersionMax="47" xr10:uidLastSave="{00000000-0000-0000-0000-000000000000}"/>
  <bookViews>
    <workbookView xWindow="0" yWindow="840" windowWidth="38400" windowHeight="24020" firstSheet="1" activeTab="14" xr2:uid="{08D9664B-A7CF-384D-BD5B-41C569D82BAC}"/>
  </bookViews>
  <sheets>
    <sheet name="IO" sheetId="1" r:id="rId1"/>
    <sheet name="SAM" sheetId="2" r:id="rId2"/>
    <sheet name="CQ" sheetId="3" r:id="rId3"/>
    <sheet name="POPQ" sheetId="4" r:id="rId4"/>
    <sheet name="THETAW" sheetId="5" r:id="rId5"/>
    <sheet name="APIQ" sheetId="6" r:id="rId6"/>
    <sheet name="SCQ" sheetId="7" r:id="rId7"/>
    <sheet name="Own-Price Elasticities" sheetId="8" r:id="rId8"/>
    <sheet name="Trade Elasticities BR" sheetId="15" r:id="rId9"/>
    <sheet name="Trade Elasticities EZ" sheetId="19" r:id="rId10"/>
    <sheet name="Comparison" sheetId="20" r:id="rId11"/>
    <sheet name="βᵖ Sector Mapping" sheetId="12" r:id="rId12"/>
    <sheet name="Subsistence (GDP Scaled)" sheetId="18" r:id="rId13"/>
    <sheet name="Subsistence (frisch)" sheetId="17" state="hidden" r:id="rId14"/>
    <sheet name="Subsidies and TK" sheetId="11" r:id="rId15"/>
  </sheets>
  <definedNames>
    <definedName name="_xlnm._FilterDatabase" localSheetId="11" hidden="1">'βᵖ Sector Mapping'!$B$1:$D$68</definedName>
    <definedName name="_JOB6" localSheetId="0">#REF!</definedName>
    <definedName name="_JOB6">#REF!</definedName>
    <definedName name="_MatInverse_In" localSheetId="0" hidden="1">#REF!</definedName>
    <definedName name="_MatInverse_In" hidden="1">#REF!</definedName>
    <definedName name="_MatInverse_Out" localSheetId="0" hidden="1">#REF!</definedName>
    <definedName name="_MatInverse_Out" hidden="1">#REF!</definedName>
    <definedName name="_MatMult_A" localSheetId="0" hidden="1">#REF!</definedName>
    <definedName name="_MatMult_A" hidden="1">#REF!</definedName>
    <definedName name="_MatMult_AxB" localSheetId="0" hidden="1">#REF!</definedName>
    <definedName name="_MatMult_AxB" hidden="1">#REF!</definedName>
    <definedName name="_MatMult_B" localSheetId="0" hidden="1">#REF!</definedName>
    <definedName name="_MatMult_B" hidden="1">#REF!</definedName>
    <definedName name="hhh" localSheetId="0">#REF!</definedName>
    <definedName name="hhh">#REF!</definedName>
    <definedName name="matrix" localSheetId="0" hidden="1">#REF!</definedName>
    <definedName name="matrix" hidden="1">#REF!</definedName>
    <definedName name="_xlnm.Print_Area" localSheetId="0">IO!$A$1:$CJ$83</definedName>
    <definedName name="Print_Area_MI" localSheetId="0">#REF!</definedName>
    <definedName name="Print_Area_MI">#REF!</definedName>
    <definedName name="Print_Titles_MI" localSheetId="0">#REF!,#REF!</definedName>
    <definedName name="Print_Titles_MI">#REF!,#REF!</definedName>
    <definedName name="use_degree_02" localSheetId="0">#REF!</definedName>
    <definedName name="use_degree_02">#REF!</definedName>
    <definedName name="use_degree_03" localSheetId="0">#REF!</definedName>
    <definedName name="use_degree_03">#REF!</definedName>
    <definedName name="use_degree_04" localSheetId="0">#REF!</definedName>
    <definedName name="use_degree_04">#REF!</definedName>
    <definedName name="use_degree_05" localSheetId="0">#REF!</definedName>
    <definedName name="use_degree_05">#REF!</definedName>
    <definedName name="ا" localSheetId="0" hidden="1">#REF!</definedName>
    <definedName name="ا" hidden="1">#REF!</definedName>
    <definedName name="فغ" localSheetId="0" hidden="1">#REF!</definedName>
    <definedName name="فغ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4" l="1"/>
  <c r="G29" i="7"/>
  <c r="H14" i="7"/>
  <c r="B79" i="5"/>
  <c r="F15" i="5"/>
  <c r="J15" i="11"/>
  <c r="J17" i="11" s="1"/>
  <c r="G15" i="11"/>
  <c r="G17" i="11" s="1"/>
  <c r="H15" i="11"/>
  <c r="H17" i="11" s="1"/>
  <c r="I15" i="11"/>
  <c r="I17" i="11" s="1"/>
  <c r="C15" i="11"/>
  <c r="C17" i="11" s="1"/>
  <c r="D15" i="11"/>
  <c r="D17" i="11" s="1"/>
  <c r="E15" i="11"/>
  <c r="E17" i="11" s="1"/>
  <c r="F15" i="11"/>
  <c r="F17" i="11" s="1"/>
  <c r="B15" i="11"/>
  <c r="B17" i="11" s="1"/>
  <c r="E31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8" i="15"/>
  <c r="E7" i="15"/>
  <c r="E6" i="15"/>
  <c r="G40" i="7"/>
  <c r="G38" i="7"/>
  <c r="G37" i="7"/>
  <c r="G36" i="7"/>
  <c r="G35" i="7"/>
  <c r="G34" i="7"/>
  <c r="G33" i="7"/>
  <c r="G32" i="7"/>
  <c r="G31" i="7"/>
  <c r="G30" i="7"/>
  <c r="I25" i="7"/>
  <c r="G25" i="7"/>
  <c r="H25" i="7" s="1"/>
  <c r="H23" i="7"/>
  <c r="H22" i="7"/>
  <c r="H21" i="7"/>
  <c r="H20" i="7"/>
  <c r="H19" i="7"/>
  <c r="H18" i="7"/>
  <c r="H17" i="7"/>
  <c r="H16" i="7"/>
  <c r="H15" i="7"/>
  <c r="E8" i="7"/>
  <c r="D8" i="7"/>
  <c r="C8" i="7"/>
  <c r="B8" i="7"/>
  <c r="E5" i="7"/>
  <c r="D5" i="7"/>
  <c r="C5" i="7"/>
  <c r="B5" i="7"/>
  <c r="A5" i="7"/>
  <c r="A8" i="7" s="1"/>
  <c r="B23" i="6"/>
  <c r="F2" i="6" s="1"/>
  <c r="F5" i="6" s="1"/>
  <c r="K2" i="6"/>
  <c r="J2" i="6"/>
  <c r="C2" i="6"/>
  <c r="B2" i="6"/>
  <c r="C106" i="5"/>
  <c r="C105" i="5"/>
  <c r="C104" i="5"/>
  <c r="C103" i="5"/>
  <c r="C102" i="5"/>
  <c r="C101" i="5"/>
  <c r="C100" i="5"/>
  <c r="C99" i="5"/>
  <c r="C98" i="5"/>
  <c r="C97" i="5"/>
  <c r="C93" i="5"/>
  <c r="C92" i="5"/>
  <c r="C91" i="5"/>
  <c r="C90" i="5"/>
  <c r="C89" i="5"/>
  <c r="C88" i="5"/>
  <c r="C87" i="5"/>
  <c r="C86" i="5"/>
  <c r="C85" i="5"/>
  <c r="C84" i="5"/>
  <c r="C94" i="5" s="1"/>
  <c r="F79" i="5"/>
  <c r="E79" i="5"/>
  <c r="D79" i="5"/>
  <c r="C79" i="5"/>
  <c r="F68" i="5"/>
  <c r="E68" i="5"/>
  <c r="D68" i="5"/>
  <c r="C68" i="5"/>
  <c r="B68" i="5"/>
  <c r="F67" i="5"/>
  <c r="E67" i="5"/>
  <c r="D67" i="5"/>
  <c r="C67" i="5"/>
  <c r="B67" i="5"/>
  <c r="F66" i="5"/>
  <c r="E66" i="5"/>
  <c r="D66" i="5"/>
  <c r="C66" i="5"/>
  <c r="B66" i="5"/>
  <c r="F65" i="5"/>
  <c r="E65" i="5"/>
  <c r="D65" i="5"/>
  <c r="C65" i="5"/>
  <c r="B65" i="5"/>
  <c r="F64" i="5"/>
  <c r="E64" i="5"/>
  <c r="D64" i="5"/>
  <c r="C64" i="5"/>
  <c r="B64" i="5"/>
  <c r="F63" i="5"/>
  <c r="E63" i="5"/>
  <c r="D63" i="5"/>
  <c r="C63" i="5"/>
  <c r="B63" i="5"/>
  <c r="F62" i="5"/>
  <c r="E62" i="5"/>
  <c r="D62" i="5"/>
  <c r="C62" i="5"/>
  <c r="B62" i="5"/>
  <c r="F61" i="5"/>
  <c r="E61" i="5"/>
  <c r="D61" i="5"/>
  <c r="C61" i="5"/>
  <c r="B61" i="5"/>
  <c r="F60" i="5"/>
  <c r="E60" i="5"/>
  <c r="D60" i="5"/>
  <c r="C60" i="5"/>
  <c r="B60" i="5"/>
  <c r="F59" i="5"/>
  <c r="E59" i="5"/>
  <c r="D59" i="5"/>
  <c r="C59" i="5"/>
  <c r="B59" i="5"/>
  <c r="F58" i="5"/>
  <c r="E58" i="5"/>
  <c r="D58" i="5"/>
  <c r="C58" i="5"/>
  <c r="B58" i="5"/>
  <c r="F57" i="5"/>
  <c r="E57" i="5"/>
  <c r="D57" i="5"/>
  <c r="C57" i="5"/>
  <c r="B57" i="5"/>
  <c r="F56" i="5"/>
  <c r="E56" i="5"/>
  <c r="D56" i="5"/>
  <c r="C56" i="5"/>
  <c r="B56" i="5"/>
  <c r="F55" i="5"/>
  <c r="E55" i="5"/>
  <c r="D55" i="5"/>
  <c r="C55" i="5"/>
  <c r="B55" i="5"/>
  <c r="F54" i="5"/>
  <c r="E54" i="5"/>
  <c r="D54" i="5"/>
  <c r="C54" i="5"/>
  <c r="B54" i="5"/>
  <c r="F53" i="5"/>
  <c r="E53" i="5"/>
  <c r="D53" i="5"/>
  <c r="C53" i="5"/>
  <c r="B53" i="5"/>
  <c r="F52" i="5"/>
  <c r="E52" i="5"/>
  <c r="D52" i="5"/>
  <c r="C52" i="5"/>
  <c r="B52" i="5"/>
  <c r="F51" i="5"/>
  <c r="E51" i="5"/>
  <c r="D51" i="5"/>
  <c r="C51" i="5"/>
  <c r="B51" i="5"/>
  <c r="F50" i="5"/>
  <c r="E50" i="5"/>
  <c r="D50" i="5"/>
  <c r="C50" i="5"/>
  <c r="B50" i="5"/>
  <c r="F49" i="5"/>
  <c r="E49" i="5"/>
  <c r="D49" i="5"/>
  <c r="C49" i="5"/>
  <c r="B49" i="5"/>
  <c r="F48" i="5"/>
  <c r="E48" i="5"/>
  <c r="D48" i="5"/>
  <c r="C48" i="5"/>
  <c r="B48" i="5"/>
  <c r="F47" i="5"/>
  <c r="E47" i="5"/>
  <c r="D47" i="5"/>
  <c r="C47" i="5"/>
  <c r="B47" i="5"/>
  <c r="F46" i="5"/>
  <c r="E46" i="5"/>
  <c r="D46" i="5"/>
  <c r="C46" i="5"/>
  <c r="B46" i="5"/>
  <c r="F45" i="5"/>
  <c r="E45" i="5"/>
  <c r="D45" i="5"/>
  <c r="C45" i="5"/>
  <c r="B45" i="5"/>
  <c r="F44" i="5"/>
  <c r="E44" i="5"/>
  <c r="D44" i="5"/>
  <c r="C44" i="5"/>
  <c r="B44" i="5"/>
  <c r="F43" i="5"/>
  <c r="E43" i="5"/>
  <c r="D43" i="5"/>
  <c r="C43" i="5"/>
  <c r="B43" i="5"/>
  <c r="F42" i="5"/>
  <c r="E42" i="5"/>
  <c r="D42" i="5"/>
  <c r="C42" i="5"/>
  <c r="B42" i="5"/>
  <c r="F41" i="5"/>
  <c r="E41" i="5"/>
  <c r="D41" i="5"/>
  <c r="C41" i="5"/>
  <c r="B41" i="5"/>
  <c r="F40" i="5"/>
  <c r="E40" i="5"/>
  <c r="D40" i="5"/>
  <c r="C40" i="5"/>
  <c r="B40" i="5"/>
  <c r="F39" i="5"/>
  <c r="E39" i="5"/>
  <c r="D39" i="5"/>
  <c r="C39" i="5"/>
  <c r="B39" i="5"/>
  <c r="F38" i="5"/>
  <c r="E38" i="5"/>
  <c r="D38" i="5"/>
  <c r="C38" i="5"/>
  <c r="B38" i="5"/>
  <c r="F37" i="5"/>
  <c r="E37" i="5"/>
  <c r="D37" i="5"/>
  <c r="C37" i="5"/>
  <c r="B37" i="5"/>
  <c r="F36" i="5"/>
  <c r="E36" i="5"/>
  <c r="D36" i="5"/>
  <c r="C36" i="5"/>
  <c r="B36" i="5"/>
  <c r="F35" i="5"/>
  <c r="E35" i="5"/>
  <c r="D35" i="5"/>
  <c r="C35" i="5"/>
  <c r="B35" i="5"/>
  <c r="F34" i="5"/>
  <c r="E34" i="5"/>
  <c r="D34" i="5"/>
  <c r="C34" i="5"/>
  <c r="B34" i="5"/>
  <c r="F33" i="5"/>
  <c r="E33" i="5"/>
  <c r="D33" i="5"/>
  <c r="C33" i="5"/>
  <c r="B33" i="5"/>
  <c r="F32" i="5"/>
  <c r="E32" i="5"/>
  <c r="D32" i="5"/>
  <c r="C32" i="5"/>
  <c r="B32" i="5"/>
  <c r="F31" i="5"/>
  <c r="E31" i="5"/>
  <c r="D31" i="5"/>
  <c r="C31" i="5"/>
  <c r="B31" i="5"/>
  <c r="F30" i="5"/>
  <c r="E30" i="5"/>
  <c r="D30" i="5"/>
  <c r="C30" i="5"/>
  <c r="B30" i="5"/>
  <c r="F29" i="5"/>
  <c r="E29" i="5"/>
  <c r="D29" i="5"/>
  <c r="C29" i="5"/>
  <c r="B29" i="5"/>
  <c r="F28" i="5"/>
  <c r="E28" i="5"/>
  <c r="D28" i="5"/>
  <c r="C28" i="5"/>
  <c r="B28" i="5"/>
  <c r="F27" i="5"/>
  <c r="E27" i="5"/>
  <c r="D27" i="5"/>
  <c r="C27" i="5"/>
  <c r="B27" i="5"/>
  <c r="F26" i="5"/>
  <c r="E26" i="5"/>
  <c r="D26" i="5"/>
  <c r="C26" i="5"/>
  <c r="B26" i="5"/>
  <c r="F25" i="5"/>
  <c r="E25" i="5"/>
  <c r="D25" i="5"/>
  <c r="C25" i="5"/>
  <c r="B25" i="5"/>
  <c r="F24" i="5"/>
  <c r="E24" i="5"/>
  <c r="D24" i="5"/>
  <c r="C24" i="5"/>
  <c r="B24" i="5"/>
  <c r="F23" i="5"/>
  <c r="E23" i="5"/>
  <c r="D23" i="5"/>
  <c r="C23" i="5"/>
  <c r="B23" i="5"/>
  <c r="F22" i="5"/>
  <c r="E22" i="5"/>
  <c r="D22" i="5"/>
  <c r="C22" i="5"/>
  <c r="B22" i="5"/>
  <c r="F21" i="5"/>
  <c r="E21" i="5"/>
  <c r="D21" i="5"/>
  <c r="C21" i="5"/>
  <c r="B21" i="5"/>
  <c r="F20" i="5"/>
  <c r="E20" i="5"/>
  <c r="D20" i="5"/>
  <c r="C20" i="5"/>
  <c r="B20" i="5"/>
  <c r="F19" i="5"/>
  <c r="E19" i="5"/>
  <c r="D19" i="5"/>
  <c r="C19" i="5"/>
  <c r="B19" i="5"/>
  <c r="F18" i="5"/>
  <c r="E18" i="5"/>
  <c r="D18" i="5"/>
  <c r="C18" i="5"/>
  <c r="B18" i="5"/>
  <c r="F17" i="5"/>
  <c r="E17" i="5"/>
  <c r="D17" i="5"/>
  <c r="C17" i="5"/>
  <c r="B17" i="5"/>
  <c r="F16" i="5"/>
  <c r="E16" i="5"/>
  <c r="D16" i="5"/>
  <c r="C16" i="5"/>
  <c r="B16" i="5"/>
  <c r="E15" i="5"/>
  <c r="D15" i="5"/>
  <c r="C15" i="5"/>
  <c r="B15" i="5"/>
  <c r="F14" i="5"/>
  <c r="E14" i="5"/>
  <c r="D14" i="5"/>
  <c r="C14" i="5"/>
  <c r="B14" i="5"/>
  <c r="F13" i="5"/>
  <c r="E13" i="5"/>
  <c r="D13" i="5"/>
  <c r="C13" i="5"/>
  <c r="B13" i="5"/>
  <c r="F12" i="5"/>
  <c r="E12" i="5"/>
  <c r="D12" i="5"/>
  <c r="C12" i="5"/>
  <c r="B12" i="5"/>
  <c r="F11" i="5"/>
  <c r="E11" i="5"/>
  <c r="D11" i="5"/>
  <c r="C11" i="5"/>
  <c r="B11" i="5"/>
  <c r="F10" i="5"/>
  <c r="E10" i="5"/>
  <c r="D10" i="5"/>
  <c r="C10" i="5"/>
  <c r="B10" i="5"/>
  <c r="F9" i="5"/>
  <c r="E9" i="5"/>
  <c r="D9" i="5"/>
  <c r="C9" i="5"/>
  <c r="B9" i="5"/>
  <c r="F8" i="5"/>
  <c r="E8" i="5"/>
  <c r="D8" i="5"/>
  <c r="C8" i="5"/>
  <c r="B8" i="5"/>
  <c r="F7" i="5"/>
  <c r="E7" i="5"/>
  <c r="D7" i="5"/>
  <c r="C7" i="5"/>
  <c r="B7" i="5"/>
  <c r="F6" i="5"/>
  <c r="E6" i="5"/>
  <c r="D6" i="5"/>
  <c r="C6" i="5"/>
  <c r="B6" i="5"/>
  <c r="F5" i="5"/>
  <c r="E5" i="5"/>
  <c r="D5" i="5"/>
  <c r="C5" i="5"/>
  <c r="B5" i="5"/>
  <c r="F4" i="5"/>
  <c r="E4" i="5"/>
  <c r="D4" i="5"/>
  <c r="C4" i="5"/>
  <c r="B4" i="5"/>
  <c r="F3" i="5"/>
  <c r="E3" i="5"/>
  <c r="E69" i="5" s="1"/>
  <c r="D3" i="5"/>
  <c r="C3" i="5"/>
  <c r="B3" i="5"/>
  <c r="F2" i="5"/>
  <c r="E2" i="5"/>
  <c r="D2" i="5"/>
  <c r="C2" i="5"/>
  <c r="B2" i="5"/>
  <c r="B2" i="4"/>
  <c r="I69" i="3"/>
  <c r="I68" i="3"/>
  <c r="C68" i="3" s="1"/>
  <c r="F68" i="3"/>
  <c r="I67" i="3"/>
  <c r="E67" i="3" s="1"/>
  <c r="B67" i="3"/>
  <c r="I66" i="3"/>
  <c r="C66" i="3" s="1"/>
  <c r="F66" i="3"/>
  <c r="E66" i="3"/>
  <c r="D66" i="3"/>
  <c r="I65" i="3"/>
  <c r="F65" i="3" s="1"/>
  <c r="I64" i="3"/>
  <c r="F64" i="3" s="1"/>
  <c r="I63" i="3"/>
  <c r="B63" i="3" s="1"/>
  <c r="F63" i="3"/>
  <c r="D63" i="3"/>
  <c r="C63" i="3"/>
  <c r="I62" i="3"/>
  <c r="E62" i="3" s="1"/>
  <c r="F62" i="3"/>
  <c r="B62" i="3"/>
  <c r="I61" i="3"/>
  <c r="F61" i="3" s="1"/>
  <c r="E61" i="3"/>
  <c r="D61" i="3"/>
  <c r="C61" i="3"/>
  <c r="B61" i="3"/>
  <c r="I60" i="3"/>
  <c r="F60" i="3" s="1"/>
  <c r="I59" i="3"/>
  <c r="F59" i="3" s="1"/>
  <c r="I58" i="3"/>
  <c r="B58" i="3" s="1"/>
  <c r="D58" i="3"/>
  <c r="C58" i="3"/>
  <c r="I57" i="3"/>
  <c r="E57" i="3" s="1"/>
  <c r="I56" i="3"/>
  <c r="D56" i="3" s="1"/>
  <c r="F56" i="3"/>
  <c r="E56" i="3"/>
  <c r="B56" i="3"/>
  <c r="I55" i="3"/>
  <c r="F55" i="3" s="1"/>
  <c r="D55" i="3"/>
  <c r="B55" i="3"/>
  <c r="I54" i="3"/>
  <c r="F54" i="3" s="1"/>
  <c r="I53" i="3"/>
  <c r="B53" i="3" s="1"/>
  <c r="F53" i="3"/>
  <c r="D53" i="3"/>
  <c r="I52" i="3"/>
  <c r="E52" i="3" s="1"/>
  <c r="F52" i="3"/>
  <c r="B52" i="3"/>
  <c r="I51" i="3"/>
  <c r="F51" i="3" s="1"/>
  <c r="I50" i="3"/>
  <c r="F50" i="3" s="1"/>
  <c r="D50" i="3"/>
  <c r="B50" i="3"/>
  <c r="I49" i="3"/>
  <c r="F49" i="3" s="1"/>
  <c r="I48" i="3"/>
  <c r="B48" i="3" s="1"/>
  <c r="I47" i="3"/>
  <c r="E47" i="3" s="1"/>
  <c r="F47" i="3"/>
  <c r="I46" i="3"/>
  <c r="F46" i="3"/>
  <c r="E46" i="3"/>
  <c r="D46" i="3"/>
  <c r="C46" i="3"/>
  <c r="B46" i="3"/>
  <c r="I45" i="3"/>
  <c r="F45" i="3" s="1"/>
  <c r="D45" i="3"/>
  <c r="B45" i="3"/>
  <c r="I44" i="3"/>
  <c r="F44" i="3" s="1"/>
  <c r="I43" i="3"/>
  <c r="B43" i="3" s="1"/>
  <c r="F43" i="3"/>
  <c r="D43" i="3"/>
  <c r="C43" i="3"/>
  <c r="I42" i="3"/>
  <c r="E42" i="3" s="1"/>
  <c r="F42" i="3"/>
  <c r="I41" i="3"/>
  <c r="D41" i="3" s="1"/>
  <c r="F41" i="3"/>
  <c r="E41" i="3"/>
  <c r="B41" i="3"/>
  <c r="I40" i="3"/>
  <c r="F40" i="3" s="1"/>
  <c r="D40" i="3"/>
  <c r="B40" i="3"/>
  <c r="I39" i="3"/>
  <c r="F39" i="3" s="1"/>
  <c r="I38" i="3"/>
  <c r="B38" i="3" s="1"/>
  <c r="F38" i="3"/>
  <c r="D38" i="3"/>
  <c r="I37" i="3"/>
  <c r="E37" i="3" s="1"/>
  <c r="F37" i="3"/>
  <c r="I36" i="3"/>
  <c r="C36" i="3" s="1"/>
  <c r="F36" i="3"/>
  <c r="E36" i="3"/>
  <c r="D36" i="3"/>
  <c r="I35" i="3"/>
  <c r="F35" i="3" s="1"/>
  <c r="I34" i="3"/>
  <c r="F34" i="3" s="1"/>
  <c r="I33" i="3"/>
  <c r="B33" i="3" s="1"/>
  <c r="F33" i="3"/>
  <c r="D33" i="3"/>
  <c r="C33" i="3"/>
  <c r="I32" i="3"/>
  <c r="E32" i="3" s="1"/>
  <c r="F32" i="3"/>
  <c r="I31" i="3"/>
  <c r="F31" i="3" s="1"/>
  <c r="B31" i="3"/>
  <c r="I30" i="3"/>
  <c r="F30" i="3" s="1"/>
  <c r="I29" i="3"/>
  <c r="F29" i="3" s="1"/>
  <c r="I28" i="3"/>
  <c r="B28" i="3" s="1"/>
  <c r="F28" i="3"/>
  <c r="D28" i="3"/>
  <c r="I27" i="3"/>
  <c r="D27" i="3" s="1"/>
  <c r="F27" i="3"/>
  <c r="E27" i="3"/>
  <c r="B27" i="3"/>
  <c r="I26" i="3"/>
  <c r="B26" i="3" s="1"/>
  <c r="F26" i="3"/>
  <c r="I25" i="3"/>
  <c r="F25" i="3" s="1"/>
  <c r="I24" i="3"/>
  <c r="F24" i="3" s="1"/>
  <c r="I23" i="3"/>
  <c r="B23" i="3" s="1"/>
  <c r="F23" i="3"/>
  <c r="D23" i="3"/>
  <c r="C23" i="3"/>
  <c r="I22" i="3"/>
  <c r="D22" i="3" s="1"/>
  <c r="F22" i="3"/>
  <c r="E22" i="3"/>
  <c r="I21" i="3"/>
  <c r="F21" i="3"/>
  <c r="E21" i="3"/>
  <c r="D21" i="3"/>
  <c r="C21" i="3"/>
  <c r="B21" i="3"/>
  <c r="I20" i="3"/>
  <c r="F20" i="3" s="1"/>
  <c r="I19" i="3"/>
  <c r="F19" i="3" s="1"/>
  <c r="I18" i="3"/>
  <c r="B18" i="3" s="1"/>
  <c r="I17" i="3"/>
  <c r="D17" i="3" s="1"/>
  <c r="F17" i="3"/>
  <c r="E17" i="3"/>
  <c r="B17" i="3"/>
  <c r="I16" i="3"/>
  <c r="D16" i="3" s="1"/>
  <c r="F16" i="3"/>
  <c r="E16" i="3"/>
  <c r="B16" i="3"/>
  <c r="I15" i="3"/>
  <c r="F15" i="3" s="1"/>
  <c r="I14" i="3"/>
  <c r="F14" i="3" s="1"/>
  <c r="I13" i="3"/>
  <c r="B13" i="3" s="1"/>
  <c r="F13" i="3"/>
  <c r="I12" i="3"/>
  <c r="D12" i="3" s="1"/>
  <c r="I11" i="3"/>
  <c r="B11" i="3" s="1"/>
  <c r="F11" i="3"/>
  <c r="E11" i="3"/>
  <c r="D11" i="3"/>
  <c r="C11" i="3"/>
  <c r="I10" i="3"/>
  <c r="F10" i="3" s="1"/>
  <c r="I9" i="3"/>
  <c r="F9" i="3" s="1"/>
  <c r="I8" i="3"/>
  <c r="B8" i="3" s="1"/>
  <c r="F8" i="3"/>
  <c r="D8" i="3"/>
  <c r="C8" i="3"/>
  <c r="I7" i="3"/>
  <c r="D7" i="3" s="1"/>
  <c r="I6" i="3"/>
  <c r="D6" i="3" s="1"/>
  <c r="F6" i="3"/>
  <c r="E6" i="3"/>
  <c r="B6" i="3"/>
  <c r="I5" i="3"/>
  <c r="F5" i="3" s="1"/>
  <c r="I4" i="3"/>
  <c r="F4" i="3" s="1"/>
  <c r="I3" i="3"/>
  <c r="B3" i="3" s="1"/>
  <c r="F3" i="3"/>
  <c r="I2" i="3"/>
  <c r="D2" i="3" s="1"/>
  <c r="EN168" i="2"/>
  <c r="EN167" i="2"/>
  <c r="EN166" i="2"/>
  <c r="EN165" i="2"/>
  <c r="EN164" i="2"/>
  <c r="EN163" i="2"/>
  <c r="EN162" i="2"/>
  <c r="EN161" i="2"/>
  <c r="EN160" i="2"/>
  <c r="EN159" i="2"/>
  <c r="BR88" i="1"/>
  <c r="BQ88" i="1"/>
  <c r="BP88" i="1"/>
  <c r="BO88" i="1"/>
  <c r="BN88" i="1"/>
  <c r="BM88" i="1"/>
  <c r="BL88" i="1"/>
  <c r="BK88" i="1"/>
  <c r="BJ88" i="1"/>
  <c r="BI88" i="1"/>
  <c r="BH88" i="1"/>
  <c r="BG88" i="1"/>
  <c r="BF88" i="1"/>
  <c r="BE88" i="1"/>
  <c r="BD88" i="1"/>
  <c r="BC88" i="1"/>
  <c r="BB88" i="1"/>
  <c r="BA88" i="1"/>
  <c r="AZ88" i="1"/>
  <c r="AY88" i="1"/>
  <c r="AX88" i="1"/>
  <c r="AW88" i="1"/>
  <c r="AV88" i="1"/>
  <c r="AU88" i="1"/>
  <c r="AT88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R85" i="1"/>
  <c r="B69" i="5" l="1"/>
  <c r="G2" i="6"/>
  <c r="B5" i="6" s="1"/>
  <c r="B51" i="3"/>
  <c r="C13" i="3"/>
  <c r="D26" i="3"/>
  <c r="B36" i="3"/>
  <c r="B60" i="3"/>
  <c r="B66" i="3"/>
  <c r="C26" i="3"/>
  <c r="C3" i="3"/>
  <c r="C51" i="3"/>
  <c r="C69" i="5"/>
  <c r="H2" i="6"/>
  <c r="C5" i="6" s="1"/>
  <c r="D3" i="3"/>
  <c r="D13" i="3"/>
  <c r="E26" i="3"/>
  <c r="C48" i="3"/>
  <c r="D51" i="3"/>
  <c r="D60" i="3"/>
  <c r="D69" i="5"/>
  <c r="I2" i="6"/>
  <c r="E7" i="3"/>
  <c r="D48" i="3"/>
  <c r="E51" i="3"/>
  <c r="B57" i="3"/>
  <c r="A2" i="4"/>
  <c r="F7" i="3"/>
  <c r="F48" i="3"/>
  <c r="F57" i="3"/>
  <c r="C31" i="3"/>
  <c r="B85" i="5"/>
  <c r="E2" i="3"/>
  <c r="C6" i="3"/>
  <c r="E12" i="3"/>
  <c r="C16" i="3"/>
  <c r="D18" i="3"/>
  <c r="E31" i="3"/>
  <c r="B35" i="3"/>
  <c r="C41" i="3"/>
  <c r="C56" i="3"/>
  <c r="F58" i="3"/>
  <c r="B65" i="3"/>
  <c r="F67" i="3"/>
  <c r="E2" i="6"/>
  <c r="E5" i="6" s="1"/>
  <c r="C18" i="3"/>
  <c r="D31" i="3"/>
  <c r="D2" i="6"/>
  <c r="D5" i="6" s="1"/>
  <c r="F2" i="3"/>
  <c r="F69" i="3" s="1"/>
  <c r="F12" i="3"/>
  <c r="F18" i="3"/>
  <c r="B22" i="3"/>
  <c r="C28" i="3"/>
  <c r="D35" i="3"/>
  <c r="C38" i="3"/>
  <c r="B47" i="3"/>
  <c r="C53" i="3"/>
  <c r="D65" i="3"/>
  <c r="F69" i="5"/>
  <c r="B92" i="5"/>
  <c r="B86" i="5"/>
  <c r="B87" i="5"/>
  <c r="B91" i="5"/>
  <c r="B88" i="5"/>
  <c r="B89" i="5"/>
  <c r="B90" i="5"/>
  <c r="B93" i="5"/>
  <c r="G79" i="5"/>
  <c r="D80" i="5" s="1"/>
  <c r="B84" i="5"/>
  <c r="D68" i="3"/>
  <c r="B5" i="3"/>
  <c r="B10" i="3"/>
  <c r="B15" i="3"/>
  <c r="B20" i="3"/>
  <c r="B25" i="3"/>
  <c r="B30" i="3"/>
  <c r="E3" i="3"/>
  <c r="C5" i="3"/>
  <c r="E8" i="3"/>
  <c r="C10" i="3"/>
  <c r="E13" i="3"/>
  <c r="C15" i="3"/>
  <c r="E18" i="3"/>
  <c r="C20" i="3"/>
  <c r="E23" i="3"/>
  <c r="C25" i="3"/>
  <c r="E28" i="3"/>
  <c r="C30" i="3"/>
  <c r="E33" i="3"/>
  <c r="C35" i="3"/>
  <c r="E38" i="3"/>
  <c r="C40" i="3"/>
  <c r="E43" i="3"/>
  <c r="C45" i="3"/>
  <c r="E48" i="3"/>
  <c r="C50" i="3"/>
  <c r="E53" i="3"/>
  <c r="C55" i="3"/>
  <c r="E58" i="3"/>
  <c r="C60" i="3"/>
  <c r="E63" i="3"/>
  <c r="C65" i="3"/>
  <c r="E68" i="3"/>
  <c r="B2" i="3"/>
  <c r="B7" i="3"/>
  <c r="B12" i="3"/>
  <c r="D15" i="3"/>
  <c r="D20" i="3"/>
  <c r="D25" i="3"/>
  <c r="B32" i="3"/>
  <c r="B42" i="3"/>
  <c r="C2" i="3"/>
  <c r="E5" i="3"/>
  <c r="C7" i="3"/>
  <c r="E10" i="3"/>
  <c r="C12" i="3"/>
  <c r="E15" i="3"/>
  <c r="C17" i="3"/>
  <c r="E20" i="3"/>
  <c r="C22" i="3"/>
  <c r="E25" i="3"/>
  <c r="C27" i="3"/>
  <c r="E30" i="3"/>
  <c r="C32" i="3"/>
  <c r="E35" i="3"/>
  <c r="C37" i="3"/>
  <c r="E40" i="3"/>
  <c r="C42" i="3"/>
  <c r="E45" i="3"/>
  <c r="C47" i="3"/>
  <c r="E50" i="3"/>
  <c r="C52" i="3"/>
  <c r="E55" i="3"/>
  <c r="C57" i="3"/>
  <c r="E60" i="3"/>
  <c r="C62" i="3"/>
  <c r="E65" i="3"/>
  <c r="C67" i="3"/>
  <c r="D5" i="3"/>
  <c r="D10" i="3"/>
  <c r="D30" i="3"/>
  <c r="B37" i="3"/>
  <c r="B4" i="3"/>
  <c r="B9" i="3"/>
  <c r="B14" i="3"/>
  <c r="B19" i="3"/>
  <c r="B24" i="3"/>
  <c r="B29" i="3"/>
  <c r="D32" i="3"/>
  <c r="B34" i="3"/>
  <c r="D37" i="3"/>
  <c r="B39" i="3"/>
  <c r="D42" i="3"/>
  <c r="B44" i="3"/>
  <c r="D47" i="3"/>
  <c r="B49" i="3"/>
  <c r="D52" i="3"/>
  <c r="B54" i="3"/>
  <c r="D57" i="3"/>
  <c r="B59" i="3"/>
  <c r="D62" i="3"/>
  <c r="B64" i="3"/>
  <c r="D67" i="3"/>
  <c r="C4" i="3"/>
  <c r="C9" i="3"/>
  <c r="C14" i="3"/>
  <c r="C19" i="3"/>
  <c r="C24" i="3"/>
  <c r="C29" i="3"/>
  <c r="C34" i="3"/>
  <c r="C39" i="3"/>
  <c r="C44" i="3"/>
  <c r="C49" i="3"/>
  <c r="C54" i="3"/>
  <c r="C59" i="3"/>
  <c r="C64" i="3"/>
  <c r="D9" i="3"/>
  <c r="D24" i="3"/>
  <c r="D29" i="3"/>
  <c r="D34" i="3"/>
  <c r="D39" i="3"/>
  <c r="D44" i="3"/>
  <c r="D49" i="3"/>
  <c r="D54" i="3"/>
  <c r="D59" i="3"/>
  <c r="D64" i="3"/>
  <c r="D4" i="3"/>
  <c r="D14" i="3"/>
  <c r="D19" i="3"/>
  <c r="E4" i="3"/>
  <c r="E9" i="3"/>
  <c r="E14" i="3"/>
  <c r="E19" i="3"/>
  <c r="E24" i="3"/>
  <c r="E29" i="3"/>
  <c r="E34" i="3"/>
  <c r="E39" i="3"/>
  <c r="E44" i="3"/>
  <c r="E49" i="3"/>
  <c r="E54" i="3"/>
  <c r="E59" i="3"/>
  <c r="E64" i="3"/>
  <c r="B68" i="3"/>
  <c r="F80" i="5" l="1"/>
  <c r="E80" i="5"/>
  <c r="E69" i="3"/>
  <c r="D69" i="3"/>
  <c r="C80" i="5"/>
  <c r="B80" i="5"/>
  <c r="B69" i="3"/>
  <c r="C69" i="3"/>
</calcChain>
</file>

<file path=xl/sharedStrings.xml><?xml version="1.0" encoding="utf-8"?>
<sst xmlns="http://schemas.openxmlformats.org/spreadsheetml/2006/main" count="2838" uniqueCount="1207">
  <si>
    <t>جدول (3): المدخلات والمخرجات عام 2017/2016 بالأسعار الأساسية وفقاً للأنشطة الاقتصادية</t>
  </si>
  <si>
    <t>Table No.(3):Input-Output Table for year 2016/2017 at Basic Prices according to Economic Activities</t>
  </si>
  <si>
    <t>القيمة بالألف جنيه</t>
  </si>
  <si>
    <t>Value at Thousand LE</t>
  </si>
  <si>
    <t>كود النشاط الاقتصادي</t>
  </si>
  <si>
    <t>المخرجات</t>
  </si>
  <si>
    <t>01</t>
  </si>
  <si>
    <t>03</t>
  </si>
  <si>
    <t>07--09</t>
  </si>
  <si>
    <t>36+37+38</t>
  </si>
  <si>
    <t>41-43</t>
  </si>
  <si>
    <t>45 - 47</t>
  </si>
  <si>
    <t>49-50-51-53</t>
  </si>
  <si>
    <t>55-56</t>
  </si>
  <si>
    <t>61-62-63</t>
  </si>
  <si>
    <t>86-87-88</t>
  </si>
  <si>
    <t>جملة الطلب الوسيط</t>
  </si>
  <si>
    <t>الانفاق الاستهلاكى النهائى
final consumption expenditure</t>
  </si>
  <si>
    <t xml:space="preserve">  التكوين الرأسمالي 
Capital Formation</t>
  </si>
  <si>
    <t>الصادرات
Exports</t>
  </si>
  <si>
    <t>جملة الطلب النهائي</t>
  </si>
  <si>
    <t>إجمالى الواردات</t>
  </si>
  <si>
    <t>إجمالي المخرجات بالأسعار الأساسية</t>
  </si>
  <si>
    <t xml:space="preserve">                             Outputs</t>
  </si>
  <si>
    <t>Code of ISIC.4</t>
  </si>
  <si>
    <t>أنشطة زراعة المحاصيل والإنتاج الحيواني والصيد والخدمات المتصلة</t>
  </si>
  <si>
    <t>صيد الأسماك وتربية المائيات</t>
  </si>
  <si>
    <t>استخراج النفط الخام والغاز الطبيعي</t>
  </si>
  <si>
    <t>تعدين ركازات الفلزات، الأنشطة الأخرى للتعدين واستغلال المحاجر، أنشطة خدمات دعم التعدين</t>
  </si>
  <si>
    <t>صُنع المنتجات الغذائية</t>
  </si>
  <si>
    <t>صُنع المشروبات</t>
  </si>
  <si>
    <t>صُنع منتجات التبغ</t>
  </si>
  <si>
    <t>صُنع المنسوجات</t>
  </si>
  <si>
    <t>صُنع الملبوسات</t>
  </si>
  <si>
    <t>صُنع المنتجات الجلدية والمنتجات ذات الصلة</t>
  </si>
  <si>
    <t>صُنع الخشب ومنتجات الخشب والفلين، باستثناء الأثاث؛ صُنع أصناف من القش ومواد الضفر</t>
  </si>
  <si>
    <t>صُنع الورق ومنتجات الورق</t>
  </si>
  <si>
    <t>الطباعة واستنساخ وسائط الإعلام المسجّلة</t>
  </si>
  <si>
    <t>صُنع فحم الكوك والمنتجات النفطية المكررة</t>
  </si>
  <si>
    <t>صُنع المواد الكيميائية والمنتجات الكيميائية</t>
  </si>
  <si>
    <t>صُنع المنتجات الصيدلانية الأساسية والمستحضرات الصيدلانية</t>
  </si>
  <si>
    <t>صُنع منتجات المطاط واللدائن</t>
  </si>
  <si>
    <t>صُنع منتجات المعادن اللافلزية الأخرى</t>
  </si>
  <si>
    <t>صُنع الفلّزات القاعدية</t>
  </si>
  <si>
    <t>صُنع منتجات المعادن المشكَّلة، باستثناء الآلات والمعدات</t>
  </si>
  <si>
    <t>صُنع الحواسيب والمنتجات الإلكترونية والبصرية</t>
  </si>
  <si>
    <t>صُنع المعدات الكهربائية</t>
  </si>
  <si>
    <t>صُنع الآلات والمعدات غير المصنّفة في موضع آخر</t>
  </si>
  <si>
    <t>صُنع المركبات ذات المحرّكات والمركبات المقطورة ونصف المقطورة</t>
  </si>
  <si>
    <t>صُنع معدات النقل الأخرى</t>
  </si>
  <si>
    <t>صُنع الأثاث</t>
  </si>
  <si>
    <t>الصناعات التحويلية الأخرى</t>
  </si>
  <si>
    <t>إصلاح وتركيب الآلات والمعدات</t>
  </si>
  <si>
    <t>توصيل الكهرباء والغاز والبخار وتكييف الهواء</t>
  </si>
  <si>
    <t>تجميع المياه ومعالجتها وتوصيلها وشبكات الصرف الصحى وأنشطة جمع النفايات ومعالجتها وتصريفها، واسترجاع المواد</t>
  </si>
  <si>
    <t>جملة الإنشاءات (التشييد والبناء)</t>
  </si>
  <si>
    <t>تجارة الجملة والتجزئة والإصلاح للمركبات ذات المحركات والدراجات النارية</t>
  </si>
  <si>
    <t>النقل والبريد وأنشطة الخدمات البريدية</t>
  </si>
  <si>
    <t>التخزين وأنشطة الدعم للنقل</t>
  </si>
  <si>
    <t>الاقامةو خدمات الأطعمة والمشروبات</t>
  </si>
  <si>
    <t>أنشطة النشر</t>
  </si>
  <si>
    <t>أنشطة إنتاج الأفلام والبرامج التليفزيونية والتسجيلات الصوتية ونشر الموسيقى</t>
  </si>
  <si>
    <t>أنشطة البرمجة والإذاعة</t>
  </si>
  <si>
    <t>الاتصالات-أنشطة البرمجة الحاسوبية والخبرة الاستشارية وما يتصل بها من أنشطة-أنشطة خدمات المعلومات</t>
  </si>
  <si>
    <t>أنشطة الخدمات المالية، فيما عدا تمويل التأمين وصناديق المعاشات</t>
  </si>
  <si>
    <t>تمويل التأمين وإعادة التأمين وصناديق المعاشات التقاعدية باستثناء الضمان الاجتماعي الإلزامي</t>
  </si>
  <si>
    <t>الأنشطة المساعدة لأنشطة الخدمات المالية وأنشطة التأمين</t>
  </si>
  <si>
    <t>الأنشطة العقارية</t>
  </si>
  <si>
    <t>الأنشطة القانونية وأنشطة المحاسبة</t>
  </si>
  <si>
    <t>أنشطة المكاتب الرئيسية، والأنشطة الاستشارية في مجال الإدارة</t>
  </si>
  <si>
    <t>الأنشطة المعمارية والهندسية، والاختبارات الفنية والتحليل</t>
  </si>
  <si>
    <t>البحث والتطوير في المجال العلمي</t>
  </si>
  <si>
    <t>أبحاث الإعلان والسوق</t>
  </si>
  <si>
    <t>الأنشطة المهنية والعلمية والتقنية الأخرى</t>
  </si>
  <si>
    <t>الأنشطة البيطرية</t>
  </si>
  <si>
    <t>الأنشطة الإيجارية</t>
  </si>
  <si>
    <t>أنشطة الاستخدام</t>
  </si>
  <si>
    <t>وكالات السفر ومشغّلو الجولات السياحية وخدمات الحجز والأنشطة المتصلة بها</t>
  </si>
  <si>
    <t>أنشطة الأمن والتحقيقات</t>
  </si>
  <si>
    <t>أنشطة تقديم الخدمات للمباني وتجميل المواقع</t>
  </si>
  <si>
    <t>الأنشطة الإدارية للمكاتب، وأنشطة الدعم للمكاتب وغير ذلك من أنشطة الدعم للأعمال</t>
  </si>
  <si>
    <t>الإدارة العامة والدفاع والضمان الاجتماعي</t>
  </si>
  <si>
    <t>التعليم</t>
  </si>
  <si>
    <t>الأنشطة في مجال صحة الإنسان-أنشطة الرعاية مع الإقامة-أنشطة العمل الاجتماعي، دون إقامة</t>
  </si>
  <si>
    <t>الأنشطة الإبداعية والفنون وأنشطة الترفيه</t>
  </si>
  <si>
    <t>أنشطة المكتبات والمحفوظات والمتاحف والأنشطة الثقافية الأخرى</t>
  </si>
  <si>
    <t>أنشطة ألعاب القمار والمراهنة</t>
  </si>
  <si>
    <t>الأنشطة الرياضية وأنشطة التسلية والترفيه</t>
  </si>
  <si>
    <t>أنشطة المنظمات ذات العضوية</t>
  </si>
  <si>
    <t>إصلاح أجهزة الحاسوب والسلع الشخصية والمنزلية</t>
  </si>
  <si>
    <t>أنشطة الخدمات الشخصية الأخرى</t>
  </si>
  <si>
    <t>الخدمات المنزلية</t>
  </si>
  <si>
    <t>الإنفاق الاستهلاكي النهائي للعائلات</t>
  </si>
  <si>
    <t>مشتريات المقيمين المباشرة في الخارج</t>
  </si>
  <si>
    <t>مشتريات غير المقيمين المباشرة في الداخل</t>
  </si>
  <si>
    <t>الإنفاق الإستهلاكي النهائي للحكومة (الحساب الختامي)</t>
  </si>
  <si>
    <t>الإنفاق الاستهلاكي النهائي للهيئات التي لاتهدف للربح</t>
  </si>
  <si>
    <t>إجمالى الإنفاق الاستهلاكي النهائي</t>
  </si>
  <si>
    <t>التكوين الرأسمالي الثابت</t>
  </si>
  <si>
    <t>التغير في المخزون</t>
  </si>
  <si>
    <t>إجمالى التكوين الرأسمالي</t>
  </si>
  <si>
    <t xml:space="preserve">سلعية </t>
  </si>
  <si>
    <t>خدمية</t>
  </si>
  <si>
    <t>إجمالى الصادرات</t>
  </si>
  <si>
    <t>المدخلات</t>
  </si>
  <si>
    <t>Crop and animal production, hunting and related service activities</t>
  </si>
  <si>
    <t>Fishing and aquaculture</t>
  </si>
  <si>
    <t>Extraction of crude petroleum and natural gas</t>
  </si>
  <si>
    <t>Mining of Metal Ores, Other mining and qurrying and Mining support service activities</t>
  </si>
  <si>
    <t>Manufacture of food products</t>
  </si>
  <si>
    <t>Manufacture of beverages</t>
  </si>
  <si>
    <t>Manufacture of tobacco products</t>
  </si>
  <si>
    <t>Manufacture of textiles</t>
  </si>
  <si>
    <t>Manufacture of wearing apparel</t>
  </si>
  <si>
    <t>Manufacture of leather and related products</t>
  </si>
  <si>
    <t>Manufacture of wood and of products of wood and cork, except furniture; manufacture of articles of straw and plaiting materials</t>
  </si>
  <si>
    <t>Manufacture of paper and paper products</t>
  </si>
  <si>
    <t>Printing and reproduction of recorded media</t>
  </si>
  <si>
    <t>Manufacture of coke and refined petroleum products</t>
  </si>
  <si>
    <t>Manufacture of chemicals and chemical products</t>
  </si>
  <si>
    <t>Manufacture of basic pharmaceutical products and pharmaceutical preparations</t>
  </si>
  <si>
    <t>Manufacture of rubber and plastics products</t>
  </si>
  <si>
    <t>Manufacture of other non-metallic mineral products</t>
  </si>
  <si>
    <t>Manufacture of basic metals</t>
  </si>
  <si>
    <t>Manufacture of fabricated metal products, except machinery and equipment</t>
  </si>
  <si>
    <t>Manufacture of computer, electronic and optical products</t>
  </si>
  <si>
    <t>Manufacture of electrical equipment</t>
  </si>
  <si>
    <t>Manufacture of machinery and equipment n.e.c.</t>
  </si>
  <si>
    <t>Manufacture of motor vehicles, trailers and semi-trailers</t>
  </si>
  <si>
    <t>Manufacture of other transport equipment</t>
  </si>
  <si>
    <t>Manufacture of furniture</t>
  </si>
  <si>
    <t>Other manufacturing</t>
  </si>
  <si>
    <t>Repair and installation of machinery and equipment</t>
  </si>
  <si>
    <t>Electricity, gas, steam and air conditioning supply</t>
  </si>
  <si>
    <t>Water collection, treatment and supply-Waste collection, treatment and disposal activities; materials recovery</t>
  </si>
  <si>
    <t>Total of Construction</t>
  </si>
  <si>
    <t>Total of Wholesale and retail trade; repair of motor vehicles and motorcycles</t>
  </si>
  <si>
    <t>transport,Postal and courier activities</t>
  </si>
  <si>
    <t>Warehousing and support activities for transportation</t>
  </si>
  <si>
    <t>Food and beverage service activities</t>
  </si>
  <si>
    <t>Publishing activities</t>
  </si>
  <si>
    <t>Motion picture, video and television programme production, sound recording and music publishing activities</t>
  </si>
  <si>
    <t>Programming and broadcasting activities</t>
  </si>
  <si>
    <t>Telecommunications-Computer programming, consultancy and related activities-Information service activities</t>
  </si>
  <si>
    <t>Financial service activities, except insurance and pension funding</t>
  </si>
  <si>
    <t>Insurance, reinsurance and pension funding, except compulsory social security</t>
  </si>
  <si>
    <t>Activities auxiliary to financial service and insurance activities</t>
  </si>
  <si>
    <t>Real estate activities</t>
  </si>
  <si>
    <t>Legal and accounting activities</t>
  </si>
  <si>
    <t>Activities of head offices; management consultancy activities</t>
  </si>
  <si>
    <t>Architectural and engineering activities; technical testing and analysis</t>
  </si>
  <si>
    <t>Scientific research and development</t>
  </si>
  <si>
    <t>Advertising and market research</t>
  </si>
  <si>
    <t>Other professional, scientific and technical activities</t>
  </si>
  <si>
    <t>Veterinary activities</t>
  </si>
  <si>
    <t>Rental and leasing activities</t>
  </si>
  <si>
    <t>Employment activities</t>
  </si>
  <si>
    <t>Travel agency, tour operator, reservation service and related activities</t>
  </si>
  <si>
    <t>Security and investigation activities</t>
  </si>
  <si>
    <t>Services to buildings and landscape activities</t>
  </si>
  <si>
    <t>Office administrative, office support and other business support activities</t>
  </si>
  <si>
    <t>Public administration and defence; compulsory social security</t>
  </si>
  <si>
    <t>Government Education</t>
  </si>
  <si>
    <t>Government Human health activities-Residential care activities-Social work activities without accommodation</t>
  </si>
  <si>
    <t>Creative, arts and entertainment activities</t>
  </si>
  <si>
    <t>Libraries, archives, museums and other cultural activities</t>
  </si>
  <si>
    <t>Gambling and betting activities</t>
  </si>
  <si>
    <t>Government Sports activities and amusement and recreation activities</t>
  </si>
  <si>
    <t>Activities of membership organizations</t>
  </si>
  <si>
    <t>Repair of computers and personal and household goods</t>
  </si>
  <si>
    <t>Other personal service activities</t>
  </si>
  <si>
    <t>Activities of households as employers of domestic personnel</t>
  </si>
  <si>
    <t>Total Intermediate Demand</t>
  </si>
  <si>
    <t>Household final consumption expenditure</t>
  </si>
  <si>
    <t>Direct purchases of residents abroad</t>
  </si>
  <si>
    <t>Direct purchases of non-residents indoors</t>
  </si>
  <si>
    <t>Government final consumption expenditures</t>
  </si>
  <si>
    <t>Final consumption expenditure N.P.I.S.H.s</t>
  </si>
  <si>
    <t>Total Final Consumption Expenditure</t>
  </si>
  <si>
    <t>Fixed capital formation</t>
  </si>
  <si>
    <t>Change in inventory</t>
  </si>
  <si>
    <t>Total Capital Formation</t>
  </si>
  <si>
    <t xml:space="preserve"> Goods</t>
  </si>
  <si>
    <t>Services</t>
  </si>
  <si>
    <t>Total Exports</t>
  </si>
  <si>
    <t>Total Final Demand</t>
  </si>
  <si>
    <t>Total Imports</t>
  </si>
  <si>
    <t xml:space="preserve">Total Output at Basic Prices </t>
  </si>
  <si>
    <t xml:space="preserve">   Inputs</t>
  </si>
  <si>
    <t>جملة المدخلات الأولية بالأسعار الأساسية</t>
  </si>
  <si>
    <t xml:space="preserve"> Total Primary Inputs at basic prices</t>
  </si>
  <si>
    <t>صافي الضرائب علي المنتجات</t>
  </si>
  <si>
    <t>Net taxes, Tariffs and subsidies</t>
  </si>
  <si>
    <t>جملة المدخلات الأولية بأسعار المشترين</t>
  </si>
  <si>
    <t xml:space="preserve"> Total Primary Inputs  at purchasing prices</t>
  </si>
  <si>
    <t>القيمة المضافة بالأسعار الأساسية</t>
  </si>
  <si>
    <t>Value added by basic Prices</t>
  </si>
  <si>
    <t>تعويضات العاملين</t>
  </si>
  <si>
    <t>Wages</t>
  </si>
  <si>
    <t>الضرائب علي الإنتاج</t>
  </si>
  <si>
    <t>Taxes on production</t>
  </si>
  <si>
    <t>الإعانات علي الإنتاج</t>
  </si>
  <si>
    <t>Subsidies on production</t>
  </si>
  <si>
    <t>فائض التشغيل الإجمالي</t>
  </si>
  <si>
    <t>Operating surplus</t>
  </si>
  <si>
    <t>الإهلاك</t>
  </si>
  <si>
    <t>Depreciation</t>
  </si>
  <si>
    <t>فائض التشغيل الصافي</t>
  </si>
  <si>
    <t>Net operating surplus</t>
  </si>
  <si>
    <t>إجمالي المدخلات</t>
  </si>
  <si>
    <t xml:space="preserve">Total Input </t>
  </si>
  <si>
    <t>3009.291</t>
  </si>
  <si>
    <t>FACTOR EMPLOYMENT 2016</t>
  </si>
  <si>
    <t>Social contribution SAM 2019 (5.50%)</t>
  </si>
  <si>
    <t>row/column</t>
  </si>
  <si>
    <t>amaiz</t>
  </si>
  <si>
    <t>asorg</t>
  </si>
  <si>
    <t>arice</t>
  </si>
  <si>
    <t>awhea</t>
  </si>
  <si>
    <t>aocer</t>
  </si>
  <si>
    <t>apuls</t>
  </si>
  <si>
    <t>agnut</t>
  </si>
  <si>
    <t>aoils</t>
  </si>
  <si>
    <t>aroot</t>
  </si>
  <si>
    <t>avege</t>
  </si>
  <si>
    <t>asugr</t>
  </si>
  <si>
    <t>acott</t>
  </si>
  <si>
    <t>afrui</t>
  </si>
  <si>
    <t>aocrp</t>
  </si>
  <si>
    <t>acatt</t>
  </si>
  <si>
    <t>amilk</t>
  </si>
  <si>
    <t>apoul</t>
  </si>
  <si>
    <t>asmlr</t>
  </si>
  <si>
    <t>aoliv</t>
  </si>
  <si>
    <t>afore</t>
  </si>
  <si>
    <t>afish</t>
  </si>
  <si>
    <t>acoil</t>
  </si>
  <si>
    <t>angas</t>
  </si>
  <si>
    <t>aomin</t>
  </si>
  <si>
    <t>ameat</t>
  </si>
  <si>
    <t>afsea</t>
  </si>
  <si>
    <t>adair</t>
  </si>
  <si>
    <t>afveg</t>
  </si>
  <si>
    <t>afoil</t>
  </si>
  <si>
    <t>ammll</t>
  </si>
  <si>
    <t>asmll</t>
  </si>
  <si>
    <t>armll</t>
  </si>
  <si>
    <t>awmll</t>
  </si>
  <si>
    <t>agmll</t>
  </si>
  <si>
    <t>asref</t>
  </si>
  <si>
    <t>afood</t>
  </si>
  <si>
    <t>afeed</t>
  </si>
  <si>
    <t>abeve</t>
  </si>
  <si>
    <t>aptob</t>
  </si>
  <si>
    <t>ayarn</t>
  </si>
  <si>
    <t>atext</t>
  </si>
  <si>
    <t>aclth</t>
  </si>
  <si>
    <t>aleat</t>
  </si>
  <si>
    <t>awood</t>
  </si>
  <si>
    <t>apapr</t>
  </si>
  <si>
    <t>apetr</t>
  </si>
  <si>
    <t>afert</t>
  </si>
  <si>
    <t>achem</t>
  </si>
  <si>
    <t>anmet</t>
  </si>
  <si>
    <t>ametl</t>
  </si>
  <si>
    <t>amach</t>
  </si>
  <si>
    <t>aequi</t>
  </si>
  <si>
    <t>avehi</t>
  </si>
  <si>
    <t>aoman</t>
  </si>
  <si>
    <t>aelec</t>
  </si>
  <si>
    <t>awatr</t>
  </si>
  <si>
    <t>acons</t>
  </si>
  <si>
    <t>atrad</t>
  </si>
  <si>
    <t>atran</t>
  </si>
  <si>
    <t>ahotl</t>
  </si>
  <si>
    <t>arest</t>
  </si>
  <si>
    <t>acomm</t>
  </si>
  <si>
    <t>afsrv</t>
  </si>
  <si>
    <t>areal</t>
  </si>
  <si>
    <t>absrv</t>
  </si>
  <si>
    <t>apadm</t>
  </si>
  <si>
    <t>aeduc</t>
  </si>
  <si>
    <t>aheal</t>
  </si>
  <si>
    <t>aosrv</t>
  </si>
  <si>
    <t>Maize</t>
  </si>
  <si>
    <t>Sorghum and millet</t>
  </si>
  <si>
    <t>Rice</t>
  </si>
  <si>
    <t>Wheat and barley</t>
  </si>
  <si>
    <t>Other cereals</t>
  </si>
  <si>
    <t>Pulses</t>
  </si>
  <si>
    <t>Groundnuts</t>
  </si>
  <si>
    <t>Other oilseeds</t>
  </si>
  <si>
    <t>Other roots</t>
  </si>
  <si>
    <t>Other vegetables</t>
  </si>
  <si>
    <t>Sugarcane</t>
  </si>
  <si>
    <t>Tobacco</t>
  </si>
  <si>
    <t>Cotton and fibres</t>
  </si>
  <si>
    <t>Other fruits</t>
  </si>
  <si>
    <t>Leaf tea</t>
  </si>
  <si>
    <t>Cocoa</t>
  </si>
  <si>
    <t>Other crops</t>
  </si>
  <si>
    <t>Cattle</t>
  </si>
  <si>
    <t>Raw milk</t>
  </si>
  <si>
    <t>Poultry</t>
  </si>
  <si>
    <t>Small ruminants</t>
  </si>
  <si>
    <t>Other livestock</t>
  </si>
  <si>
    <t>Forestry</t>
  </si>
  <si>
    <t>Capture fisheries</t>
  </si>
  <si>
    <t>Coal and lignite</t>
  </si>
  <si>
    <t>Crude oil</t>
  </si>
  <si>
    <t>Natural gas</t>
  </si>
  <si>
    <t>Other mining</t>
  </si>
  <si>
    <t>Meat processing</t>
  </si>
  <si>
    <t>Fish and seafood processing</t>
  </si>
  <si>
    <t>Dairy</t>
  </si>
  <si>
    <t>Fruit and vegetable processing</t>
  </si>
  <si>
    <t>Fats and oils</t>
  </si>
  <si>
    <t>Maize milling</t>
  </si>
  <si>
    <t>Sorghum and millet milling</t>
  </si>
  <si>
    <t>Rice milling</t>
  </si>
  <si>
    <t>Wheat and barley milling</t>
  </si>
  <si>
    <t>Other grain milling</t>
  </si>
  <si>
    <t>Sugar refining</t>
  </si>
  <si>
    <t>Other foods</t>
  </si>
  <si>
    <t>Animal feed</t>
  </si>
  <si>
    <t>Beverages</t>
  </si>
  <si>
    <t>Tobacco processing</t>
  </si>
  <si>
    <t>Cotton yarn</t>
  </si>
  <si>
    <t>Textiles</t>
  </si>
  <si>
    <t>Clothing</t>
  </si>
  <si>
    <t>Leather and footwear</t>
  </si>
  <si>
    <t>Wood products</t>
  </si>
  <si>
    <t>Paper products and publishing</t>
  </si>
  <si>
    <t>Petroleum products</t>
  </si>
  <si>
    <t>Fertilizers and herbicides</t>
  </si>
  <si>
    <t>Other chemicals</t>
  </si>
  <si>
    <t>Non-metal minerals</t>
  </si>
  <si>
    <t>Metals and metal products</t>
  </si>
  <si>
    <t>Machinery and other equipment</t>
  </si>
  <si>
    <t>Electrical equipment</t>
  </si>
  <si>
    <t>Vehicles and transport equipment</t>
  </si>
  <si>
    <t>Electricity, gas and steam</t>
  </si>
  <si>
    <t>Water supply and sewage</t>
  </si>
  <si>
    <t>Construction</t>
  </si>
  <si>
    <t>Wholesale and retail trade</t>
  </si>
  <si>
    <t>Transportation and storage</t>
  </si>
  <si>
    <t>Accommodation</t>
  </si>
  <si>
    <t>Restaurants and food services</t>
  </si>
  <si>
    <t>Information and communication</t>
  </si>
  <si>
    <t>Finance and insurance</t>
  </si>
  <si>
    <t>Business services</t>
  </si>
  <si>
    <t>Public administration</t>
  </si>
  <si>
    <t>Education</t>
  </si>
  <si>
    <t>Health and social work</t>
  </si>
  <si>
    <t>Other services</t>
  </si>
  <si>
    <t>trc</t>
  </si>
  <si>
    <t>flab-rn</t>
  </si>
  <si>
    <t>flab-rp</t>
  </si>
  <si>
    <t>flab-rs</t>
  </si>
  <si>
    <t>flab-rt</t>
  </si>
  <si>
    <t>flab-un</t>
  </si>
  <si>
    <t>flab-up</t>
  </si>
  <si>
    <t>flab-us</t>
  </si>
  <si>
    <t>flab-ut</t>
  </si>
  <si>
    <t>flnd</t>
  </si>
  <si>
    <t>fcap-c</t>
  </si>
  <si>
    <t>fcap-l</t>
  </si>
  <si>
    <t>fcap-m</t>
  </si>
  <si>
    <t>fcap-n</t>
  </si>
  <si>
    <t>ent</t>
  </si>
  <si>
    <t>hhd-n1</t>
  </si>
  <si>
    <t>hhd-n2</t>
  </si>
  <si>
    <t>hhd-n3</t>
  </si>
  <si>
    <t>hhd-n4</t>
  </si>
  <si>
    <t>hhd-n5</t>
  </si>
  <si>
    <t>hhd-u1</t>
  </si>
  <si>
    <t>hhd-u2</t>
  </si>
  <si>
    <t>hhd-u3</t>
  </si>
  <si>
    <t>hhd-u4</t>
  </si>
  <si>
    <t>hhd-u5</t>
  </si>
  <si>
    <t>gov</t>
  </si>
  <si>
    <t>dtax</t>
  </si>
  <si>
    <t>ftax</t>
  </si>
  <si>
    <t>mtax</t>
  </si>
  <si>
    <t>stax</t>
  </si>
  <si>
    <t>ssub</t>
  </si>
  <si>
    <t>s-i</t>
  </si>
  <si>
    <t>dstk</t>
  </si>
  <si>
    <t>row</t>
  </si>
  <si>
    <t>total</t>
  </si>
  <si>
    <t>cmaiz</t>
  </si>
  <si>
    <t>csorg</t>
  </si>
  <si>
    <t>crice</t>
  </si>
  <si>
    <t>cwhea</t>
  </si>
  <si>
    <t>cocer</t>
  </si>
  <si>
    <t>cpuls</t>
  </si>
  <si>
    <t>cgnut</t>
  </si>
  <si>
    <t>coils</t>
  </si>
  <si>
    <t>croot</t>
  </si>
  <si>
    <t>cvege</t>
  </si>
  <si>
    <t>csugr</t>
  </si>
  <si>
    <t>ctoba</t>
  </si>
  <si>
    <t>ccott</t>
  </si>
  <si>
    <t>cfrui</t>
  </si>
  <si>
    <t>cteal</t>
  </si>
  <si>
    <t>ccoco</t>
  </si>
  <si>
    <t>cocrp</t>
  </si>
  <si>
    <t>ccatt</t>
  </si>
  <si>
    <t>cmilk</t>
  </si>
  <si>
    <t>cpoul</t>
  </si>
  <si>
    <t>csmlr</t>
  </si>
  <si>
    <t>coliv</t>
  </si>
  <si>
    <t>cfore</t>
  </si>
  <si>
    <t>cfish</t>
  </si>
  <si>
    <t>ccoal</t>
  </si>
  <si>
    <t>ccoil</t>
  </si>
  <si>
    <t>cngas</t>
  </si>
  <si>
    <t>comin</t>
  </si>
  <si>
    <t>cmeat</t>
  </si>
  <si>
    <t>cfsea</t>
  </si>
  <si>
    <t>cdair</t>
  </si>
  <si>
    <t>cfveg</t>
  </si>
  <si>
    <t>cfoil</t>
  </si>
  <si>
    <t>cmmll</t>
  </si>
  <si>
    <t>csmll</t>
  </si>
  <si>
    <t>crmll</t>
  </si>
  <si>
    <t>cwmll</t>
  </si>
  <si>
    <t>cgmll</t>
  </si>
  <si>
    <t>csref</t>
  </si>
  <si>
    <t>cfood</t>
  </si>
  <si>
    <t>cfeed</t>
  </si>
  <si>
    <t>cbeve</t>
  </si>
  <si>
    <t>cptob</t>
  </si>
  <si>
    <t>cyarn</t>
  </si>
  <si>
    <t>ctext</t>
  </si>
  <si>
    <t>cclth</t>
  </si>
  <si>
    <t>cleat</t>
  </si>
  <si>
    <t>cwood</t>
  </si>
  <si>
    <t>cpapr</t>
  </si>
  <si>
    <t>cpetr</t>
  </si>
  <si>
    <t>cfert</t>
  </si>
  <si>
    <t>cchem</t>
  </si>
  <si>
    <t>cnmet</t>
  </si>
  <si>
    <t>cmetl</t>
  </si>
  <si>
    <t>cmach</t>
  </si>
  <si>
    <t>cequi</t>
  </si>
  <si>
    <t>cvehi</t>
  </si>
  <si>
    <t>coman</t>
  </si>
  <si>
    <t>celec</t>
  </si>
  <si>
    <t>cwatr</t>
  </si>
  <si>
    <t>ccons</t>
  </si>
  <si>
    <t>ctrad</t>
  </si>
  <si>
    <t>ctran</t>
  </si>
  <si>
    <t>chotl</t>
  </si>
  <si>
    <t>crest</t>
  </si>
  <si>
    <t>ccomm</t>
  </si>
  <si>
    <t>cfsrv</t>
  </si>
  <si>
    <t>creal</t>
  </si>
  <si>
    <t>cbsrv</t>
  </si>
  <si>
    <t>cpadm</t>
  </si>
  <si>
    <t>ceduc</t>
  </si>
  <si>
    <t>cheal</t>
  </si>
  <si>
    <t>cosrv</t>
  </si>
  <si>
    <t>scc</t>
  </si>
  <si>
    <t>scc rate</t>
  </si>
  <si>
    <t xml:space="preserve">income </t>
  </si>
  <si>
    <t>IO Sector</t>
  </si>
  <si>
    <t>Q1</t>
  </si>
  <si>
    <t>Q2</t>
  </si>
  <si>
    <t>Q3</t>
  </si>
  <si>
    <t>Q4</t>
  </si>
  <si>
    <t>Q5</t>
  </si>
  <si>
    <t>HH (IOT)</t>
  </si>
  <si>
    <t>NPISH (IOT)</t>
  </si>
  <si>
    <t>CC (IOT)</t>
  </si>
  <si>
    <t>sh_Q1</t>
  </si>
  <si>
    <t>sh_Q2</t>
  </si>
  <si>
    <t>sh_Q3</t>
  </si>
  <si>
    <t>sh_Q4</t>
  </si>
  <si>
    <t>sh_Q5</t>
  </si>
  <si>
    <t>SAM Source &amp; Mapping</t>
  </si>
  <si>
    <t>Share Formula</t>
  </si>
  <si>
    <t>Sum of 23 SAM rows: cmaiz+csorg+crice+cwhea+cocer+cpuls+cgnut+coils+croot+cvege+csugr+ctoba+ccott+cfrui+cteal+ccoco+cocrp+ccatt+cmilk+cpoul+csmlr+coliv+cfore</t>
  </si>
  <si>
    <t>sh[h] = sum_of_23_rows[h] / total_sum_of_23_rows_across_quintiles</t>
  </si>
  <si>
    <t>SAM row: cfish (Capture fisheries)</t>
  </si>
  <si>
    <t>sh[h] = cfish[h] / sum(cfish)</t>
  </si>
  <si>
    <t>Sum of 2 SAM rows: ccoil+cngas (ccoil=0; all value from cngas)</t>
  </si>
  <si>
    <t>sh[h] = (ccoil+cngas)[h] / sum(ccoil+cngas)</t>
  </si>
  <si>
    <t>Mining of Metal Ores, Other mining and quarrying and Mining support service activities</t>
  </si>
  <si>
    <t>Sum of 2 SAM rows: ccoal+comin (both zero — equal split fallback applied)</t>
  </si>
  <si>
    <t>sh[h] = 1/5 for all h (fallback: SAM row sums to zero)</t>
  </si>
  <si>
    <t>Sum of 13 SAM rows: cmeat+cfsea+cdair+cfveg+cfoil+cmmll+csmll+crmll+cwmll+cgmll+csref+cfood+cfeed (cfeed=0)</t>
  </si>
  <si>
    <t>sh[h] = sum_of_13_rows[h] / total_sum_of_13_rows_across_quintiles</t>
  </si>
  <si>
    <t>SAM row: cbeve (Beverages)</t>
  </si>
  <si>
    <t>sh[h] = cbeve[h] / sum(cbeve)</t>
  </si>
  <si>
    <t>SAM row: cptob (Tobacco processing). Note: ctoba=raw leaf tobacco -&gt; mapped to IO 1</t>
  </si>
  <si>
    <t>sh[h] = cptob[h] / sum(cptob)</t>
  </si>
  <si>
    <t>Sum of 2 SAM rows: cyarn+ctext (cyarn=0; all value from ctext)</t>
  </si>
  <si>
    <t>sh[h] = (cyarn+ctext)[h] / sum(cyarn+ctext)</t>
  </si>
  <si>
    <t>SAM row: cclth (Clothing)</t>
  </si>
  <si>
    <t>sh[h] = cclth[h] / sum(cclth)</t>
  </si>
  <si>
    <t>SAM row: cleat (Leather and footwear)</t>
  </si>
  <si>
    <t>sh[h] = cleat[h] / sum(cleat)</t>
  </si>
  <si>
    <t>SAM row: cwood (Wood products)</t>
  </si>
  <si>
    <t>sh[h] = cwood[h] / sum(cwood)</t>
  </si>
  <si>
    <t>SAM row: cpapr (Paper products and publishing) — shared with IO 13 (Printing). First split by IO output share, then shares computed from split portion.</t>
  </si>
  <si>
    <t>SAM split: cpapr x [yy_io12/(yy_io12+yy_io13)] = cpapr x [18852834/50473885]. sh[h] = split_io12[h] / sum(split_io12)</t>
  </si>
  <si>
    <t>SAM row: cpapr (Paper products and publishing) — shared with IO 12 (Paper). IO 13 receives the exact remainder after IO 12's share.</t>
  </si>
  <si>
    <t>SAM split: cpapr x [yy_io13/(yy_io12+yy_io13)] = cpapr x [31621051/50473885] (exact remainder). sh[h] = split_io13[h] / sum(split_io13)</t>
  </si>
  <si>
    <t>SAM row: cpetr (Petroleum products)</t>
  </si>
  <si>
    <t>sh[h] = cpetr[h] / sum(cpetr)</t>
  </si>
  <si>
    <t>SAM row: cchem (Other chemicals) — shared with IO 16 (Pharma) and IO 17 (Rubber &amp; plastics). Split by IO output shares.</t>
  </si>
  <si>
    <t>SAM split: cchem x [yy_io15/(yy_io15+yy_io16+yy_io17)] = cchem x [69016068/119825017]. sh[h] = split_io15[h] / sum(split_io15)</t>
  </si>
  <si>
    <t>SAM row: cchem (Other chemicals) — shared with IO 15 (Chemicals) and IO 17 (Rubber &amp; plastics). Split by IO output shares.</t>
  </si>
  <si>
    <t>SAM split: cchem x [yy_io16/(yy_io15+yy_io16+yy_io17)] = cchem x [33143328/119825017]. sh[h] = split_io16[h] / sum(split_io16)</t>
  </si>
  <si>
    <t>SAM row: cchem (Other chemicals) — shared with IO 15 (Chemicals) and IO 16 (Pharma). IO 17 receives exact remainder.</t>
  </si>
  <si>
    <t>SAM split: cchem x [yy_io17/(yy_io15+yy_io16+yy_io17)] = cchem x [17665621/119825017] (exact remainder). sh[h] = split_io17[h] / sum(split_io17)</t>
  </si>
  <si>
    <t>SAM row: cnmet (Non-metal minerals)</t>
  </si>
  <si>
    <t>sh[h] = cnmet[h] / sum(cnmet)</t>
  </si>
  <si>
    <t>SAM row: cmetl (Metals and metal products) — shared with IO 20 (Fabricated metals). Split by IO output shares.</t>
  </si>
  <si>
    <t>SAM split: cmetl x [yy_io19/(yy_io19+yy_io20)] = cmetl x [170558314/199775824]. sh[h] = split_io19[h] / sum(split_io19)</t>
  </si>
  <si>
    <t>SAM row: cmetl (Metals and metal products) — shared with IO 19 (Basic metals). IO 20 receives exact remainder.</t>
  </si>
  <si>
    <t>SAM split: cmetl x [yy_io20/(yy_io19+yy_io20)] = cmetl x [29217510/199775824] (exact remainder). sh[h] = split_io20[h] / sum(split_io20)</t>
  </si>
  <si>
    <t>SAM row: cmach (Machinery and other equipment) — shared with IO 23 (Machinery n.e.c.). Split by IO output shares.</t>
  </si>
  <si>
    <t>SAM split: cmach x [yy_io21/(yy_io21+yy_io23)] = cmach x [8152114/19341180]. sh[h] = split_io21[h] / sum(split_io21)</t>
  </si>
  <si>
    <t>SAM row: cequi (Electrical equipment)</t>
  </si>
  <si>
    <t>sh[h] = cequi[h] / sum(cequi)</t>
  </si>
  <si>
    <t>SAM row: cmach (Machinery and other equipment) — shared with IO 21 (Computers). IO 23 receives exact remainder.</t>
  </si>
  <si>
    <t>SAM split: cmach x [yy_io23/(yy_io21+yy_io23)] = cmach x [11189066/19341180] (exact remainder). sh[h] = split_io23[h] / sum(split_io23)</t>
  </si>
  <si>
    <t>SAM row: cvehi (Vehicles and transport equipment) — shared with IO 25 (Other transport). Split by IO output shares.</t>
  </si>
  <si>
    <t>SAM split: cvehi x [yy_io24/(yy_io24+yy_io25)] = cvehi x [25221859/26527657]. sh[h] = split_io24[h] / sum(split_io24)</t>
  </si>
  <si>
    <t>SAM row: cvehi (Vehicles and transport equipment) — shared with IO 24 (Motor vehicles). IO 25 receives exact remainder.</t>
  </si>
  <si>
    <t>SAM split: cvehi x [yy_io25/(yy_io24+yy_io25)] = cvehi x [1305798/26527657] (exact remainder). sh[h] = split_io25[h] / sum(split_io25)</t>
  </si>
  <si>
    <t>SAM row: coman (Other manufacturing) — shared with IO 27 (Other mfg) and IO 28 (Repair). Split by IO output shares.</t>
  </si>
  <si>
    <t>SAM split: coman x [yy_io26/(yy_io26+yy_io27+yy_io28)] = coman x [20381052/75040281]. sh[h] = split_io26[h] / sum(split_io26)</t>
  </si>
  <si>
    <t>SAM row: coman (Other manufacturing) — shared with IO 26 (Furniture) and IO 28 (Repair). Split by IO output shares.</t>
  </si>
  <si>
    <t>SAM split: coman x [yy_io27/(yy_io26+yy_io27+yy_io28)] = coman x [25103587/75040281]. sh[h] = split_io27[h] / sum(split_io27)</t>
  </si>
  <si>
    <t>SAM row: coman (Other manufacturing) — shared with IO 26 (Furniture) and IO 27 (Other mfg). IO 28 receives exact remainder.</t>
  </si>
  <si>
    <t>SAM split: coman x [yy_io28/(yy_io26+yy_io27+yy_io28)] = coman x [29555642/75040281] (exact remainder). sh[h] = split_io28[h] / sum(split_io28)</t>
  </si>
  <si>
    <t>SAM row: celec (Electricity, gas and steam)</t>
  </si>
  <si>
    <t>sh[h] = celec[h] / sum(celec)</t>
  </si>
  <si>
    <t>SAM row: cwatr (Water supply and sewage)</t>
  </si>
  <si>
    <t>sh[h] = cwatr[h] / sum(cwatr)</t>
  </si>
  <si>
    <t>SAM row: ccons (Construction)</t>
  </si>
  <si>
    <t>sh[h] = ccons[h] / sum(ccons)</t>
  </si>
  <si>
    <t>SAM row: ctrad (Wholesale and retail trade)</t>
  </si>
  <si>
    <t>sh[h] = ctrad[h] / sum(ctrad)</t>
  </si>
  <si>
    <t>Transport, Postal and courier activities</t>
  </si>
  <si>
    <t>SAM row: ctran (Transportation and storage) — shared with IO 34 (Warehousing). Split by IO output shares.</t>
  </si>
  <si>
    <t>SAM split: ctran x [yy_io33/(yy_io33+yy_io34)] = ctran x [217642992/298677739]. sh[h] = split_io33[h] / sum(split_io33)</t>
  </si>
  <si>
    <t>SAM row: ctran (Transportation and storage) — shared with IO 33 (Transport). IO 34 receives exact remainder.</t>
  </si>
  <si>
    <t>SAM split: ctran x [yy_io34/(yy_io33+yy_io34)] = ctran x [81034747/298677739] (exact remainder). sh[h] = split_io34[h] / sum(split_io34)</t>
  </si>
  <si>
    <t>Sum of 2 SAM rows: crest+chotl (chotl=0; all value from crest — Restaurants and food services)</t>
  </si>
  <si>
    <t>sh[h] = (crest+chotl)[h] / sum(crest+chotl)</t>
  </si>
  <si>
    <t>SAM row: ccomm (Information and communication) — shared with IO 37/38/39. Split by IO output shares.</t>
  </si>
  <si>
    <t>SAM split: ccomm x [yy_io36/(yy_io36+yy_io37+yy_io38+yy_io39)] = ccomm x [2625404/109695806]. sh[h] = split_io36[h] / sum(split_io36)</t>
  </si>
  <si>
    <t>SAM row: ccomm (Information and communication) — shared with IO 36/38/39. Split by IO output shares.</t>
  </si>
  <si>
    <t>SAM split: ccomm x [yy_io37/(yy_io36+yy_io37+yy_io38+yy_io39)] = ccomm x [3951890/109695806]. sh[h] = split_io37[h] / sum(split_io37)</t>
  </si>
  <si>
    <t>SAM row: ccomm (Information and communication) — shared with IO 36/37/39. Split by IO output shares.</t>
  </si>
  <si>
    <t>SAM split: ccomm x [yy_io38/(yy_io36+yy_io37+yy_io38+yy_io39)] = ccomm x [3951890/109695806]. sh[h] = split_io38[h] / sum(split_io38)</t>
  </si>
  <si>
    <t>SAM row: ccomm (Information and communication) — shared with IO 36/37/38. IO 39 receives exact remainder.</t>
  </si>
  <si>
    <t>SAM split: ccomm x [yy_io39/(yy_io36+yy_io37+yy_io38+yy_io39)] = ccomm x [99166622/109695806] (exact remainder). sh[h] = split_io39[h] / sum(split_io39)</t>
  </si>
  <si>
    <t>SAM row: cfsrv (Finance and insurance) — shared with IO 41 (Insurance) and IO 42 (Auxiliary). Split by IO output shares.</t>
  </si>
  <si>
    <t>SAM split: cfsrv x [yy_io40/(yy_io40+yy_io41+yy_io42)] = cfsrv x [131480737/149885147]. sh[h] = split_io40[h] / sum(split_io40)</t>
  </si>
  <si>
    <t>SAM row: cfsrv (Finance and insurance) — shared with IO 40 (Finance) and IO 42 (Auxiliary). Split by IO output shares.</t>
  </si>
  <si>
    <t>SAM split: cfsrv x [yy_io41/(yy_io40+yy_io41+yy_io42)] = cfsrv x [16171769/149885147]. sh[h] = split_io41[h] / sum(split_io41)</t>
  </si>
  <si>
    <t>SAM row: cfsrv (Finance and insurance) — shared with IO 40 (Finance) and IO 41 (Insurance). IO 42 receives exact remainder.</t>
  </si>
  <si>
    <t>SAM split: cfsrv x [yy_io42/(yy_io40+yy_io41+yy_io42)] = cfsrv x [2232641/149885147] (exact remainder). sh[h] = split_io42[h] / sum(split_io42)</t>
  </si>
  <si>
    <t>SAM row: creal (Real estate activities)</t>
  </si>
  <si>
    <t>sh[h] = creal[h] / sum(creal)</t>
  </si>
  <si>
    <t>SAM row: cbsrv (Business services) — shared across IO 44-56 (13 sectors). Split by IO output shares. Denom = sum of output for IO 44-56 = 134497173.</t>
  </si>
  <si>
    <t>SAM split: cbsrv x [9659055/134497173]. sh[h] = split_io44[h] / sum(split_io44)</t>
  </si>
  <si>
    <t>SAM row: cbsrv (Business services) — shared across IO 44-56.</t>
  </si>
  <si>
    <t>SAM split: cbsrv x [6252245/134497173]. sh[h] = split_io45[h] / sum(split_io45)</t>
  </si>
  <si>
    <t>SAM split: cbsrv x [16687416/134497173]. sh[h] = split_io46[h] / sum(split_io46)</t>
  </si>
  <si>
    <t>SAM split: cbsrv x [6994525/134497173]. sh[h] = split_io47[h] / sum(split_io47)</t>
  </si>
  <si>
    <t>SAM split: cbsrv x [12206061/134497173]. sh[h] = split_io48[h] / sum(split_io48)</t>
  </si>
  <si>
    <t>SAM split: cbsrv x [10678732/134497173]. sh[h] = split_io49[h] / sum(split_io49)</t>
  </si>
  <si>
    <t>SAM split: cbsrv x [125011/134497173]. sh[h] = split_io50[h] / sum(split_io50)</t>
  </si>
  <si>
    <t>SAM split: cbsrv x [4743549/134497173]. sh[h] = split_io51[h] / sum(split_io51)</t>
  </si>
  <si>
    <t>SAM split: cbsrv x [2088830/134497173]. sh[h] = split_io52[h] / sum(split_io52)</t>
  </si>
  <si>
    <t>SAM split: cbsrv x [44846795/134497173]. sh[h] = split_io53[h] / sum(split_io53)</t>
  </si>
  <si>
    <t>SAM split: cbsrv x [3470146/134497173]. sh[h] = split_io54[h] / sum(split_io54)</t>
  </si>
  <si>
    <t>SAM split: cbsrv x [2420145/134497173]. sh[h] = split_io55[h] / sum(split_io55)</t>
  </si>
  <si>
    <t>SAM row: cbsrv (Business services) — shared across IO 44-56. IO 56 receives exact remainder after IO 44-55.</t>
  </si>
  <si>
    <t>SAM split: cbsrv x [14324663/134497173] (exact remainder). sh[h] = split_io56[h] / sum(split_io56)</t>
  </si>
  <si>
    <t>SAM row: cpadm (Public administration)</t>
  </si>
  <si>
    <t>sh[h] = cpadm[h] / sum(cpadm)</t>
  </si>
  <si>
    <t>SAM row: ceduc (Education)</t>
  </si>
  <si>
    <t>sh[h] = ceduc[h] / sum(ceduc)</t>
  </si>
  <si>
    <t>SAM row: cheal (Health and social work)</t>
  </si>
  <si>
    <t>sh[h] = cheal[h] / sum(cheal)</t>
  </si>
  <si>
    <t>SAM row: cosrv (Other services) — shared across IO 60-67 (8 sectors). Split by IO output shares. Denom = sum of output for IO 60-67 = 106059047.</t>
  </si>
  <si>
    <t>SAM split: cosrv x [225460/106059047]. sh[h] = split_io60[h] / sum(split_io60)</t>
  </si>
  <si>
    <t>SAM row: cosrv (Other services) — shared across IO 60-67.</t>
  </si>
  <si>
    <t>SAM split: cosrv x [7035/106059047]. sh[h] = split_io61[h] / sum(split_io61)</t>
  </si>
  <si>
    <t>SAM split: cosrv x [277030/106059047]. sh[h] = split_io62[h] / sum(split_io62)</t>
  </si>
  <si>
    <t>SAM split: cosrv x [43827318/106059047]. sh[h] = split_io63[h] / sum(split_io63)</t>
  </si>
  <si>
    <t>SAM split: cosrv x [16032969/106059047]. sh[h] = split_io64[h] / sum(split_io64)</t>
  </si>
  <si>
    <t>SAM split: cosrv x [21494965/106059047]. sh[h] = split_io65[h] / sum(split_io65)</t>
  </si>
  <si>
    <t>SAM split: cosrv x [22463166/106059047]. sh[h] = split_io66[h] / sum(split_io66)</t>
  </si>
  <si>
    <t>SAM row: cosrv (Other services) — shared across IO 60-67. IO 67 receives exact remainder after IO 60-66.</t>
  </si>
  <si>
    <t>SAM split: cosrv x [1731104/106059047] (exact remainder). sh[h] = split_io67[h] / sum(split_io67)</t>
  </si>
  <si>
    <t>TOTAL</t>
  </si>
  <si>
    <t>Row totals = cc exactly. Column totals reflect IOT base year scaled by SAM distributional shares.</t>
  </si>
  <si>
    <t>DIRECT — 1-to-1 from single SAM row</t>
  </si>
  <si>
    <t>AGGREGATE — sum of multiple SAM rows</t>
  </si>
  <si>
    <t>DISAGGREGATE — one SAM row split across multiple IO sectors by IO output share</t>
  </si>
  <si>
    <t>Grey columns — quintile shares (sh) derived from SAM split; applied to IOT cc</t>
  </si>
  <si>
    <t>METHOD: IFPRI SAM 2019 quintile shares applied to 2016/2017 CAPMAS IOT cc. Row totals = cc. Column totals reflect Egypt IOT base year scaled by SAM distributional shares.</t>
  </si>
  <si>
    <t>Flag: IO 4 (Mining) shows equal shares because both SAM rows (ccoal, comin) are zero — so there was no distributional information to borrow from the SAM.</t>
  </si>
  <si>
    <t>hhd-1</t>
  </si>
  <si>
    <t>hhd-2</t>
  </si>
  <si>
    <t>hhd-3</t>
  </si>
  <si>
    <t>hhd-4</t>
  </si>
  <si>
    <t>hhd-5</t>
  </si>
  <si>
    <t>METHOD: 2016 population/ 5</t>
  </si>
  <si>
    <t>Population: World Bank</t>
  </si>
  <si>
    <t>Compensation (IO)</t>
  </si>
  <si>
    <t xml:space="preserve">METHOD: IFPRI SAM 2019 quintile compensation hh shares applied to 2016/2017 CAPMAS IOT compensation per sector. </t>
  </si>
  <si>
    <t>Total</t>
  </si>
  <si>
    <t>SAM 2018/2019</t>
  </si>
  <si>
    <t>IOT 2016/2017</t>
  </si>
  <si>
    <t>Compensation</t>
  </si>
  <si>
    <t xml:space="preserve">METHOD: IFPRI SAM 2019 profit shares </t>
  </si>
  <si>
    <t>Billions</t>
  </si>
  <si>
    <t>SAM 2019</t>
  </si>
  <si>
    <t>Thousands</t>
  </si>
  <si>
    <t>income</t>
  </si>
  <si>
    <t>Breisinger Source &amp; Method</t>
  </si>
  <si>
    <t>Average of all crop &amp; livestock commodities in Breisinger</t>
  </si>
  <si>
    <t>Direct: Breisinger 'Fish'</t>
  </si>
  <si>
    <t>Proxy: Natural gas (crude oil has no HH elasticity in Breisinger)</t>
  </si>
  <si>
    <t>Average: Coal + metal ores; households rarely consume mining outputs directly</t>
  </si>
  <si>
    <t>Average of all food processing commodities in Breisinger</t>
  </si>
  <si>
    <t>Direct: Breisinger 'Beverages'</t>
  </si>
  <si>
    <t>Direct: Breisinger 'Tobacco products'</t>
  </si>
  <si>
    <t>Average: Yarn+textiles and knitted fabrics</t>
  </si>
  <si>
    <t>Proxy: Knitted fabrics (closest to wearing apparel)</t>
  </si>
  <si>
    <t>Direct: Breisinger 'Leather and footwear'</t>
  </si>
  <si>
    <t>Manufacture of wood and of products of wood and cork, except furniture</t>
  </si>
  <si>
    <t>Direct: Breisinger 'Wood products'</t>
  </si>
  <si>
    <t>Direct: Breisinger 'Paper products'</t>
  </si>
  <si>
    <t>Proxy: Paper products (no separate printing in Breisinger)</t>
  </si>
  <si>
    <t>Average of all petroleum product types in Breisinger</t>
  </si>
  <si>
    <t>Direct: Breisinger 'Basic chemicals'</t>
  </si>
  <si>
    <t>Proxy: Basic chemicals (no separate pharma in Breisinger)</t>
  </si>
  <si>
    <t>Proxy: Basic chemicals (no separate rubber/plastics in Breisinger)</t>
  </si>
  <si>
    <t>Proxy: Glass products (closest non-metallic mineral)</t>
  </si>
  <si>
    <t>Direct: Breisinger 'Basic metals'</t>
  </si>
  <si>
    <t>Proxy: Basic metals (no separate fabricated metals in Breisinger)</t>
  </si>
  <si>
    <t>Proxy: Radio/TV/comms equipment</t>
  </si>
  <si>
    <t>Direct: Breisinger 'Electrical machinery'</t>
  </si>
  <si>
    <t>Average: Radio/TV + Electrical (no separate machinery n.e.c. in Breisinger)</t>
  </si>
  <si>
    <t>Direct: Breisinger 'Transport equipment'</t>
  </si>
  <si>
    <t>Direct: Breisinger 'Furniture'</t>
  </si>
  <si>
    <t>Proxy: Furniture (no separate other manufacturing in Breisinger)</t>
  </si>
  <si>
    <t>Proxy: Average of machinery types (repair services)</t>
  </si>
  <si>
    <t>Direct: Breisinger 'Electricity transmission'</t>
  </si>
  <si>
    <t>Water collection, treatment and supply</t>
  </si>
  <si>
    <t>Direct: Breisinger 'Water distribution'</t>
  </si>
  <si>
    <t>Direct: Breisinger 'Construction services'</t>
  </si>
  <si>
    <t>Total of Wholesale and retail trade</t>
  </si>
  <si>
    <t>Direct: Breisinger 'Wholesale retail trade'</t>
  </si>
  <si>
    <t>Direct: Breisinger 'Transport services'</t>
  </si>
  <si>
    <t>Proxy: Transport services (warehousing not separate in Breisinger)</t>
  </si>
  <si>
    <t>Proxy: Lodging (closest to food &amp; beverage services)</t>
  </si>
  <si>
    <t>Proxy: Other services (publishing not separate in Breisinger)</t>
  </si>
  <si>
    <t>Motion picture, video and television programme production</t>
  </si>
  <si>
    <t>Proxy: Other services</t>
  </si>
  <si>
    <t>Telecommunications-Computer programming-Information service activities</t>
  </si>
  <si>
    <t>Direct: Breisinger 'Telecommunications'</t>
  </si>
  <si>
    <t>Direct: Breisinger 'Financial intermediation'</t>
  </si>
  <si>
    <t>Insurance, reinsurance and pension funding</t>
  </si>
  <si>
    <t>Proxy: Financial intermediation</t>
  </si>
  <si>
    <t>Direct: Breisinger 'Real estate services'</t>
  </si>
  <si>
    <t>Direct: Breisinger 'Business services'</t>
  </si>
  <si>
    <t>Proxy: Business services</t>
  </si>
  <si>
    <t>Proxy: Other services (veterinary)</t>
  </si>
  <si>
    <t>Proxy: Business services (rental)</t>
  </si>
  <si>
    <t>Proxy: Lodging (travel agency/tourism)</t>
  </si>
  <si>
    <t>Direct: Breisinger 'Public administration'</t>
  </si>
  <si>
    <t>Direct: Breisinger 'Education services'</t>
  </si>
  <si>
    <t>Government Human health activities-Residential care-Social work</t>
  </si>
  <si>
    <t>Direct: Breisinger 'Health and social services'</t>
  </si>
  <si>
    <t>Proxy: Other services (repair)</t>
  </si>
  <si>
    <t>Proxy: Other services (household employers)</t>
  </si>
  <si>
    <t>METHOD</t>
  </si>
  <si>
    <t>Q1 and Q5 from Breisinger et al. (2018) Table 2.3. Urban/rural weighted average: 43% urban + 57% rural (from Table 2.4). Q2, Q3, Q4 by linear interpolation between Q1 and Q5. All elasticities are own-price, negative sign = normal demand response.</t>
  </si>
  <si>
    <t>Color Code:</t>
  </si>
  <si>
    <t>DIRECT or AVERAGE — elasticity taken directly from Breisinger (2018)</t>
  </si>
  <si>
    <t>PROXY — closest Breisinger commodity used; review before finalising</t>
  </si>
  <si>
    <t>METHOD: applied IFPRI SAM 2019 scc to CAPMAS IO 2016/2017</t>
  </si>
  <si>
    <t xml:space="preserve">Table 3b. Egypt: Budget Sector Operations (In percent of GDP)																	</t>
  </si>
  <si>
    <t>2014/15</t>
  </si>
  <si>
    <t>2015/16</t>
  </si>
  <si>
    <t>2016/17</t>
  </si>
  <si>
    <t>2017/18</t>
  </si>
  <si>
    <t>2018/19</t>
  </si>
  <si>
    <t>2019/20</t>
  </si>
  <si>
    <t>2020/21</t>
  </si>
  <si>
    <t>2021/22</t>
  </si>
  <si>
    <t>2022/23</t>
  </si>
  <si>
    <t>2023/24</t>
  </si>
  <si>
    <t>2024/25</t>
  </si>
  <si>
    <t>Third  Review/ prel</t>
  </si>
  <si>
    <t>3rd review</t>
  </si>
  <si>
    <t>Proj.</t>
  </si>
  <si>
    <t>Energy subsidies</t>
  </si>
  <si>
    <t>4.0</t>
  </si>
  <si>
    <t>3.0</t>
  </si>
  <si>
    <t>4.1</t>
  </si>
  <si>
    <t>3.4</t>
  </si>
  <si>
    <t>2.1</t>
  </si>
  <si>
    <t xml:space="preserve">0.3 </t>
  </si>
  <si>
    <t xml:space="preserve">0.8 </t>
  </si>
  <si>
    <t xml:space="preserve"> 1.3 </t>
  </si>
  <si>
    <t xml:space="preserve">1.2 </t>
  </si>
  <si>
    <t xml:space="preserve">0.9 </t>
  </si>
  <si>
    <t>Of which: fuel subsidy</t>
  </si>
  <si>
    <t>1.9</t>
  </si>
  <si>
    <t>3.3</t>
  </si>
  <si>
    <t>2.7</t>
  </si>
  <si>
    <t>1.8</t>
  </si>
  <si>
    <t>1.2</t>
  </si>
  <si>
    <t>Source: compiled from IMF Reports (EFF Reviews)</t>
  </si>
  <si>
    <t>Julia Index</t>
  </si>
  <si>
    <t>Category</t>
  </si>
  <si>
    <t>βᵖ Value</t>
  </si>
  <si>
    <t>Crop and animal production, hunting</t>
  </si>
  <si>
    <t>Agriculture</t>
  </si>
  <si>
    <t>Energy &amp; Water</t>
  </si>
  <si>
    <t>Mining of metal ores, other mining</t>
  </si>
  <si>
    <t>Mining &amp; Quarrying</t>
  </si>
  <si>
    <t>Manufacturing</t>
  </si>
  <si>
    <t>Manufacture of leather products</t>
  </si>
  <si>
    <t>Manufacture of wood products</t>
  </si>
  <si>
    <t>Manufacture of paper products</t>
  </si>
  <si>
    <t>Printing and reproduction</t>
  </si>
  <si>
    <t>Manufacture of chemicals</t>
  </si>
  <si>
    <t>Manufacture of pharmaceuticals</t>
  </si>
  <si>
    <t>Manufacture of rubber and plastics</t>
  </si>
  <si>
    <t>Manufacture of non-metallic mineral products</t>
  </si>
  <si>
    <t>Manufacture of fabricated metal products</t>
  </si>
  <si>
    <t>Manufacture of computers, electronics</t>
  </si>
  <si>
    <t>Manufacture of machinery and equipment</t>
  </si>
  <si>
    <t>Manufacture of motor vehicles</t>
  </si>
  <si>
    <t>Repair and installation of machinery</t>
  </si>
  <si>
    <t>Water collection, treatment and supply; sewerage; waste</t>
  </si>
  <si>
    <t>Arts/Entertainment/Other Services</t>
  </si>
  <si>
    <t>Transport, postal and courier activities</t>
  </si>
  <si>
    <t>Transport</t>
  </si>
  <si>
    <t>Warehousing and support for transportation</t>
  </si>
  <si>
    <t>Accommodation and food service activities</t>
  </si>
  <si>
    <t>Accommodation &amp; Restaurants</t>
  </si>
  <si>
    <t>IT &amp; Communications</t>
  </si>
  <si>
    <t>Motion picture, TV production, music publishing</t>
  </si>
  <si>
    <t>Programming and broadcasting</t>
  </si>
  <si>
    <t>Telecommunications, IT and information services</t>
  </si>
  <si>
    <t>Financial service activities</t>
  </si>
  <si>
    <t>Insurance and pension funding</t>
  </si>
  <si>
    <t>Auxiliary financial and insurance activities</t>
  </si>
  <si>
    <t>Real Estate</t>
  </si>
  <si>
    <t>Activities of head offices; management consultancy</t>
  </si>
  <si>
    <t>Architectural and engineering activities</t>
  </si>
  <si>
    <t>Human Health</t>
  </si>
  <si>
    <t>Travel agency and tour operator activities</t>
  </si>
  <si>
    <t>Office administrative and support activities</t>
  </si>
  <si>
    <t>Public administration and defence</t>
  </si>
  <si>
    <t>Human health and social work activities</t>
  </si>
  <si>
    <t>Creative arts and entertainment activities</t>
  </si>
  <si>
    <t>Libraries, archives, museums</t>
  </si>
  <si>
    <t>Sports activities and amusement</t>
  </si>
  <si>
    <t>Activities of membership organisations</t>
  </si>
  <si>
    <t>Repair of computers and personal goods</t>
  </si>
  <si>
    <t>Activities of households as employers</t>
  </si>
  <si>
    <t>βᵖ_vec = fill(2.0, N)                    # default: Other Services = 2.0</t>
  </si>
  <si>
    <t>βᵖ_vec[[1,2]] .= 6.0                     # Agriculture</t>
  </si>
  <si>
    <t>βᵖ_vec[[3,29,30]] .= 1.5                 # Energy &amp; Water</t>
  </si>
  <si>
    <t>βᵖ_vec[[4]] .= 6.0                       # Mining &amp; Quarrying</t>
  </si>
  <si>
    <t>βᵖ_vec[5:28] .= 3.0                      # Manufacturing</t>
  </si>
  <si>
    <t>βᵖ_vec[[31]] .= 3.0                      # Construction</t>
  </si>
  <si>
    <t>βᵖ_vec[[33,34]] .= 6.0                   # Transport</t>
  </si>
  <si>
    <t>βᵖ_vec[[35,53]] .= 1.0                   # Accommodation &amp; Restaurants</t>
  </si>
  <si>
    <t>βᵖ_vec[[36,38,39]] .= 0.2               # IT &amp; Communications</t>
  </si>
  <si>
    <t>βᵖ_vec[[43,51]] .= 2.0                   # Real Estate</t>
  </si>
  <si>
    <t>βᵖ_vec[[50,59]] .= 1.5                   # Human Health</t>
  </si>
  <si>
    <t>βᵖ_vec[[58]] .= 0.2                      # Education</t>
  </si>
  <si>
    <t>Proxy</t>
  </si>
  <si>
    <t xml:space="preserve">Sector Name </t>
  </si>
  <si>
    <t>Julia code</t>
  </si>
  <si>
    <t>DESTEEM-Egypt — Sector-Specific Trade Elasticities</t>
  </si>
  <si>
    <t>Source: Breisinger, Mukashov, Raouf &amp; Wiebelt (2018), Table 2.3, Column [8] — Identical Armington transformation &amp; substitution elasticities σq (GTAP-based).</t>
  </si>
  <si>
    <t>Sign convention: Breisinger σq &gt; 0. In DESTEEM-Egypt, η^x = η^M = −σq &lt; 0. Export equation: x = ζˣ·(p^b/p^w)^η^x  (η^x&lt;0 → price rise reduces exports). Import equation: σᴹ = ζᴹ·(p^b/p^w)^(−η^M)  (η^M&lt;0 → price rise raises imports).</t>
  </si>
  <si>
    <t>Julia
Index</t>
  </si>
  <si>
    <t>Sector Name (English)</t>
  </si>
  <si>
    <t>Breisinger
Sector(s)</t>
  </si>
  <si>
    <t>σq
(Breisinger,
positive)</t>
  </si>
  <si>
    <t>η^x = η^M
(DESTEEM,
negative)</t>
  </si>
  <si>
    <t>Mapping Notes</t>
  </si>
  <si>
    <t>Crop and animal production, hunting and related services</t>
  </si>
  <si>
    <t>1–13 (crops), 13 (live animals)</t>
  </si>
  <si>
    <t>Weighted avg across Breisinger crop/animal sub-sectors (range 1.30–5.05); staple crops dominate output so avg ≈ 2.50</t>
  </si>
  <si>
    <t>14 (Fish)</t>
  </si>
  <si>
    <t>Direct match</t>
  </si>
  <si>
    <t>16 (Crude oil, 5.20) + 17 (Gas, 17.20)</t>
  </si>
  <si>
    <t>19 (2.00) + 20 (3.30) + 21 (3.65) + 22 (2.60) + 23 (2.70) + 24 (2.00)</t>
  </si>
  <si>
    <t>25 (1.15)</t>
  </si>
  <si>
    <t>26 (1.15)</t>
  </si>
  <si>
    <t>28 (Knitted fabrics/apparel, 3.70)</t>
  </si>
  <si>
    <t>Manufacture of leather products and footwear</t>
  </si>
  <si>
    <t>29 (Leather/footwear, 4.05)</t>
  </si>
  <si>
    <t>Manufacture of wood and wood products</t>
  </si>
  <si>
    <t>30 (Wood products, 3.40)</t>
  </si>
  <si>
    <t>31 (Paper products, 3.40)</t>
  </si>
  <si>
    <t>Services proxy</t>
  </si>
  <si>
    <t>32–38 (Petroleum products: LPG, gasoline, solar, mazot, 2.10 each)</t>
  </si>
  <si>
    <t>40 (Basic chemicals, 3.30)</t>
  </si>
  <si>
    <t>40 (Chemicals proxy, 3.30)</t>
  </si>
  <si>
    <t>39 (Glass, 3.30)</t>
  </si>
  <si>
    <t>41 (Basic metals, 4.20)</t>
  </si>
  <si>
    <t>41 (Basic metals proxy, 4.20)</t>
  </si>
  <si>
    <t>Manufacture of computers, electronics and optical products</t>
  </si>
  <si>
    <t>42 (Radio/TV/communication equipment, 4.05)</t>
  </si>
  <si>
    <t>43 (Electrical machinery, 4.05)</t>
  </si>
  <si>
    <t>43 (Electrical/general machinery proxy, 4.05)</t>
  </si>
  <si>
    <t>General machinery proxied by electrical machinery</t>
  </si>
  <si>
    <t>Manufacture of motor vehicles and trailers</t>
  </si>
  <si>
    <t>44 (Transport equipment, 2.80)</t>
  </si>
  <si>
    <t>Services default</t>
  </si>
  <si>
    <t>Wholesale and retail trade; repair of motor vehicles</t>
  </si>
  <si>
    <t>Transport and postal services</t>
  </si>
  <si>
    <t>Storage and transport support activities</t>
  </si>
  <si>
    <t>Film, TV, sound recording and music publishing</t>
  </si>
  <si>
    <t>Telecommunications and IT services</t>
  </si>
  <si>
    <t>Financial services (excl. insurance and pension funds)</t>
  </si>
  <si>
    <t>Management consulting</t>
  </si>
  <si>
    <t>Architecture, engineering and technical analysis</t>
  </si>
  <si>
    <t>Travel agencies and tour operators</t>
  </si>
  <si>
    <t>Office administrative and business support services</t>
  </si>
  <si>
    <t>Public administration and defence; social security</t>
  </si>
  <si>
    <t>Sports and amusement and recreation activities</t>
  </si>
  <si>
    <t>34.4total/13= 2.65</t>
  </si>
  <si>
    <t>Average of crude oil and natural gas; gas very high due to commodity homogeneity (consider using 5.20 alone if instability occurs).</t>
  </si>
  <si>
    <t>Direct: 'Tobacco products'</t>
  </si>
  <si>
    <t>Direct: 'Beverages'</t>
  </si>
  <si>
    <t>15 (Coal, 3.05) + 18 (Metal ores, 0.90)</t>
  </si>
  <si>
    <t>Average: Coal + metal ores</t>
  </si>
  <si>
    <t>27 (Yarn/textile, 3.75) + 28 (Knitted fabrics, 3.7)</t>
  </si>
  <si>
    <t>Direct: 'Leather and footwear'</t>
  </si>
  <si>
    <t>Direct: 'Wood products'</t>
  </si>
  <si>
    <t>Direct: 'Paper products'</t>
  </si>
  <si>
    <t>Proxy: 'Other Services'</t>
  </si>
  <si>
    <t>Direct: 2.1 for all petroleum products</t>
  </si>
  <si>
    <t>Direct: 'Basic chemicals'</t>
  </si>
  <si>
    <t>Direct: 'Basic metals'</t>
  </si>
  <si>
    <t>Proxy: Basic metals (no separate fabricated metals)</t>
  </si>
  <si>
    <t>Proxy: Basic chemicals (no separate rubber/plastics)</t>
  </si>
  <si>
    <t>Proxy: Basic chemicals (no separate pharma)</t>
  </si>
  <si>
    <t>Direct: 'Electrical machinery'</t>
  </si>
  <si>
    <t>Direct: 'Transport equipment'</t>
  </si>
  <si>
    <t>Direct: 'Furniture'</t>
  </si>
  <si>
    <t>45 (Furniture, 3.75)</t>
  </si>
  <si>
    <t>Direct: 'Water distribution'</t>
  </si>
  <si>
    <t>47 (Water distribution, 2.8)</t>
  </si>
  <si>
    <t>48 (Consruction Services, 1.9)</t>
  </si>
  <si>
    <t>Direct: 'Construction services'</t>
  </si>
  <si>
    <t>49 (Wholesale and retail trade services, 1.9)</t>
  </si>
  <si>
    <t>50 (Transport services, 1.9)</t>
  </si>
  <si>
    <t>Direct: 'Transport services'</t>
  </si>
  <si>
    <t>Direct: 'Wholesale retail trade'</t>
  </si>
  <si>
    <t>Proxy: Transport services (no seperate warehousing)</t>
  </si>
  <si>
    <t>51 (Lodging, 1.9)</t>
  </si>
  <si>
    <t xml:space="preserve">Proxy: Other services </t>
  </si>
  <si>
    <t>59 (Other Services, 1.9)</t>
  </si>
  <si>
    <t>52 (Telecommunications, 1.9)</t>
  </si>
  <si>
    <t>53 (Financial intermediation, 1.9)</t>
  </si>
  <si>
    <t>Direct: 'Real estate services'</t>
  </si>
  <si>
    <t>Direct: 'Business services'</t>
  </si>
  <si>
    <t>Direct: 'Telecommunications'</t>
  </si>
  <si>
    <t>Direct: 'Financial intermediation'</t>
  </si>
  <si>
    <t>54 (Real estate, 1.9)</t>
  </si>
  <si>
    <t>55 (Business, 1.9)</t>
  </si>
  <si>
    <t>Direct: 'Public administration'</t>
  </si>
  <si>
    <t>Direct: 'Education services'</t>
  </si>
  <si>
    <t>Direct: 'Health and social services'</t>
  </si>
  <si>
    <t>54 (Public admin, 1.9)</t>
  </si>
  <si>
    <t>57 (Education, 1.9)</t>
  </si>
  <si>
    <t>58 (Health, 1.9)</t>
  </si>
  <si>
    <t>Egypt Subsistence Shares —  Rwanda formula applied to Egypt quintile incomes</t>
  </si>
  <si>
    <t>Rwanda reference: f1=$133→ω=−6.19 (83.9% subsistence)  |  f5=$899→ω=−4.05 (75.3%)  |  u5=$2,993→ω=−2.02 (50.4%)  |  National avg=$582→ω=−3.64 (72.5%)</t>
  </si>
  <si>
    <t>1. Frisch Calculation</t>
  </si>
  <si>
    <t>Step / Variable</t>
  </si>
  <si>
    <t>Q1
$610/cap</t>
  </si>
  <si>
    <t>Q2
$883/cap</t>
  </si>
  <si>
    <t>Q3
$1,122/cap</t>
  </si>
  <si>
    <t>Q4
$1,550/cap</t>
  </si>
  <si>
    <t>Q5
$3,705/cap</t>
  </si>
  <si>
    <t>Formula / Notes</t>
  </si>
  <si>
    <t>1. Per-capita consumption (USD)</t>
  </si>
  <si>
    <t>IFPRI SAM 2019 CQ ÷ POPQ (20,329k each) ÷ 17 EGP/USD</t>
  </si>
  <si>
    <t>2. Frisch parameter ω = −36 · y^(−0.36)</t>
  </si>
  <si>
    <t>3. Aggregate subsistence share γ = 1 + 1/ω</t>
  </si>
  <si>
    <t>4. Discretionary share = 1 − γ</t>
  </si>
  <si>
    <t>2. Sector Gamas</t>
  </si>
  <si>
    <t>Egypt Sector × Quintile Subsistence Shares  |  γ_Egypt[j,h] = γ_agg[h] × (Rwanda_sector_j / Rwanda_avg)  |  Sector pattern from Rwanda, level from Frisch</t>
  </si>
  <si>
    <t xml:space="preserve"> (1) Frisch gives aggregate subsistence share per quintile — Q1=72%, Q5=47%. (2) Rwanda sector pattern distributes this aggregate across sectors — cereals highest, services lowest. Combined: γ[j,h] = γ_agg[h] × (Rwanda_cat_j / 74.3%)</t>
  </si>
  <si>
    <t>Sector category</t>
  </si>
  <si>
    <t>Rwanda γ
(nat. avg)</t>
  </si>
  <si>
    <t>Q1
72% agg</t>
  </si>
  <si>
    <t>Q2
68% agg</t>
  </si>
  <si>
    <t>Q3
65% agg</t>
  </si>
  <si>
    <t>Q4
61% agg</t>
  </si>
  <si>
    <t>Q5
47% agg</t>
  </si>
  <si>
    <t>Interpretation</t>
  </si>
  <si>
    <t>Cereals &amp; roots</t>
  </si>
  <si>
    <t>Staple food — highest subsistence. Q1=84%, Q5=55%</t>
  </si>
  <si>
    <t>Vegetables &amp; pulses</t>
  </si>
  <si>
    <t>Basic food — high necessity below cereals</t>
  </si>
  <si>
    <t>Fish, meat &amp; eggs</t>
  </si>
  <si>
    <t>Protein — high necessity, some substitution</t>
  </si>
  <si>
    <t>Dairy &amp; fats/oils</t>
  </si>
  <si>
    <t>Basic food inputs — similar to vegetables</t>
  </si>
  <si>
    <t>Other food</t>
  </si>
  <si>
    <t>Most discretionary food category</t>
  </si>
  <si>
    <t>Clothing &amp; textiles</t>
  </si>
  <si>
    <t>Basic clothing necessity</t>
  </si>
  <si>
    <t>Utilities (elec/water)</t>
  </si>
  <si>
    <t>Core necessity. Used for SHOCKED sector 14</t>
  </si>
  <si>
    <t>Housing &amp; real estate</t>
  </si>
  <si>
    <t>Shelter — high necessity all groups</t>
  </si>
  <si>
    <t>Educ, health &amp; public</t>
  </si>
  <si>
    <t>Basic services — high necessity</t>
  </si>
  <si>
    <t>Industrial goods — more discretionary</t>
  </si>
  <si>
    <t>Services (residual)</t>
  </si>
  <si>
    <t>Most discretionary — lowest gamma</t>
  </si>
  <si>
    <t>TOTAL aggregate</t>
  </si>
  <si>
    <t>Weighted average — equals Frisch γ_agg exactly</t>
  </si>
  <si>
    <t xml:space="preserve">Egypt IO Sector → Rwanda Category Mapping  </t>
  </si>
  <si>
    <t>#</t>
  </si>
  <si>
    <t>Egypt IO Sector Name</t>
  </si>
  <si>
    <t>Rwanda Category</t>
  </si>
  <si>
    <t>Q1 γ</t>
  </si>
  <si>
    <t>Q2 γ</t>
  </si>
  <si>
    <t>Q3 γ</t>
  </si>
  <si>
    <t>Q4 γ</t>
  </si>
  <si>
    <t>Q5 γ</t>
  </si>
  <si>
    <t>Mapping justification</t>
  </si>
  <si>
    <t>Crop &amp; animal production</t>
  </si>
  <si>
    <t>Staple crops — direct match; highest necessity</t>
  </si>
  <si>
    <t>Direct match — fish is primary protein source</t>
  </si>
  <si>
    <t>Extraction of crude petroleum/gas</t>
  </si>
  <si>
    <t>Energy extraction — utility necessity proxy</t>
  </si>
  <si>
    <t>Mining (metal ores &amp; other)</t>
  </si>
  <si>
    <t>Industrial — manufacturing proxy</t>
  </si>
  <si>
    <t>Food processing — dairy/oils proxy</t>
  </si>
  <si>
    <t>Less essential — other food proxy</t>
  </si>
  <si>
    <t>Manufacture of tobacco</t>
  </si>
  <si>
    <t>Low necessity — other food proxy</t>
  </si>
  <si>
    <t>Manufacturing proxy</t>
  </si>
  <si>
    <t>Printing &amp; reproduction</t>
  </si>
  <si>
    <t>Petroleum refining [SHOCKED]</t>
  </si>
  <si>
    <t>Energy product — utility proxy; SHOCKED SECTOR</t>
  </si>
  <si>
    <t>Pharmaceuticals</t>
  </si>
  <si>
    <t>Health product — direct match</t>
  </si>
  <si>
    <t>Rubber and plastics</t>
  </si>
  <si>
    <t>Non-metallic minerals</t>
  </si>
  <si>
    <t>Basic metals</t>
  </si>
  <si>
    <t>Fabricated metal products</t>
  </si>
  <si>
    <t>Computers &amp; electronics</t>
  </si>
  <si>
    <t>Low necessity — services proxy</t>
  </si>
  <si>
    <t>Machinery &amp; equipment n.e.c.</t>
  </si>
  <si>
    <t>Motor vehicles &amp; trailers</t>
  </si>
  <si>
    <t>Luxury — lowest gamma category</t>
  </si>
  <si>
    <t>Other transport equipment</t>
  </si>
  <si>
    <t>Furniture</t>
  </si>
  <si>
    <t>Home furnishing — housing proxy</t>
  </si>
  <si>
    <t>Repair &amp; installation</t>
  </si>
  <si>
    <t>Electricity, gas &amp; steam supply</t>
  </si>
  <si>
    <t>Direct match — core necessity</t>
  </si>
  <si>
    <t>Water collection &amp; treatment</t>
  </si>
  <si>
    <t>Direct match — most essential utility</t>
  </si>
  <si>
    <t>Wholesale &amp; retail trade</t>
  </si>
  <si>
    <t>Transport services</t>
  </si>
  <si>
    <t>Trade/transport direct match</t>
  </si>
  <si>
    <t>Storage &amp; transport support</t>
  </si>
  <si>
    <t>Accommodation &amp; food services</t>
  </si>
  <si>
    <t>Hotels &amp; restaurants direct match</t>
  </si>
  <si>
    <t>Publishing</t>
  </si>
  <si>
    <t>Film, TV, sound recording</t>
  </si>
  <si>
    <t>Programming &amp; broadcasting</t>
  </si>
  <si>
    <t>Telecommunications &amp; IT</t>
  </si>
  <si>
    <t>Financial services</t>
  </si>
  <si>
    <t>Insurance &amp; pension funding</t>
  </si>
  <si>
    <t>Auxiliary financial activities</t>
  </si>
  <si>
    <t>Legal &amp; accounting</t>
  </si>
  <si>
    <t>Professional services proxy</t>
  </si>
  <si>
    <t>Architecture &amp; engineering</t>
  </si>
  <si>
    <t>Scientific R&amp;D</t>
  </si>
  <si>
    <t>Advertising &amp; market research</t>
  </si>
  <si>
    <t>Other professional services</t>
  </si>
  <si>
    <t>Rental &amp; leasing</t>
  </si>
  <si>
    <t>Travel agencies &amp; tour operators</t>
  </si>
  <si>
    <t>Tourism proxy</t>
  </si>
  <si>
    <t>Security &amp; investigation</t>
  </si>
  <si>
    <t>Building &amp; landscape services</t>
  </si>
  <si>
    <t>Office administrative services</t>
  </si>
  <si>
    <t>Public administration &amp; defence</t>
  </si>
  <si>
    <t>Human health &amp; social work</t>
  </si>
  <si>
    <t>Creative arts &amp; entertainment</t>
  </si>
  <si>
    <t>Libraries, archives &amp; museums</t>
  </si>
  <si>
    <t>Cultural/educational match</t>
  </si>
  <si>
    <t>Gambling &amp; betting</t>
  </si>
  <si>
    <t>Sports &amp; recreation</t>
  </si>
  <si>
    <t>Membership organisations</t>
  </si>
  <si>
    <t>Repair of household goods</t>
  </si>
  <si>
    <t>Other personal services</t>
  </si>
  <si>
    <t>Activities of households</t>
  </si>
  <si>
    <t>Basic necessities proxy</t>
  </si>
  <si>
    <t>Bold category = DIRECT Rwanda match  |  Green γ≥70% (Q1) or ≥45% (Q5)  |  Amber = most discretionary  |  Red = shocked sector 14</t>
  </si>
  <si>
    <t xml:space="preserve">3. Mapping </t>
  </si>
  <si>
    <t>Rwanda → Egypt Subsistence Shares  |  Formula: γ_Egypt = γ_Rwanda × (GDPpc_Rwanda/GDPpc_Egypt)^α  =  γ_Rwanda × 0.631</t>
  </si>
  <si>
    <t>Rwanda GDP per capita 2019</t>
  </si>
  <si>
    <t>$822</t>
  </si>
  <si>
    <t>World Bank WDI, current USD</t>
  </si>
  <si>
    <t>Egypt GDP per capita 2019</t>
  </si>
  <si>
    <t>$2,960</t>
  </si>
  <si>
    <t>Lluch exponent α</t>
  </si>
  <si>
    <t>0.36</t>
  </si>
  <si>
    <t>From Rwanda LES row 203: ω=−36·y^(−0.36) → slope=0.36</t>
  </si>
  <si>
    <t>Scale factor</t>
  </si>
  <si>
    <t>0.6305</t>
  </si>
  <si>
    <t>Effect</t>
  </si>
  <si>
    <t>−36.9%</t>
  </si>
  <si>
    <t>Egypt subsistence shares are this much lower than Rwanda</t>
  </si>
  <si>
    <t>Rwanda γ
(national avg)</t>
  </si>
  <si>
    <t>Egypt γ
(×scale)</t>
  </si>
  <si>
    <t>Reduction</t>
  </si>
  <si>
    <t>Economic interpretation</t>
  </si>
  <si>
    <t>Staple food — highest subsistence share, even after scaling</t>
  </si>
  <si>
    <t>Basic food — high necessity, slightly below cereals</t>
  </si>
  <si>
    <t>Protein foods — high necessity, some substitution possible</t>
  </si>
  <si>
    <t>Basic food inputs — similar necessity to vegetables</t>
  </si>
  <si>
    <t>Processed food — most discretionary food category</t>
  </si>
  <si>
    <t>Basic clothing — necessity, particularly for poor households</t>
  </si>
  <si>
    <t>Electricity &amp; water — core household necessity. Includes SHOCKED sector 14</t>
  </si>
  <si>
    <t>Shelter — high necessity across all income groups</t>
  </si>
  <si>
    <t>Education &amp; health — basic services with high necessity</t>
  </si>
  <si>
    <t>Industrial goods — more discretionary than food and utilities</t>
  </si>
  <si>
    <t>Residual services — most discretionary; lowest overall gamma</t>
  </si>
  <si>
    <t>National average across all sectors</t>
  </si>
  <si>
    <t>Rwanda γ</t>
  </si>
  <si>
    <t>Egypt γ</t>
  </si>
  <si>
    <t>Staple crops — cereals/roots direct match; highest necessity</t>
  </si>
  <si>
    <t>Energy extraction — household energy necessity proxy</t>
  </si>
  <si>
    <t>Industrial sector — manufacturing proxy</t>
  </si>
  <si>
    <t>Food processing — dairy/oils most representative</t>
  </si>
  <si>
    <t>Less essential than staple food — other food proxy</t>
  </si>
  <si>
    <t>Low necessity — other food (lowest food gamma) proxy</t>
  </si>
  <si>
    <t>Leather/footwear — basic clothing necessity</t>
  </si>
  <si>
    <t>Industrial manufacturing proxy</t>
  </si>
  <si>
    <t>Service-like — services proxy</t>
  </si>
  <si>
    <t>Energy product — utility necessity proxy; SHOCKED SECTOR</t>
  </si>
  <si>
    <t>Health product — education/health direct match</t>
  </si>
  <si>
    <t>Technology — low necessity; services proxy</t>
  </si>
  <si>
    <t>Luxury good — lowest gamma category</t>
  </si>
  <si>
    <t>Home furnishing — housing necessity proxy</t>
  </si>
  <si>
    <t>Residual manufacturing proxy</t>
  </si>
  <si>
    <t>Service activity — services proxy</t>
  </si>
  <si>
    <t>Direct match — electricity is core household necessity</t>
  </si>
  <si>
    <t>Direct match — water is most essential utility</t>
  </si>
  <si>
    <t>Direct match — Rwanda 'Construction' category</t>
  </si>
  <si>
    <t>Rwanda 'trade, transport &amp; comm' proxy</t>
  </si>
  <si>
    <t>Rwanda 'trade, transport &amp; comm' direct match</t>
  </si>
  <si>
    <t>Transport support — services proxy</t>
  </si>
  <si>
    <t>Rwanda 'hotels &amp; restaurants' direct match</t>
  </si>
  <si>
    <t>Entertainment — services proxy</t>
  </si>
  <si>
    <t>Media — services proxy</t>
  </si>
  <si>
    <t>Financial services proxy</t>
  </si>
  <si>
    <t>Direct match — housing is core necessity</t>
  </si>
  <si>
    <t>Research — low necessity; services proxy</t>
  </si>
  <si>
    <t>Business services proxy</t>
  </si>
  <si>
    <t>Tourism — low necessity; services proxy</t>
  </si>
  <si>
    <t>Direct match — Rwanda 'educ, health &amp; public' category</t>
  </si>
  <si>
    <t>Direct match — education is core necessity</t>
  </si>
  <si>
    <t>Direct match — health is core necessity</t>
  </si>
  <si>
    <t>Cultural/educational — direct match</t>
  </si>
  <si>
    <t>Most discretionary — lowest gamma category</t>
  </si>
  <si>
    <t>Leisure — services proxy</t>
  </si>
  <si>
    <t>Basic household services — necessities proxy</t>
  </si>
  <si>
    <t>Bold category = DIRECT Rwanda match  |  Green γ≥50%  |  Amber γ≤40%  |  Red row = shocked sector 14</t>
  </si>
  <si>
    <t xml:space="preserve">Egypt IO Sector → Rwanda Category Mapping </t>
  </si>
  <si>
    <t>Julia Code</t>
  </si>
  <si>
    <t>Egypt IO → Eldeep &amp; Zaki (2023) Trade Elasticities  |  σM ∈ [0.9, 2.4]  ·  σX ∈ [1.5, 3.0]  |  η = −σ  (negative in DESTEEM-Egypt)</t>
  </si>
  <si>
    <t>EZ Category</t>
  </si>
  <si>
    <t>σM
(import
subs.)</t>
  </si>
  <si>
    <t>η^M
(= −σM)</t>
  </si>
  <si>
    <t>σX
(export
transf.)</t>
  </si>
  <si>
    <t>η^X
(= −σX)</t>
  </si>
  <si>
    <t>Assignment justification</t>
  </si>
  <si>
    <t>Low: heterogeneous local products, limited import substitution for staples</t>
  </si>
  <si>
    <t>Low-moderate: local preferences for fresh fish limit substitution</t>
  </si>
  <si>
    <t>Mining/energy</t>
  </si>
  <si>
    <t>Moderate: commodity market but capacity-constrained production</t>
  </si>
  <si>
    <t>Moderate: mineral commodities, some homogeneity</t>
  </si>
  <si>
    <t>Food processing</t>
  </si>
  <si>
    <t>Moderate: processed food, some product differentiation</t>
  </si>
  <si>
    <t>Moderate: branded products limit substitution</t>
  </si>
  <si>
    <t>Low-moderate: brand loyalty limits substitution</t>
  </si>
  <si>
    <t>Textiles/apparel</t>
  </si>
  <si>
    <t>High: relatively homogeneous, strong import competition</t>
  </si>
  <si>
    <t>High: global value chains, strong substitution</t>
  </si>
  <si>
    <t>High: competitive global market</t>
  </si>
  <si>
    <t>Light manufacturing</t>
  </si>
  <si>
    <t>High: homogeneous intermediate good</t>
  </si>
  <si>
    <t>High: commodity-like paper products</t>
  </si>
  <si>
    <t>Low: locally produced, limited tradability</t>
  </si>
  <si>
    <t>Energy products</t>
  </si>
  <si>
    <t>Heavy manufacturing</t>
  </si>
  <si>
    <t>High: competitive global chemical markets</t>
  </si>
  <si>
    <t>Moderate-high: product differentiation limits substitution</t>
  </si>
  <si>
    <t>High: relatively homogeneous intermediate goods</t>
  </si>
  <si>
    <t>Moderate: bulky goods, transport costs limit tradability</t>
  </si>
  <si>
    <t>High: commodity metals, near-perfect substitutes globally</t>
  </si>
  <si>
    <t>High: standardised industrial products</t>
  </si>
  <si>
    <t>Highest: global electronics market, highly homogeneous</t>
  </si>
  <si>
    <t>High: global electrical equipment markets</t>
  </si>
  <si>
    <t>High: competitive machinery markets</t>
  </si>
  <si>
    <t>High: global auto market but import barriers in Egypt</t>
  </si>
  <si>
    <t>High: global transport equipment market</t>
  </si>
  <si>
    <t>Moderate: local tastes matter, some differentiation</t>
  </si>
  <si>
    <t>High: residual manufacturing, generally tradeable</t>
  </si>
  <si>
    <t>Low: local service, largely non-tradeable</t>
  </si>
  <si>
    <t>Utilities</t>
  </si>
  <si>
    <t>Low: network good, very limited international trade</t>
  </si>
  <si>
    <t>Low: local network good, non-tradeable</t>
  </si>
  <si>
    <t>Low: construction is local, non-tradeable</t>
  </si>
  <si>
    <t>Low: trade services are local</t>
  </si>
  <si>
    <t>Low-moderate: some international transport tradeable</t>
  </si>
  <si>
    <t>Low: local logistics services</t>
  </si>
  <si>
    <t>Low-moderate: tourism-linked, some tradability</t>
  </si>
  <si>
    <t>Low: local content</t>
  </si>
  <si>
    <t>Low: cultural goods, local preferences</t>
  </si>
  <si>
    <t>Low: local broadcast services</t>
  </si>
  <si>
    <t>Low-moderate: some cross-border IT services</t>
  </si>
  <si>
    <t>Low: locally regulated financial sector</t>
  </si>
  <si>
    <t>Low: locally regulated</t>
  </si>
  <si>
    <t>Low: locally provided</t>
  </si>
  <si>
    <t>Low: immobile asset, non-tradeable</t>
  </si>
  <si>
    <t>Low: professional services, local regulation</t>
  </si>
  <si>
    <t>Low-moderate: some cross-border consulting</t>
  </si>
  <si>
    <t>Low-moderate: project-based, some international</t>
  </si>
  <si>
    <t>Low: public-good nature limits tradability</t>
  </si>
  <si>
    <t>Low: local market focus</t>
  </si>
  <si>
    <t>Low: locally delivered</t>
  </si>
  <si>
    <t>Low: local service</t>
  </si>
  <si>
    <t>Low: local labour market</t>
  </si>
  <si>
    <t>Low-moderate: tourism services</t>
  </si>
  <si>
    <t>Low: public sector, non-tradeable</t>
  </si>
  <si>
    <t>Low: public good, local delivery</t>
  </si>
  <si>
    <t>Low: local healthcare delivery</t>
  </si>
  <si>
    <t>Low-moderate: cultural goods</t>
  </si>
  <si>
    <t>Low: public service</t>
  </si>
  <si>
    <t>Low-moderate: some tourism link</t>
  </si>
  <si>
    <t>Low: local</t>
  </si>
  <si>
    <t>Low: non-market, non-tradeable</t>
  </si>
  <si>
    <t>Green η^M: |η|≥2.0 (high elasticity, competitive markets)  |  Amber η^M: |η|≤1.0 (low elasticity, services/non-tradeables)  |  Red row: shocked sector 14</t>
  </si>
  <si>
    <t>Trade Elasticity Comparison — Four Sources  |  All shown as η (negative)  |  Use for sensitivity analysis</t>
  </si>
  <si>
    <t>Egypt IO Sector</t>
  </si>
  <si>
    <t>EZ η^M
(import)</t>
  </si>
  <si>
    <t>EZ η^X
(export)</t>
  </si>
  <si>
    <t>Griffin 2016
(uniform −2.5)</t>
  </si>
  <si>
    <t>Cockburn 2018
(uniform −2.0)</t>
  </si>
  <si>
    <t>Source</t>
  </si>
  <si>
    <t>Eldeep, C. &amp; Zaki, C. (2023). 'On the unfinished business of stabilization programs: a CGE model of Egypt'. Middle East Development Journal, 15(1), 66–100. DOI: 10.1080/17938120.2023.2200727
The paper reports ranges for trade elasticities calibrated to Egypt's SAM 2014/15 (sourced from Lofgren 2001 and Annabi et al. 2006): import substitution σM ∈ [0.9, 2.4]; export transformation σX ∈ [1.5, 3.0]. Sector-specific values within these ranges are assigned below.</t>
  </si>
  <si>
    <t>Values are assigned within reported ranges based on sector tradability:
• Agriculture (0.9–1.0): local tastes and perishability limit substitution
• Mining/energy (1.2–1.8): commodity goods, some homogeneity, capacity constraints
• Food processing (1.0–1.2): branded products, moderate differentiation
• Textiles/apparel (1.8–2.0): global value chains, high substitution
• Heavy manufacturing (1.8–2.4): standardised industrial goods, competitive markets
• Energy products / sector 14 (1.5): SHOCKED SECTOR — moderate, Egypt is price-taker
• Services and utilities (0.9–1.0): largely non-tradeable, network goods</t>
  </si>
  <si>
    <t>Three additional benchmarks used in sensitivity analysis:
• Breisinger et al. (2018): GTAP sector-specific σq ∈ [0.90, 11.20] — original specification
• Griffin et al. (2016, World Bank): uniform Armington = 2.5 for all sectors (Egypt-specific)
• Cockburn et al. (2018): uniform trade elasticity = 2.0 for Egypt (citing Maskus &amp; Konan 1997)
• Current baseline: uniform η = −0.7 (conservative)</t>
  </si>
  <si>
    <t>• Calibrated to Egyptian SAM 2014/15 — closest to DESTEEM-Egypt base year
• Separate import (σM) and export (σX) elasticities 
• All values within 0.9–3.0 (eliminates Breisinger's extreme oil/gas elasticity (11.20) which was causing unrealistic shock amplification)</t>
  </si>
  <si>
    <t>Breisinger et al. (2018)</t>
  </si>
  <si>
    <t xml:space="preserve">Petroleum refining </t>
  </si>
  <si>
    <t>Petroleum refining</t>
  </si>
  <si>
    <t>Moderate: refined products are tradeable but Egypt is a price-taker.</t>
  </si>
  <si>
    <t>Rwanda Code
(uniform −0.7)</t>
  </si>
  <si>
    <t>γ_Egypt(Q,j) = γ_Rwanda(j) × (GDPpc_Egypt/GDPpc_Rwanda)^α × quintile_scale(Q)  | Scale = (2960/822)^0.36 = 0.631⁻¹ = 1.586  | Wait — actually: (822/2960)^0.36 = 0.631  | Q-scales: Q1=1.2, Q2=1.1, Q3=1.0, Q4=0.85, Q5=0.65</t>
  </si>
  <si>
    <t>Q1
(% subsistence)</t>
  </si>
  <si>
    <t>Q2
(% subsistence)</t>
  </si>
  <si>
    <t>Q3
(% subsistence)</t>
  </si>
  <si>
    <t>Q4
(% subsistence)</t>
  </si>
  <si>
    <t>Q5
(% subsistence)</t>
  </si>
  <si>
    <t>Average subsistence share by quintile (%)</t>
  </si>
  <si>
    <t>Notes: Values are % of per-capita sectoral consumption that represents subsistence minimum. Julia code: c0Q = (C0_SH ./ 100) .* cQ — divides by 100 to get fraction. Q1 has highest subsistence (×1.20), Q5 lowest (×0.65), reflecting gradient from Lluch (1977).</t>
  </si>
  <si>
    <t>Source: Central Agency for Public Mobilization and Statistics - Social Services Statistics                                       </t>
  </si>
  <si>
    <t>Value (mil egp)</t>
  </si>
  <si>
    <t>Takaful</t>
  </si>
  <si>
    <t>Karama</t>
  </si>
  <si>
    <t>Benefeciaries</t>
  </si>
  <si>
    <t>GDP current (MPED)</t>
  </si>
  <si>
    <t>%GDP</t>
  </si>
  <si>
    <t>probably households</t>
  </si>
  <si>
    <t>individuals</t>
  </si>
  <si>
    <t>Indicator</t>
  </si>
  <si>
    <t>Total Egypt</t>
  </si>
  <si>
    <t>Annual change rate of consumer indices of the main divisions and groups on 2018/2019 basis - Urban, Rural and Total Egypt</t>
  </si>
  <si>
    <t>COLOR Code:</t>
  </si>
  <si>
    <t xml:space="preserve">  </t>
  </si>
  <si>
    <t>Annual change rate of consumer indices of the main divisions and groups on January 2010 basis - Urban, Rural and Total Egypt</t>
  </si>
  <si>
    <t>Source: Central Agency for Public Mobilization and Statistics - Consumer Price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</si>
</sst>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_ ;\-0\ "/>
    <numFmt numFmtId="165" formatCode="00"/>
    <numFmt numFmtId="166" formatCode="_-* #,##0.00_-;_-* #,##0.00\-;_-* &quot;-&quot;??_-;_-@_-"/>
    <numFmt numFmtId="167" formatCode="#,##0.00000"/>
    <numFmt numFmtId="168" formatCode="#,##0.0"/>
    <numFmt numFmtId="169" formatCode="0.000"/>
    <numFmt numFmtId="170" formatCode="0.0%"/>
    <numFmt numFmtId="171" formatCode="0.0"/>
  </numFmts>
  <fonts count="9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 Light"/>
      <family val="1"/>
      <scheme val="major"/>
    </font>
    <font>
      <b/>
      <sz val="22"/>
      <color theme="1"/>
      <name val="Calibri Light"/>
      <family val="1"/>
      <scheme val="major"/>
    </font>
    <font>
      <b/>
      <sz val="14"/>
      <color theme="1"/>
      <name val="Calibri Light"/>
      <family val="1"/>
      <scheme val="major"/>
    </font>
    <font>
      <b/>
      <sz val="10"/>
      <color theme="1"/>
      <name val="Calibri Light"/>
      <family val="1"/>
      <scheme val="major"/>
    </font>
    <font>
      <b/>
      <sz val="11"/>
      <color theme="1"/>
      <name val="Calibri Light"/>
      <family val="1"/>
      <scheme val="major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name val="Times New Roman"/>
      <family val="1"/>
    </font>
    <font>
      <sz val="11"/>
      <color theme="1"/>
      <name val="Calibri"/>
      <family val="2"/>
      <charset val="178"/>
      <scheme val="minor"/>
    </font>
    <font>
      <b/>
      <sz val="10"/>
      <color theme="1"/>
      <name val="Calibri"/>
      <family val="2"/>
      <scheme val="minor"/>
    </font>
    <font>
      <b/>
      <sz val="10"/>
      <name val="Arial"/>
      <family val="2"/>
    </font>
    <font>
      <sz val="11"/>
      <name val="Calibri"/>
      <family val="2"/>
      <charset val="178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1"/>
      <scheme val="minor"/>
    </font>
    <font>
      <b/>
      <sz val="11"/>
      <color theme="1"/>
      <name val="Calibri"/>
      <family val="1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1"/>
      <scheme val="minor"/>
    </font>
    <font>
      <b/>
      <sz val="12"/>
      <color theme="1"/>
      <name val="Calibri Light"/>
      <family val="1"/>
      <scheme val="major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555555"/>
      <name val="Arial"/>
      <family val="2"/>
    </font>
    <font>
      <i/>
      <sz val="10"/>
      <name val="Arial"/>
      <family val="2"/>
    </font>
    <font>
      <b/>
      <i/>
      <sz val="9"/>
      <name val="Arial"/>
      <family val="2"/>
    </font>
    <font>
      <sz val="10"/>
      <color theme="1"/>
      <name val="Arial"/>
      <family val="2"/>
    </font>
    <font>
      <i/>
      <sz val="12"/>
      <color rgb="FFC00000"/>
      <name val="Calibri"/>
      <family val="2"/>
      <scheme val="minor"/>
    </font>
    <font>
      <sz val="12"/>
      <color theme="5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2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 Light"/>
      <family val="1"/>
      <scheme val="major"/>
    </font>
    <font>
      <sz val="10"/>
      <color rgb="FF000000"/>
      <name val="Arial"/>
      <family val="2"/>
    </font>
    <font>
      <i/>
      <sz val="9"/>
      <name val="Arial"/>
      <family val="2"/>
    </font>
    <font>
      <i/>
      <sz val="9"/>
      <color rgb="FFC00000"/>
      <name val="Arial"/>
      <family val="2"/>
    </font>
    <font>
      <sz val="11"/>
      <color rgb="FFC00000"/>
      <name val="Calibri"/>
      <family val="2"/>
      <scheme val="minor"/>
    </font>
    <font>
      <b/>
      <sz val="16"/>
      <color theme="1"/>
      <name val="Calibri Light"/>
      <family val="1"/>
      <scheme val="major"/>
    </font>
    <font>
      <sz val="12"/>
      <color theme="1"/>
      <name val="Calibri Light"/>
      <family val="2"/>
      <scheme val="major"/>
    </font>
    <font>
      <b/>
      <sz val="11"/>
      <color rgb="FFFFFFFF"/>
      <name val="Arial"/>
      <family val="2"/>
    </font>
    <font>
      <sz val="9"/>
      <name val="Courier New"/>
      <family val="1"/>
    </font>
    <font>
      <sz val="11"/>
      <color rgb="FF000000"/>
      <name val="Calibri"/>
      <family val="2"/>
    </font>
    <font>
      <sz val="11"/>
      <color rgb="FF000000"/>
      <name val="Aptos"/>
    </font>
    <font>
      <b/>
      <sz val="13"/>
      <color rgb="FF1F4E79"/>
      <name val="Arial"/>
      <family val="2"/>
    </font>
    <font>
      <i/>
      <sz val="9"/>
      <color rgb="FF595959"/>
      <name val="Arial"/>
      <family val="2"/>
    </font>
    <font>
      <sz val="8"/>
      <name val="Calibri"/>
      <family val="2"/>
      <scheme val="minor"/>
    </font>
    <font>
      <i/>
      <sz val="9"/>
      <color rgb="FF2E5FA3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rgb="FF1A1A1A"/>
      <name val="Calibri"/>
      <family val="2"/>
      <scheme val="minor"/>
    </font>
    <font>
      <sz val="9"/>
      <color rgb="FF1A1A1A"/>
      <name val="Calibri"/>
      <family val="2"/>
      <scheme val="minor"/>
    </font>
    <font>
      <b/>
      <sz val="10"/>
      <color rgb="FFB71C1C"/>
      <name val="Calibri"/>
      <family val="2"/>
      <scheme val="minor"/>
    </font>
    <font>
      <b/>
      <sz val="10"/>
      <color rgb="FFE65100"/>
      <name val="Calibri"/>
      <family val="2"/>
      <scheme val="minor"/>
    </font>
    <font>
      <b/>
      <sz val="10"/>
      <color rgb="FF1B5E20"/>
      <name val="Calibri"/>
      <family val="2"/>
      <scheme val="minor"/>
    </font>
    <font>
      <i/>
      <sz val="9"/>
      <color rgb="FF555555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1B5E20"/>
      <name val="Calibri"/>
      <family val="2"/>
      <scheme val="minor"/>
    </font>
    <font>
      <sz val="10"/>
      <color rgb="FFE65100"/>
      <name val="Calibri"/>
      <family val="2"/>
      <scheme val="minor"/>
    </font>
    <font>
      <b/>
      <sz val="10"/>
      <color rgb="FF1A1A1A"/>
      <name val="Calibri"/>
      <family val="2"/>
      <scheme val="minor"/>
    </font>
    <font>
      <b/>
      <sz val="9"/>
      <color rgb="FF1A1A1A"/>
      <name val="Calibri"/>
      <family val="2"/>
      <scheme val="minor"/>
    </font>
    <font>
      <b/>
      <sz val="9"/>
      <color rgb="FF1F3A6E"/>
      <name val="Calibri"/>
      <family val="2"/>
      <scheme val="minor"/>
    </font>
    <font>
      <sz val="9"/>
      <color rgb="FF1B5E20"/>
      <name val="Calibri"/>
      <family val="2"/>
      <scheme val="minor"/>
    </font>
    <font>
      <sz val="9"/>
      <color rgb="FFE65100"/>
      <name val="Calibri"/>
      <family val="2"/>
      <scheme val="minor"/>
    </font>
    <font>
      <b/>
      <sz val="9"/>
      <color rgb="FFB71C1C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0"/>
      <color rgb="FF1F3A6E"/>
      <name val="Calibri"/>
      <family val="2"/>
      <scheme val="minor"/>
    </font>
    <font>
      <sz val="9"/>
      <color rgb="FF555555"/>
      <name val="Calibri"/>
      <family val="2"/>
      <scheme val="minor"/>
    </font>
    <font>
      <sz val="10"/>
      <color rgb="FF555555"/>
      <name val="Calibri"/>
      <family val="2"/>
      <scheme val="minor"/>
    </font>
    <font>
      <sz val="10"/>
      <color rgb="FFB71C1C"/>
      <name val="Calibri"/>
      <family val="2"/>
      <scheme val="minor"/>
    </font>
    <font>
      <b/>
      <sz val="10"/>
      <color rgb="FF555555"/>
      <name val="Calibri"/>
      <family val="2"/>
      <scheme val="minor"/>
    </font>
    <font>
      <b/>
      <sz val="9"/>
      <color rgb="FFFFFFFF"/>
      <name val="Arial"/>
      <family val="2"/>
    </font>
    <font>
      <sz val="9"/>
      <color rgb="FF1A1A1A"/>
      <name val="Arial"/>
      <family val="2"/>
    </font>
    <font>
      <sz val="9"/>
      <color rgb="FF1F3A6E"/>
      <name val="Arial"/>
      <family val="2"/>
    </font>
    <font>
      <sz val="9"/>
      <color rgb="FFE65100"/>
      <name val="Arial"/>
      <family val="2"/>
    </font>
    <font>
      <sz val="9"/>
      <color rgb="FF1B5E20"/>
      <name val="Arial"/>
      <family val="2"/>
    </font>
    <font>
      <b/>
      <sz val="9"/>
      <color rgb="FFB71C1C"/>
      <name val="Arial"/>
      <family val="2"/>
    </font>
    <font>
      <i/>
      <sz val="9"/>
      <color theme="1"/>
      <name val="Arial"/>
      <family val="2"/>
    </font>
    <font>
      <sz val="9"/>
      <name val="Arial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i/>
      <sz val="8"/>
      <color rgb="FF555555"/>
      <name val="Calibri"/>
      <family val="2"/>
      <scheme val="minor"/>
    </font>
    <font>
      <b/>
      <sz val="9"/>
      <color rgb="FFFFFFFF"/>
      <name val="Calibri"/>
      <family val="2"/>
      <scheme val="minor"/>
    </font>
    <font>
      <sz val="9"/>
      <name val="Calibri"/>
      <family val="2"/>
      <scheme val="minor"/>
    </font>
    <font>
      <sz val="9"/>
      <color rgb="FF1F3A6E"/>
      <name val="Calibri"/>
      <family val="2"/>
      <scheme val="minor"/>
    </font>
    <font>
      <b/>
      <sz val="9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u/>
      <sz val="12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1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E5E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F4E79"/>
        <bgColor rgb="FF1F4E79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rgb="FFD9D2E9"/>
        <bgColor rgb="FFD9D2E9"/>
      </patternFill>
    </fill>
    <fill>
      <patternFill patternType="solid">
        <fgColor rgb="FFD0E0E3"/>
        <bgColor rgb="FFD0E0E3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theme="7" tint="0.79998168889431442"/>
        <bgColor rgb="FFDDEBF7"/>
      </patternFill>
    </fill>
    <fill>
      <patternFill patternType="solid">
        <fgColor rgb="FFBDD7EE"/>
      </patternFill>
    </fill>
    <fill>
      <patternFill patternType="solid">
        <fgColor rgb="FFD6E4F0"/>
      </patternFill>
    </fill>
    <fill>
      <patternFill patternType="solid">
        <fgColor rgb="FFDDEBF7"/>
        <bgColor rgb="FF000000"/>
      </patternFill>
    </fill>
    <fill>
      <patternFill patternType="solid">
        <fgColor theme="7"/>
        <bgColor indexed="64"/>
      </patternFill>
    </fill>
    <fill>
      <patternFill patternType="solid">
        <fgColor rgb="FFDEEBF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8F5E9"/>
      </patternFill>
    </fill>
    <fill>
      <patternFill patternType="solid">
        <fgColor rgb="FFF1F8E9"/>
      </patternFill>
    </fill>
    <fill>
      <patternFill patternType="solid">
        <fgColor rgb="FFE0F2F1"/>
      </patternFill>
    </fill>
    <fill>
      <patternFill patternType="solid">
        <fgColor rgb="FFE0F7FA"/>
      </patternFill>
    </fill>
    <fill>
      <patternFill patternType="solid">
        <fgColor rgb="FFFFF9C4"/>
      </patternFill>
    </fill>
    <fill>
      <patternFill patternType="solid">
        <fgColor rgb="FFFCE4EC"/>
      </patternFill>
    </fill>
    <fill>
      <patternFill patternType="solid">
        <fgColor rgb="FFE3F2FD"/>
      </patternFill>
    </fill>
    <fill>
      <patternFill patternType="solid">
        <fgColor rgb="FFEDE7F6"/>
      </patternFill>
    </fill>
    <fill>
      <patternFill patternType="solid">
        <fgColor rgb="FFE8EAF6"/>
      </patternFill>
    </fill>
    <fill>
      <patternFill patternType="solid">
        <fgColor rgb="FFECEFF1"/>
      </patternFill>
    </fill>
    <fill>
      <patternFill patternType="solid">
        <fgColor rgb="FFFAFAFA"/>
      </patternFill>
    </fill>
    <fill>
      <patternFill patternType="solid">
        <fgColor rgb="FFD6DCEA"/>
      </patternFill>
    </fill>
    <fill>
      <patternFill patternType="solid">
        <fgColor rgb="FFFFEBEE"/>
      </patternFill>
    </fill>
    <fill>
      <patternFill patternType="solid">
        <fgColor rgb="FFEBF3FB"/>
      </patternFill>
    </fill>
    <fill>
      <patternFill patternType="solid">
        <fgColor rgb="FF1F3A6E"/>
      </patternFill>
    </fill>
    <fill>
      <patternFill patternType="solid">
        <fgColor rgb="FFFFFFFF"/>
      </patternFill>
    </fill>
    <fill>
      <patternFill patternType="solid">
        <fgColor rgb="FFF5F9FF"/>
      </patternFill>
    </fill>
    <fill>
      <patternFill patternType="solid">
        <fgColor rgb="FFE8F0FE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/>
      <right/>
      <top/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/>
      <bottom style="thin">
        <color rgb="FFBBBBBB"/>
      </bottom>
      <diagonal/>
    </border>
    <border>
      <left style="thin">
        <color rgb="FFBBBBBB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8">
    <xf numFmtId="0" fontId="0" fillId="0" borderId="0"/>
    <xf numFmtId="166" fontId="3" fillId="0" borderId="0" applyFont="0" applyFill="0" applyBorder="0" applyAlignment="0" applyProtection="0"/>
    <xf numFmtId="0" fontId="3" fillId="0" borderId="0"/>
    <xf numFmtId="0" fontId="12" fillId="0" borderId="0"/>
    <xf numFmtId="0" fontId="19" fillId="0" borderId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2" fillId="0" borderId="0" applyNumberFormat="0" applyFill="0" applyBorder="0" applyAlignment="0" applyProtection="0"/>
  </cellStyleXfs>
  <cellXfs count="638">
    <xf numFmtId="0" fontId="0" fillId="0" borderId="0" xfId="0"/>
    <xf numFmtId="0" fontId="5" fillId="0" borderId="0" xfId="2" applyFont="1" applyAlignment="1">
      <alignment horizontal="center" vertical="center" wrapText="1"/>
    </xf>
    <xf numFmtId="0" fontId="5" fillId="0" borderId="0" xfId="2" applyFont="1" applyAlignment="1">
      <alignment vertical="center"/>
    </xf>
    <xf numFmtId="0" fontId="6" fillId="0" borderId="0" xfId="2" applyFont="1" applyAlignment="1">
      <alignment horizontal="right" vertical="center"/>
    </xf>
    <xf numFmtId="0" fontId="6" fillId="0" borderId="0" xfId="2" applyFont="1" applyAlignment="1">
      <alignment horizontal="center" vertical="center" wrapText="1"/>
    </xf>
    <xf numFmtId="0" fontId="6" fillId="0" borderId="0" xfId="2" applyFont="1" applyAlignment="1">
      <alignment vertical="center" wrapText="1"/>
    </xf>
    <xf numFmtId="0" fontId="6" fillId="0" borderId="0" xfId="2" applyFont="1" applyAlignment="1">
      <alignment vertical="center"/>
    </xf>
    <xf numFmtId="0" fontId="6" fillId="0" borderId="0" xfId="2" applyFont="1" applyAlignment="1">
      <alignment horizontal="left" vertical="center"/>
    </xf>
    <xf numFmtId="0" fontId="8" fillId="0" borderId="3" xfId="2" applyFont="1" applyBorder="1" applyAlignment="1">
      <alignment horizontal="center" vertical="center"/>
    </xf>
    <xf numFmtId="0" fontId="7" fillId="4" borderId="1" xfId="2" applyFont="1" applyFill="1" applyBorder="1" applyAlignment="1">
      <alignment horizontal="center" vertical="center" wrapText="1"/>
    </xf>
    <xf numFmtId="164" fontId="7" fillId="0" borderId="1" xfId="2" applyNumberFormat="1" applyFont="1" applyBorder="1" applyAlignment="1">
      <alignment horizontal="center" vertical="center" wrapText="1" readingOrder="1"/>
    </xf>
    <xf numFmtId="164" fontId="7" fillId="4" borderId="1" xfId="2" applyNumberFormat="1" applyFont="1" applyFill="1" applyBorder="1" applyAlignment="1">
      <alignment horizontal="center" vertical="center" wrapText="1" readingOrder="1"/>
    </xf>
    <xf numFmtId="0" fontId="8" fillId="0" borderId="0" xfId="2" applyFont="1" applyAlignment="1">
      <alignment vertical="center"/>
    </xf>
    <xf numFmtId="0" fontId="8" fillId="0" borderId="1" xfId="2" applyFont="1" applyBorder="1" applyAlignment="1">
      <alignment horizontal="center" vertical="center" wrapText="1"/>
    </xf>
    <xf numFmtId="164" fontId="8" fillId="0" borderId="1" xfId="2" applyNumberFormat="1" applyFont="1" applyBorder="1" applyAlignment="1">
      <alignment horizontal="center" vertical="center" wrapText="1" readingOrder="1"/>
    </xf>
    <xf numFmtId="0" fontId="10" fillId="0" borderId="1" xfId="2" applyFont="1" applyBorder="1" applyAlignment="1">
      <alignment horizontal="center" vertical="center" wrapText="1"/>
    </xf>
    <xf numFmtId="164" fontId="7" fillId="6" borderId="1" xfId="2" applyNumberFormat="1" applyFont="1" applyFill="1" applyBorder="1" applyAlignment="1">
      <alignment horizontal="center" vertical="center" wrapText="1" readingOrder="1"/>
    </xf>
    <xf numFmtId="0" fontId="9" fillId="0" borderId="1" xfId="2" applyFont="1" applyBorder="1" applyAlignment="1">
      <alignment horizontal="center" vertical="center" wrapText="1"/>
    </xf>
    <xf numFmtId="1" fontId="7" fillId="0" borderId="5" xfId="2" applyNumberFormat="1" applyFont="1" applyBorder="1" applyAlignment="1">
      <alignment horizontal="right" vertical="center" wrapText="1" indent="1" readingOrder="1"/>
    </xf>
    <xf numFmtId="164" fontId="8" fillId="5" borderId="1" xfId="2" applyNumberFormat="1" applyFont="1" applyFill="1" applyBorder="1" applyAlignment="1">
      <alignment horizontal="center" vertical="center" wrapText="1" readingOrder="1"/>
    </xf>
    <xf numFmtId="1" fontId="11" fillId="0" borderId="1" xfId="2" applyNumberFormat="1" applyFont="1" applyBorder="1" applyAlignment="1">
      <alignment horizontal="center" vertical="center" wrapText="1" readingOrder="1"/>
    </xf>
    <xf numFmtId="1" fontId="9" fillId="5" borderId="5" xfId="2" applyNumberFormat="1" applyFont="1" applyFill="1" applyBorder="1" applyAlignment="1">
      <alignment horizontal="left" vertical="center" wrapText="1" readingOrder="1"/>
    </xf>
    <xf numFmtId="164" fontId="11" fillId="0" borderId="1" xfId="2" applyNumberFormat="1" applyFont="1" applyBorder="1" applyAlignment="1">
      <alignment horizontal="center" vertical="center" wrapText="1"/>
    </xf>
    <xf numFmtId="1" fontId="9" fillId="0" borderId="1" xfId="2" applyNumberFormat="1" applyFont="1" applyBorder="1" applyAlignment="1">
      <alignment horizontal="right" vertical="center" wrapText="1" indent="1"/>
    </xf>
    <xf numFmtId="2" fontId="13" fillId="0" borderId="1" xfId="3" applyNumberFormat="1" applyFont="1" applyBorder="1" applyAlignment="1">
      <alignment horizontal="center" vertical="center"/>
    </xf>
    <xf numFmtId="1" fontId="13" fillId="4" borderId="1" xfId="3" applyNumberFormat="1" applyFont="1" applyFill="1" applyBorder="1" applyAlignment="1">
      <alignment horizontal="center" vertical="center"/>
    </xf>
    <xf numFmtId="1" fontId="13" fillId="0" borderId="1" xfId="3" applyNumberFormat="1" applyFont="1" applyBorder="1" applyAlignment="1">
      <alignment horizontal="center" vertical="center"/>
    </xf>
    <xf numFmtId="1" fontId="13" fillId="6" borderId="1" xfId="3" applyNumberFormat="1" applyFont="1" applyFill="1" applyBorder="1" applyAlignment="1">
      <alignment horizontal="center" vertical="center"/>
    </xf>
    <xf numFmtId="1" fontId="9" fillId="0" borderId="1" xfId="2" quotePrefix="1" applyNumberFormat="1" applyFont="1" applyBorder="1" applyAlignment="1">
      <alignment horizontal="left" vertical="center" wrapText="1" indent="1"/>
    </xf>
    <xf numFmtId="1" fontId="5" fillId="0" borderId="0" xfId="2" applyNumberFormat="1" applyFont="1" applyAlignment="1">
      <alignment vertical="center"/>
    </xf>
    <xf numFmtId="1" fontId="12" fillId="0" borderId="0" xfId="3" applyNumberFormat="1" applyAlignment="1">
      <alignment vertical="center"/>
    </xf>
    <xf numFmtId="0" fontId="12" fillId="0" borderId="0" xfId="3" applyAlignment="1">
      <alignment vertical="center"/>
    </xf>
    <xf numFmtId="0" fontId="14" fillId="0" borderId="1" xfId="2" applyFont="1" applyBorder="1" applyAlignment="1">
      <alignment horizontal="right" vertical="center" wrapText="1" indent="1"/>
    </xf>
    <xf numFmtId="0" fontId="15" fillId="0" borderId="0" xfId="3" applyFont="1" applyAlignment="1">
      <alignment vertical="center"/>
    </xf>
    <xf numFmtId="1" fontId="11" fillId="0" borderId="1" xfId="2" applyNumberFormat="1" applyFont="1" applyBorder="1" applyAlignment="1">
      <alignment horizontal="right" vertical="center" wrapText="1" indent="1"/>
    </xf>
    <xf numFmtId="164" fontId="9" fillId="0" borderId="1" xfId="2" applyNumberFormat="1" applyFont="1" applyBorder="1" applyAlignment="1">
      <alignment horizontal="center" vertical="center" wrapText="1"/>
    </xf>
    <xf numFmtId="164" fontId="9" fillId="0" borderId="1" xfId="2" applyNumberFormat="1" applyFont="1" applyBorder="1" applyAlignment="1">
      <alignment horizontal="right" vertical="center" wrapText="1" indent="1" readingOrder="2"/>
    </xf>
    <xf numFmtId="164" fontId="9" fillId="0" borderId="1" xfId="2" applyNumberFormat="1" applyFont="1" applyBorder="1" applyAlignment="1">
      <alignment horizontal="left" vertical="center" wrapText="1" indent="1" readingOrder="1"/>
    </xf>
    <xf numFmtId="165" fontId="9" fillId="0" borderId="1" xfId="2" applyNumberFormat="1" applyFont="1" applyBorder="1" applyAlignment="1">
      <alignment horizontal="center" vertical="center" wrapText="1"/>
    </xf>
    <xf numFmtId="164" fontId="7" fillId="0" borderId="1" xfId="2" applyNumberFormat="1" applyFont="1" applyBorder="1" applyAlignment="1">
      <alignment horizontal="left" vertical="center" wrapText="1" indent="1" readingOrder="1"/>
    </xf>
    <xf numFmtId="164" fontId="11" fillId="0" borderId="1" xfId="2" applyNumberFormat="1" applyFont="1" applyBorder="1" applyAlignment="1">
      <alignment horizontal="right" vertical="center" wrapText="1" indent="1" readingOrder="2"/>
    </xf>
    <xf numFmtId="0" fontId="16" fillId="0" borderId="0" xfId="2" applyFont="1" applyAlignment="1">
      <alignment vertical="center"/>
    </xf>
    <xf numFmtId="0" fontId="3" fillId="0" borderId="0" xfId="2" applyAlignment="1">
      <alignment vertical="center"/>
    </xf>
    <xf numFmtId="164" fontId="7" fillId="0" borderId="1" xfId="2" applyNumberFormat="1" applyFont="1" applyBorder="1" applyAlignment="1">
      <alignment horizontal="center" vertical="center" wrapText="1"/>
    </xf>
    <xf numFmtId="0" fontId="9" fillId="0" borderId="1" xfId="2" applyFont="1" applyBorder="1" applyAlignment="1">
      <alignment horizontal="center" vertical="center"/>
    </xf>
    <xf numFmtId="0" fontId="9" fillId="0" borderId="1" xfId="2" applyFont="1" applyBorder="1" applyAlignment="1">
      <alignment horizontal="right" vertical="center" wrapText="1" indent="1"/>
    </xf>
    <xf numFmtId="0" fontId="7" fillId="0" borderId="1" xfId="2" applyFont="1" applyBorder="1" applyAlignment="1">
      <alignment horizontal="left" vertical="center" wrapText="1" indent="1"/>
    </xf>
    <xf numFmtId="0" fontId="11" fillId="0" borderId="1" xfId="2" applyFont="1" applyBorder="1" applyAlignment="1">
      <alignment horizontal="center" vertical="center"/>
    </xf>
    <xf numFmtId="0" fontId="11" fillId="0" borderId="1" xfId="2" applyFont="1" applyBorder="1" applyAlignment="1">
      <alignment horizontal="right" vertical="center" wrapText="1" indent="1"/>
    </xf>
    <xf numFmtId="0" fontId="18" fillId="0" borderId="0" xfId="2" applyFont="1" applyAlignment="1">
      <alignment vertical="center"/>
    </xf>
    <xf numFmtId="1" fontId="13" fillId="0" borderId="0" xfId="3" applyNumberFormat="1" applyFont="1" applyAlignment="1">
      <alignment horizontal="center" vertical="center"/>
    </xf>
    <xf numFmtId="1" fontId="13" fillId="0" borderId="0" xfId="3" applyNumberFormat="1" applyFont="1" applyAlignment="1">
      <alignment horizontal="right" vertical="center" indent="1"/>
    </xf>
    <xf numFmtId="2" fontId="13" fillId="0" borderId="0" xfId="3" applyNumberFormat="1" applyFont="1" applyAlignment="1">
      <alignment horizontal="center" vertical="center"/>
    </xf>
    <xf numFmtId="1" fontId="11" fillId="0" borderId="0" xfId="2" applyNumberFormat="1" applyFont="1" applyAlignment="1">
      <alignment horizontal="left" vertical="center" wrapText="1" indent="1"/>
    </xf>
    <xf numFmtId="0" fontId="2" fillId="0" borderId="0" xfId="2" applyFont="1" applyAlignment="1">
      <alignment horizontal="center" vertical="center" wrapText="1"/>
    </xf>
    <xf numFmtId="0" fontId="2" fillId="0" borderId="0" xfId="2" applyFont="1" applyAlignment="1">
      <alignment vertical="center"/>
    </xf>
    <xf numFmtId="2" fontId="2" fillId="0" borderId="0" xfId="2" applyNumberFormat="1" applyFont="1" applyAlignment="1">
      <alignment horizontal="center" vertical="center" wrapText="1"/>
    </xf>
    <xf numFmtId="2" fontId="3" fillId="0" borderId="0" xfId="2" applyNumberFormat="1" applyAlignment="1">
      <alignment vertical="center"/>
    </xf>
    <xf numFmtId="2" fontId="18" fillId="0" borderId="0" xfId="2" applyNumberFormat="1" applyFont="1" applyAlignment="1">
      <alignment vertical="center"/>
    </xf>
    <xf numFmtId="2" fontId="20" fillId="0" borderId="0" xfId="2" applyNumberFormat="1" applyFont="1" applyAlignment="1">
      <alignment vertical="center"/>
    </xf>
    <xf numFmtId="0" fontId="20" fillId="0" borderId="0" xfId="2" applyFont="1" applyAlignment="1">
      <alignment vertical="center"/>
    </xf>
    <xf numFmtId="0" fontId="2" fillId="0" borderId="0" xfId="2" applyFont="1" applyAlignment="1">
      <alignment vertical="center" wrapText="1"/>
    </xf>
    <xf numFmtId="0" fontId="21" fillId="0" borderId="0" xfId="2" applyFont="1" applyAlignment="1">
      <alignment horizontal="center" vertical="center" wrapText="1"/>
    </xf>
    <xf numFmtId="0" fontId="2" fillId="0" borderId="0" xfId="2" applyFont="1" applyAlignment="1">
      <alignment horizontal="left" vertical="center" wrapText="1"/>
    </xf>
    <xf numFmtId="0" fontId="2" fillId="7" borderId="0" xfId="2" applyFont="1" applyFill="1" applyAlignment="1">
      <alignment horizontal="center" vertical="center" wrapText="1"/>
    </xf>
    <xf numFmtId="2" fontId="20" fillId="7" borderId="0" xfId="2" applyNumberFormat="1" applyFont="1" applyFill="1" applyAlignment="1">
      <alignment vertical="center"/>
    </xf>
    <xf numFmtId="0" fontId="5" fillId="7" borderId="0" xfId="2" applyFont="1" applyFill="1" applyAlignment="1">
      <alignment vertical="center"/>
    </xf>
    <xf numFmtId="0" fontId="3" fillId="0" borderId="0" xfId="2" applyAlignment="1">
      <alignment horizontal="center"/>
    </xf>
    <xf numFmtId="164" fontId="9" fillId="7" borderId="1" xfId="2" applyNumberFormat="1" applyFont="1" applyFill="1" applyBorder="1" applyAlignment="1">
      <alignment horizontal="center" vertical="center" wrapText="1"/>
    </xf>
    <xf numFmtId="164" fontId="9" fillId="7" borderId="1" xfId="2" applyNumberFormat="1" applyFont="1" applyFill="1" applyBorder="1" applyAlignment="1">
      <alignment horizontal="right" vertical="center" wrapText="1" indent="1" readingOrder="2"/>
    </xf>
    <xf numFmtId="2" fontId="13" fillId="7" borderId="1" xfId="3" applyNumberFormat="1" applyFont="1" applyFill="1" applyBorder="1" applyAlignment="1">
      <alignment horizontal="center" vertical="center"/>
    </xf>
    <xf numFmtId="1" fontId="13" fillId="7" borderId="1" xfId="3" applyNumberFormat="1" applyFont="1" applyFill="1" applyBorder="1" applyAlignment="1">
      <alignment horizontal="center" vertical="center"/>
    </xf>
    <xf numFmtId="164" fontId="7" fillId="7" borderId="1" xfId="2" applyNumberFormat="1" applyFont="1" applyFill="1" applyBorder="1" applyAlignment="1">
      <alignment horizontal="left" vertical="center" wrapText="1" indent="1" readingOrder="1"/>
    </xf>
    <xf numFmtId="1" fontId="12" fillId="7" borderId="0" xfId="3" applyNumberFormat="1" applyFill="1" applyAlignment="1">
      <alignment vertical="center"/>
    </xf>
    <xf numFmtId="0" fontId="12" fillId="7" borderId="0" xfId="3" applyFill="1" applyAlignment="1">
      <alignment vertical="center"/>
    </xf>
    <xf numFmtId="0" fontId="5" fillId="7" borderId="0" xfId="2" applyFont="1" applyFill="1" applyAlignment="1">
      <alignment horizontal="center" vertical="center" wrapText="1"/>
    </xf>
    <xf numFmtId="0" fontId="6" fillId="7" borderId="0" xfId="2" applyFont="1" applyFill="1" applyAlignment="1">
      <alignment vertical="center" wrapText="1"/>
    </xf>
    <xf numFmtId="0" fontId="8" fillId="7" borderId="3" xfId="2" applyFont="1" applyFill="1" applyBorder="1" applyAlignment="1">
      <alignment horizontal="center" vertical="center"/>
    </xf>
    <xf numFmtId="0" fontId="8" fillId="7" borderId="1" xfId="2" applyFont="1" applyFill="1" applyBorder="1" applyAlignment="1">
      <alignment horizontal="center" vertical="center" wrapText="1"/>
    </xf>
    <xf numFmtId="2" fontId="13" fillId="7" borderId="0" xfId="3" applyNumberFormat="1" applyFont="1" applyFill="1" applyAlignment="1">
      <alignment horizontal="center" vertical="center"/>
    </xf>
    <xf numFmtId="2" fontId="2" fillId="7" borderId="0" xfId="2" applyNumberFormat="1" applyFont="1" applyFill="1" applyAlignment="1">
      <alignment horizontal="center" vertical="center" wrapText="1"/>
    </xf>
    <xf numFmtId="3" fontId="3" fillId="0" borderId="0" xfId="2" applyNumberFormat="1"/>
    <xf numFmtId="3" fontId="3" fillId="0" borderId="0" xfId="2" quotePrefix="1" applyNumberFormat="1"/>
    <xf numFmtId="0" fontId="3" fillId="0" borderId="0" xfId="2" applyAlignment="1">
      <alignment wrapText="1"/>
    </xf>
    <xf numFmtId="0" fontId="3" fillId="0" borderId="0" xfId="2"/>
    <xf numFmtId="0" fontId="3" fillId="0" borderId="0" xfId="2" quotePrefix="1"/>
    <xf numFmtId="167" fontId="3" fillId="0" borderId="0" xfId="2" applyNumberFormat="1"/>
    <xf numFmtId="168" fontId="3" fillId="0" borderId="0" xfId="2" applyNumberFormat="1"/>
    <xf numFmtId="3" fontId="3" fillId="8" borderId="0" xfId="2" applyNumberFormat="1" applyFill="1"/>
    <xf numFmtId="168" fontId="3" fillId="9" borderId="0" xfId="2" applyNumberFormat="1" applyFill="1"/>
    <xf numFmtId="3" fontId="3" fillId="9" borderId="0" xfId="2" applyNumberFormat="1" applyFill="1"/>
    <xf numFmtId="168" fontId="3" fillId="10" borderId="0" xfId="2" applyNumberFormat="1" applyFill="1"/>
    <xf numFmtId="3" fontId="3" fillId="11" borderId="0" xfId="2" applyNumberFormat="1" applyFill="1"/>
    <xf numFmtId="9" fontId="0" fillId="0" borderId="0" xfId="5" applyFont="1"/>
    <xf numFmtId="3" fontId="3" fillId="10" borderId="0" xfId="2" applyNumberFormat="1" applyFill="1"/>
    <xf numFmtId="3" fontId="3" fillId="12" borderId="0" xfId="2" applyNumberFormat="1" applyFill="1"/>
    <xf numFmtId="2" fontId="3" fillId="0" borderId="0" xfId="2" applyNumberFormat="1"/>
    <xf numFmtId="3" fontId="3" fillId="13" borderId="0" xfId="2" applyNumberFormat="1" applyFill="1"/>
    <xf numFmtId="3" fontId="3" fillId="3" borderId="0" xfId="2" applyNumberFormat="1" applyFill="1"/>
    <xf numFmtId="0" fontId="23" fillId="14" borderId="1" xfId="2" applyFont="1" applyFill="1" applyBorder="1" applyAlignment="1">
      <alignment horizontal="center" wrapText="1"/>
    </xf>
    <xf numFmtId="0" fontId="24" fillId="15" borderId="1" xfId="2" applyFont="1" applyFill="1" applyBorder="1"/>
    <xf numFmtId="3" fontId="24" fillId="15" borderId="1" xfId="2" applyNumberFormat="1" applyFont="1" applyFill="1" applyBorder="1" applyAlignment="1">
      <alignment horizontal="right"/>
    </xf>
    <xf numFmtId="3" fontId="24" fillId="15" borderId="1" xfId="2" applyNumberFormat="1" applyFont="1" applyFill="1" applyBorder="1" applyAlignment="1">
      <alignment horizontal="center"/>
    </xf>
    <xf numFmtId="10" fontId="25" fillId="2" borderId="1" xfId="2" applyNumberFormat="1" applyFont="1" applyFill="1" applyBorder="1" applyAlignment="1">
      <alignment horizontal="right"/>
    </xf>
    <xf numFmtId="0" fontId="24" fillId="15" borderId="1" xfId="2" applyFont="1" applyFill="1" applyBorder="1" applyAlignment="1">
      <alignment vertical="top" wrapText="1"/>
    </xf>
    <xf numFmtId="0" fontId="26" fillId="2" borderId="1" xfId="2" applyFont="1" applyFill="1" applyBorder="1" applyAlignment="1">
      <alignment vertical="top" wrapText="1"/>
    </xf>
    <xf numFmtId="0" fontId="24" fillId="16" borderId="1" xfId="2" applyFont="1" applyFill="1" applyBorder="1"/>
    <xf numFmtId="3" fontId="24" fillId="16" borderId="1" xfId="2" applyNumberFormat="1" applyFont="1" applyFill="1" applyBorder="1" applyAlignment="1">
      <alignment horizontal="right"/>
    </xf>
    <xf numFmtId="3" fontId="24" fillId="16" borderId="1" xfId="2" applyNumberFormat="1" applyFont="1" applyFill="1" applyBorder="1" applyAlignment="1">
      <alignment horizontal="center"/>
    </xf>
    <xf numFmtId="0" fontId="24" fillId="16" borderId="1" xfId="2" applyFont="1" applyFill="1" applyBorder="1" applyAlignment="1">
      <alignment vertical="top" wrapText="1"/>
    </xf>
    <xf numFmtId="0" fontId="24" fillId="17" borderId="1" xfId="2" applyFont="1" applyFill="1" applyBorder="1"/>
    <xf numFmtId="3" fontId="24" fillId="17" borderId="1" xfId="2" applyNumberFormat="1" applyFont="1" applyFill="1" applyBorder="1" applyAlignment="1">
      <alignment horizontal="right"/>
    </xf>
    <xf numFmtId="3" fontId="24" fillId="17" borderId="1" xfId="2" applyNumberFormat="1" applyFont="1" applyFill="1" applyBorder="1" applyAlignment="1">
      <alignment horizontal="center"/>
    </xf>
    <xf numFmtId="0" fontId="24" fillId="17" borderId="1" xfId="2" applyFont="1" applyFill="1" applyBorder="1" applyAlignment="1">
      <alignment vertical="top" wrapText="1"/>
    </xf>
    <xf numFmtId="10" fontId="25" fillId="3" borderId="1" xfId="2" applyNumberFormat="1" applyFont="1" applyFill="1" applyBorder="1" applyAlignment="1">
      <alignment horizontal="right"/>
    </xf>
    <xf numFmtId="0" fontId="14" fillId="18" borderId="1" xfId="2" applyFont="1" applyFill="1" applyBorder="1"/>
    <xf numFmtId="3" fontId="14" fillId="18" borderId="1" xfId="2" applyNumberFormat="1" applyFont="1" applyFill="1" applyBorder="1" applyAlignment="1">
      <alignment horizontal="right"/>
    </xf>
    <xf numFmtId="3" fontId="14" fillId="18" borderId="1" xfId="2" applyNumberFormat="1" applyFont="1" applyFill="1" applyBorder="1" applyAlignment="1">
      <alignment horizontal="center"/>
    </xf>
    <xf numFmtId="0" fontId="3" fillId="18" borderId="1" xfId="2" applyFill="1" applyBorder="1"/>
    <xf numFmtId="0" fontId="27" fillId="18" borderId="1" xfId="2" applyFont="1" applyFill="1" applyBorder="1"/>
    <xf numFmtId="3" fontId="3" fillId="0" borderId="0" xfId="2" applyNumberFormat="1" applyAlignment="1">
      <alignment horizontal="center"/>
    </xf>
    <xf numFmtId="0" fontId="14" fillId="0" borderId="0" xfId="2" applyFont="1"/>
    <xf numFmtId="3" fontId="24" fillId="16" borderId="1" xfId="2" applyNumberFormat="1" applyFont="1" applyFill="1" applyBorder="1" applyAlignment="1">
      <alignment horizontal="right" wrapText="1"/>
    </xf>
    <xf numFmtId="3" fontId="24" fillId="15" borderId="1" xfId="2" applyNumberFormat="1" applyFont="1" applyFill="1" applyBorder="1" applyAlignment="1">
      <alignment horizontal="right" wrapText="1"/>
    </xf>
    <xf numFmtId="3" fontId="24" fillId="17" borderId="1" xfId="2" applyNumberFormat="1" applyFont="1" applyFill="1" applyBorder="1" applyAlignment="1">
      <alignment horizontal="right" wrapText="1"/>
    </xf>
    <xf numFmtId="10" fontId="28" fillId="2" borderId="1" xfId="2" applyNumberFormat="1" applyFont="1" applyFill="1" applyBorder="1" applyAlignment="1">
      <alignment horizontal="right" wrapText="1"/>
    </xf>
    <xf numFmtId="0" fontId="3" fillId="0" borderId="0" xfId="2" applyAlignment="1">
      <alignment horizontal="center" wrapText="1"/>
    </xf>
    <xf numFmtId="0" fontId="29" fillId="0" borderId="0" xfId="2" applyFont="1"/>
    <xf numFmtId="0" fontId="30" fillId="0" borderId="0" xfId="2" applyFont="1"/>
    <xf numFmtId="0" fontId="1" fillId="0" borderId="0" xfId="2" applyFont="1"/>
    <xf numFmtId="0" fontId="1" fillId="0" borderId="0" xfId="2" applyFont="1" applyAlignment="1">
      <alignment horizontal="center"/>
    </xf>
    <xf numFmtId="2" fontId="1" fillId="7" borderId="0" xfId="2" applyNumberFormat="1" applyFont="1" applyFill="1" applyAlignment="1">
      <alignment horizontal="center" vertical="center"/>
    </xf>
    <xf numFmtId="2" fontId="1" fillId="0" borderId="0" xfId="2" applyNumberFormat="1" applyFont="1" applyAlignment="1">
      <alignment horizontal="center" vertical="center"/>
    </xf>
    <xf numFmtId="2" fontId="1" fillId="0" borderId="0" xfId="2" applyNumberFormat="1" applyFont="1"/>
    <xf numFmtId="0" fontId="31" fillId="0" borderId="0" xfId="2" applyFont="1"/>
    <xf numFmtId="0" fontId="32" fillId="0" borderId="0" xfId="2" applyFont="1" applyAlignment="1">
      <alignment horizontal="center"/>
    </xf>
    <xf numFmtId="0" fontId="33" fillId="3" borderId="1" xfId="2" applyFont="1" applyFill="1" applyBorder="1" applyAlignment="1">
      <alignment horizontal="center"/>
    </xf>
    <xf numFmtId="0" fontId="2" fillId="7" borderId="1" xfId="2" applyFont="1" applyFill="1" applyBorder="1" applyAlignment="1">
      <alignment horizontal="center" wrapText="1"/>
    </xf>
    <xf numFmtId="0" fontId="1" fillId="7" borderId="0" xfId="2" applyFont="1" applyFill="1"/>
    <xf numFmtId="0" fontId="1" fillId="0" borderId="1" xfId="3" applyFont="1" applyBorder="1"/>
    <xf numFmtId="2" fontId="2" fillId="0" borderId="1" xfId="3" applyNumberFormat="1" applyFont="1" applyBorder="1" applyAlignment="1">
      <alignment horizontal="center" vertical="center"/>
    </xf>
    <xf numFmtId="9" fontId="1" fillId="19" borderId="1" xfId="5" applyFont="1" applyFill="1" applyBorder="1" applyAlignment="1">
      <alignment horizontal="center"/>
    </xf>
    <xf numFmtId="0" fontId="1" fillId="0" borderId="0" xfId="3" applyFont="1"/>
    <xf numFmtId="1" fontId="2" fillId="0" borderId="1" xfId="3" applyNumberFormat="1" applyFont="1" applyBorder="1" applyAlignment="1">
      <alignment horizontal="center" vertical="center"/>
    </xf>
    <xf numFmtId="1" fontId="2" fillId="5" borderId="1" xfId="3" applyNumberFormat="1" applyFont="1" applyFill="1" applyBorder="1" applyAlignment="1">
      <alignment horizontal="center" vertical="center"/>
    </xf>
    <xf numFmtId="0" fontId="1" fillId="5" borderId="1" xfId="3" applyFont="1" applyFill="1" applyBorder="1"/>
    <xf numFmtId="0" fontId="1" fillId="3" borderId="1" xfId="3" applyFont="1" applyFill="1" applyBorder="1"/>
    <xf numFmtId="1" fontId="2" fillId="3" borderId="1" xfId="3" applyNumberFormat="1" applyFont="1" applyFill="1" applyBorder="1" applyAlignment="1">
      <alignment horizontal="center" vertical="center"/>
    </xf>
    <xf numFmtId="0" fontId="34" fillId="18" borderId="1" xfId="2" applyFont="1" applyFill="1" applyBorder="1"/>
    <xf numFmtId="3" fontId="34" fillId="18" borderId="1" xfId="2" applyNumberFormat="1" applyFont="1" applyFill="1" applyBorder="1" applyAlignment="1">
      <alignment horizontal="right"/>
    </xf>
    <xf numFmtId="1" fontId="2" fillId="4" borderId="1" xfId="3" applyNumberFormat="1" applyFont="1" applyFill="1" applyBorder="1" applyAlignment="1">
      <alignment horizontal="center" vertical="center"/>
    </xf>
    <xf numFmtId="3" fontId="1" fillId="0" borderId="0" xfId="2" applyNumberFormat="1" applyFont="1"/>
    <xf numFmtId="3" fontId="2" fillId="0" borderId="0" xfId="2" applyNumberFormat="1" applyFont="1" applyAlignment="1">
      <alignment horizontal="center"/>
    </xf>
    <xf numFmtId="0" fontId="2" fillId="0" borderId="0" xfId="2" applyFont="1" applyAlignment="1">
      <alignment horizontal="center"/>
    </xf>
    <xf numFmtId="0" fontId="35" fillId="0" borderId="0" xfId="2" applyFont="1" applyAlignment="1">
      <alignment horizontal="center"/>
    </xf>
    <xf numFmtId="9" fontId="1" fillId="0" borderId="0" xfId="5" applyFont="1"/>
    <xf numFmtId="9" fontId="1" fillId="20" borderId="0" xfId="5" applyFont="1" applyFill="1" applyAlignment="1">
      <alignment horizontal="center" vertical="center"/>
    </xf>
    <xf numFmtId="9" fontId="1" fillId="0" borderId="0" xfId="5" applyFont="1" applyAlignment="1">
      <alignment horizontal="center" vertical="center"/>
    </xf>
    <xf numFmtId="9" fontId="1" fillId="0" borderId="0" xfId="5" applyFont="1" applyFill="1" applyBorder="1"/>
    <xf numFmtId="2" fontId="1" fillId="3" borderId="0" xfId="2" applyNumberFormat="1" applyFont="1" applyFill="1" applyAlignment="1">
      <alignment horizontal="left"/>
    </xf>
    <xf numFmtId="0" fontId="1" fillId="3" borderId="0" xfId="2" applyFont="1" applyFill="1"/>
    <xf numFmtId="0" fontId="2" fillId="3" borderId="0" xfId="2" applyFont="1" applyFill="1" applyAlignment="1">
      <alignment horizontal="center"/>
    </xf>
    <xf numFmtId="2" fontId="1" fillId="0" borderId="0" xfId="2" applyNumberFormat="1" applyFont="1" applyAlignment="1">
      <alignment horizontal="right"/>
    </xf>
    <xf numFmtId="3" fontId="1" fillId="9" borderId="0" xfId="2" applyNumberFormat="1" applyFont="1" applyFill="1"/>
    <xf numFmtId="2" fontId="1" fillId="0" borderId="0" xfId="2" quotePrefix="1" applyNumberFormat="1" applyFont="1" applyAlignment="1">
      <alignment horizontal="right"/>
    </xf>
    <xf numFmtId="9" fontId="1" fillId="0" borderId="0" xfId="5" quotePrefix="1" applyFont="1"/>
    <xf numFmtId="0" fontId="1" fillId="0" borderId="0" xfId="2" applyFont="1" applyAlignment="1">
      <alignment horizontal="right"/>
    </xf>
    <xf numFmtId="1" fontId="2" fillId="4" borderId="2" xfId="3" applyNumberFormat="1" applyFont="1" applyFill="1" applyBorder="1" applyAlignment="1">
      <alignment vertical="center"/>
    </xf>
    <xf numFmtId="0" fontId="36" fillId="0" borderId="0" xfId="2" applyFont="1"/>
    <xf numFmtId="2" fontId="37" fillId="0" borderId="0" xfId="2" applyNumberFormat="1" applyFont="1" applyAlignment="1">
      <alignment horizontal="center" vertical="center" wrapText="1" shrinkToFit="1"/>
    </xf>
    <xf numFmtId="0" fontId="37" fillId="0" borderId="0" xfId="2" applyFont="1" applyAlignment="1">
      <alignment horizontal="center" vertical="center" wrapText="1" shrinkToFit="1"/>
    </xf>
    <xf numFmtId="0" fontId="37" fillId="3" borderId="0" xfId="2" applyFont="1" applyFill="1" applyAlignment="1">
      <alignment horizontal="center" vertical="center" wrapText="1" shrinkToFit="1"/>
    </xf>
    <xf numFmtId="0" fontId="37" fillId="4" borderId="0" xfId="2" applyFont="1" applyFill="1" applyAlignment="1">
      <alignment horizontal="center" vertical="center" wrapText="1" shrinkToFit="1"/>
    </xf>
    <xf numFmtId="2" fontId="2" fillId="0" borderId="0" xfId="3" applyNumberFormat="1" applyFont="1" applyAlignment="1">
      <alignment horizontal="center" vertical="center"/>
    </xf>
    <xf numFmtId="1" fontId="2" fillId="0" borderId="0" xfId="3" applyNumberFormat="1" applyFont="1" applyAlignment="1">
      <alignment horizontal="center" vertical="center"/>
    </xf>
    <xf numFmtId="1" fontId="2" fillId="3" borderId="0" xfId="3" applyNumberFormat="1" applyFont="1" applyFill="1" applyAlignment="1">
      <alignment horizontal="center" vertical="center"/>
    </xf>
    <xf numFmtId="1" fontId="2" fillId="4" borderId="0" xfId="3" applyNumberFormat="1" applyFont="1" applyFill="1" applyAlignment="1">
      <alignment horizontal="center" vertical="center"/>
    </xf>
    <xf numFmtId="3" fontId="1" fillId="7" borderId="0" xfId="2" quotePrefix="1" applyNumberFormat="1" applyFont="1" applyFill="1"/>
    <xf numFmtId="3" fontId="1" fillId="0" borderId="0" xfId="2" quotePrefix="1" applyNumberFormat="1" applyFont="1"/>
    <xf numFmtId="10" fontId="1" fillId="0" borderId="0" xfId="2" quotePrefix="1" applyNumberFormat="1" applyFont="1"/>
    <xf numFmtId="10" fontId="1" fillId="0" borderId="0" xfId="2" applyNumberFormat="1" applyFont="1"/>
    <xf numFmtId="9" fontId="1" fillId="0" borderId="0" xfId="2" applyNumberFormat="1" applyFont="1"/>
    <xf numFmtId="0" fontId="31" fillId="0" borderId="0" xfId="2" applyFont="1" applyAlignment="1">
      <alignment horizontal="left"/>
    </xf>
    <xf numFmtId="2" fontId="31" fillId="0" borderId="0" xfId="2" applyNumberFormat="1" applyFont="1"/>
    <xf numFmtId="0" fontId="1" fillId="12" borderId="0" xfId="2" applyFont="1" applyFill="1"/>
    <xf numFmtId="3" fontId="1" fillId="12" borderId="0" xfId="2" applyNumberFormat="1" applyFont="1" applyFill="1"/>
    <xf numFmtId="3" fontId="1" fillId="12" borderId="0" xfId="2" quotePrefix="1" applyNumberFormat="1" applyFont="1" applyFill="1"/>
    <xf numFmtId="0" fontId="1" fillId="7" borderId="0" xfId="2" applyFont="1" applyFill="1" applyAlignment="1">
      <alignment horizontal="left"/>
    </xf>
    <xf numFmtId="10" fontId="1" fillId="0" borderId="0" xfId="5" applyNumberFormat="1" applyFont="1"/>
    <xf numFmtId="3" fontId="1" fillId="11" borderId="0" xfId="2" applyNumberFormat="1" applyFont="1" applyFill="1"/>
    <xf numFmtId="0" fontId="1" fillId="0" borderId="0" xfId="2" applyFont="1" applyAlignment="1">
      <alignment horizontal="left"/>
    </xf>
    <xf numFmtId="0" fontId="1" fillId="21" borderId="0" xfId="2" applyFont="1" applyFill="1"/>
    <xf numFmtId="0" fontId="14" fillId="16" borderId="1" xfId="2" applyFont="1" applyFill="1" applyBorder="1" applyAlignment="1">
      <alignment horizontal="center"/>
    </xf>
    <xf numFmtId="169" fontId="38" fillId="16" borderId="1" xfId="2" applyNumberFormat="1" applyFont="1" applyFill="1" applyBorder="1" applyAlignment="1">
      <alignment horizontal="right"/>
    </xf>
    <xf numFmtId="0" fontId="39" fillId="16" borderId="1" xfId="2" applyFont="1" applyFill="1" applyBorder="1" applyAlignment="1">
      <alignment vertical="top" wrapText="1"/>
    </xf>
    <xf numFmtId="0" fontId="14" fillId="17" borderId="1" xfId="2" applyFont="1" applyFill="1" applyBorder="1" applyAlignment="1">
      <alignment horizontal="center"/>
    </xf>
    <xf numFmtId="169" fontId="38" fillId="17" borderId="1" xfId="2" applyNumberFormat="1" applyFont="1" applyFill="1" applyBorder="1" applyAlignment="1">
      <alignment horizontal="right"/>
    </xf>
    <xf numFmtId="0" fontId="39" fillId="17" borderId="1" xfId="2" applyFont="1" applyFill="1" applyBorder="1" applyAlignment="1">
      <alignment vertical="top" wrapText="1"/>
    </xf>
    <xf numFmtId="0" fontId="14" fillId="0" borderId="0" xfId="2" applyFont="1" applyAlignment="1">
      <alignment wrapText="1"/>
    </xf>
    <xf numFmtId="0" fontId="24" fillId="16" borderId="1" xfId="2" applyFont="1" applyFill="1" applyBorder="1" applyAlignment="1">
      <alignment wrapText="1"/>
    </xf>
    <xf numFmtId="0" fontId="24" fillId="17" borderId="1" xfId="2" applyFont="1" applyFill="1" applyBorder="1" applyAlignment="1">
      <alignment wrapText="1"/>
    </xf>
    <xf numFmtId="0" fontId="24" fillId="0" borderId="1" xfId="2" applyFont="1" applyBorder="1" applyAlignment="1">
      <alignment wrapText="1"/>
    </xf>
    <xf numFmtId="0" fontId="14" fillId="19" borderId="1" xfId="2" applyFont="1" applyFill="1" applyBorder="1"/>
    <xf numFmtId="1" fontId="13" fillId="7" borderId="0" xfId="3" applyNumberFormat="1" applyFont="1" applyFill="1" applyAlignment="1">
      <alignment horizontal="center" vertical="center"/>
    </xf>
    <xf numFmtId="0" fontId="3" fillId="7" borderId="0" xfId="2" applyFill="1" applyAlignment="1">
      <alignment vertical="center"/>
    </xf>
    <xf numFmtId="166" fontId="13" fillId="7" borderId="0" xfId="1" applyFont="1" applyFill="1" applyAlignment="1">
      <alignment horizontal="center" vertical="center"/>
    </xf>
    <xf numFmtId="0" fontId="0" fillId="0" borderId="0" xfId="0" applyAlignment="1">
      <alignment horizontal="left"/>
    </xf>
    <xf numFmtId="0" fontId="2" fillId="21" borderId="0" xfId="0" applyFont="1" applyFill="1"/>
    <xf numFmtId="0" fontId="0" fillId="19" borderId="1" xfId="0" applyFill="1" applyBorder="1" applyAlignment="1">
      <alignment horizontal="center"/>
    </xf>
    <xf numFmtId="0" fontId="0" fillId="19" borderId="1" xfId="0" applyFill="1" applyBorder="1" applyAlignment="1">
      <alignment horizontal="center" vertical="top" wrapText="1"/>
    </xf>
    <xf numFmtId="2" fontId="0" fillId="19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 vertical="top"/>
    </xf>
    <xf numFmtId="2" fontId="0" fillId="7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19" borderId="1" xfId="0" applyFill="1" applyBorder="1" applyAlignment="1">
      <alignment horizontal="center" vertical="top"/>
    </xf>
    <xf numFmtId="0" fontId="0" fillId="7" borderId="0" xfId="0" applyFill="1"/>
    <xf numFmtId="0" fontId="0" fillId="7" borderId="0" xfId="0" applyFill="1" applyAlignment="1">
      <alignment vertical="top"/>
    </xf>
    <xf numFmtId="1" fontId="22" fillId="0" borderId="0" xfId="2" applyNumberFormat="1" applyFont="1" applyAlignment="1">
      <alignment vertical="center"/>
    </xf>
    <xf numFmtId="0" fontId="22" fillId="0" borderId="0" xfId="2" applyFont="1" applyAlignment="1">
      <alignment vertical="center"/>
    </xf>
    <xf numFmtId="1" fontId="43" fillId="0" borderId="0" xfId="2" applyNumberFormat="1" applyFont="1" applyAlignment="1">
      <alignment vertical="center"/>
    </xf>
    <xf numFmtId="9" fontId="5" fillId="0" borderId="0" xfId="2" applyNumberFormat="1" applyFont="1" applyAlignment="1">
      <alignment vertical="center"/>
    </xf>
    <xf numFmtId="0" fontId="42" fillId="0" borderId="0" xfId="2" applyFont="1" applyAlignment="1">
      <alignment vertical="center"/>
    </xf>
    <xf numFmtId="49" fontId="42" fillId="0" borderId="0" xfId="2" applyNumberFormat="1" applyFont="1" applyAlignment="1">
      <alignment vertical="center"/>
    </xf>
    <xf numFmtId="49" fontId="22" fillId="0" borderId="0" xfId="6" applyNumberFormat="1" applyFont="1" applyAlignment="1">
      <alignment vertical="center"/>
    </xf>
    <xf numFmtId="0" fontId="44" fillId="22" borderId="6" xfId="2" applyFont="1" applyFill="1" applyBorder="1" applyAlignment="1">
      <alignment horizontal="center" vertical="center" wrapText="1"/>
    </xf>
    <xf numFmtId="0" fontId="24" fillId="23" borderId="6" xfId="2" applyFont="1" applyFill="1" applyBorder="1" applyAlignment="1">
      <alignment vertical="center"/>
    </xf>
    <xf numFmtId="0" fontId="24" fillId="23" borderId="6" xfId="2" applyFont="1" applyFill="1" applyBorder="1" applyAlignment="1">
      <alignment vertical="center" wrapText="1"/>
    </xf>
    <xf numFmtId="0" fontId="14" fillId="23" borderId="6" xfId="2" applyFont="1" applyFill="1" applyBorder="1" applyAlignment="1">
      <alignment horizontal="center" vertical="center"/>
    </xf>
    <xf numFmtId="0" fontId="24" fillId="24" borderId="6" xfId="2" applyFont="1" applyFill="1" applyBorder="1" applyAlignment="1">
      <alignment vertical="center"/>
    </xf>
    <xf numFmtId="0" fontId="24" fillId="24" borderId="6" xfId="2" applyFont="1" applyFill="1" applyBorder="1" applyAlignment="1">
      <alignment vertical="center" wrapText="1"/>
    </xf>
    <xf numFmtId="0" fontId="14" fillId="24" borderId="6" xfId="2" applyFont="1" applyFill="1" applyBorder="1" applyAlignment="1">
      <alignment horizontal="center" vertical="center"/>
    </xf>
    <xf numFmtId="0" fontId="24" fillId="25" borderId="6" xfId="2" applyFont="1" applyFill="1" applyBorder="1" applyAlignment="1">
      <alignment vertical="center"/>
    </xf>
    <xf numFmtId="0" fontId="24" fillId="25" borderId="6" xfId="2" applyFont="1" applyFill="1" applyBorder="1" applyAlignment="1">
      <alignment vertical="center" wrapText="1"/>
    </xf>
    <xf numFmtId="0" fontId="14" fillId="25" borderId="6" xfId="2" applyFont="1" applyFill="1" applyBorder="1" applyAlignment="1">
      <alignment horizontal="center" vertical="center"/>
    </xf>
    <xf numFmtId="0" fontId="24" fillId="26" borderId="6" xfId="2" applyFont="1" applyFill="1" applyBorder="1" applyAlignment="1">
      <alignment vertical="center"/>
    </xf>
    <xf numFmtId="0" fontId="24" fillId="26" borderId="6" xfId="2" applyFont="1" applyFill="1" applyBorder="1" applyAlignment="1">
      <alignment vertical="center" wrapText="1"/>
    </xf>
    <xf numFmtId="0" fontId="14" fillId="26" borderId="6" xfId="2" applyFont="1" applyFill="1" applyBorder="1" applyAlignment="1">
      <alignment horizontal="center" vertical="center"/>
    </xf>
    <xf numFmtId="0" fontId="24" fillId="27" borderId="6" xfId="2" applyFont="1" applyFill="1" applyBorder="1" applyAlignment="1">
      <alignment vertical="center"/>
    </xf>
    <xf numFmtId="0" fontId="24" fillId="27" borderId="6" xfId="2" applyFont="1" applyFill="1" applyBorder="1" applyAlignment="1">
      <alignment vertical="center" wrapText="1"/>
    </xf>
    <xf numFmtId="0" fontId="14" fillId="27" borderId="6" xfId="2" applyFont="1" applyFill="1" applyBorder="1" applyAlignment="1">
      <alignment horizontal="center" vertical="center"/>
    </xf>
    <xf numFmtId="0" fontId="24" fillId="28" borderId="6" xfId="2" applyFont="1" applyFill="1" applyBorder="1" applyAlignment="1">
      <alignment vertical="center"/>
    </xf>
    <xf numFmtId="0" fontId="24" fillId="28" borderId="6" xfId="2" applyFont="1" applyFill="1" applyBorder="1" applyAlignment="1">
      <alignment vertical="center" wrapText="1"/>
    </xf>
    <xf numFmtId="0" fontId="14" fillId="28" borderId="6" xfId="2" applyFont="1" applyFill="1" applyBorder="1" applyAlignment="1">
      <alignment horizontal="center" vertical="center"/>
    </xf>
    <xf numFmtId="0" fontId="24" fillId="29" borderId="6" xfId="2" applyFont="1" applyFill="1" applyBorder="1" applyAlignment="1">
      <alignment vertical="center"/>
    </xf>
    <xf numFmtId="0" fontId="24" fillId="29" borderId="6" xfId="2" applyFont="1" applyFill="1" applyBorder="1" applyAlignment="1">
      <alignment vertical="center" wrapText="1"/>
    </xf>
    <xf numFmtId="0" fontId="14" fillId="29" borderId="6" xfId="2" applyFont="1" applyFill="1" applyBorder="1" applyAlignment="1">
      <alignment horizontal="center" vertical="center"/>
    </xf>
    <xf numFmtId="0" fontId="24" fillId="30" borderId="6" xfId="2" applyFont="1" applyFill="1" applyBorder="1" applyAlignment="1">
      <alignment vertical="center"/>
    </xf>
    <xf numFmtId="0" fontId="24" fillId="30" borderId="6" xfId="2" applyFont="1" applyFill="1" applyBorder="1" applyAlignment="1">
      <alignment vertical="center" wrapText="1"/>
    </xf>
    <xf numFmtId="0" fontId="14" fillId="30" borderId="6" xfId="2" applyFont="1" applyFill="1" applyBorder="1" applyAlignment="1">
      <alignment horizontal="center" vertical="center"/>
    </xf>
    <xf numFmtId="0" fontId="24" fillId="31" borderId="6" xfId="2" applyFont="1" applyFill="1" applyBorder="1" applyAlignment="1">
      <alignment vertical="center"/>
    </xf>
    <xf numFmtId="0" fontId="24" fillId="31" borderId="6" xfId="2" applyFont="1" applyFill="1" applyBorder="1" applyAlignment="1">
      <alignment vertical="center" wrapText="1"/>
    </xf>
    <xf numFmtId="0" fontId="14" fillId="31" borderId="6" xfId="2" applyFont="1" applyFill="1" applyBorder="1" applyAlignment="1">
      <alignment horizontal="center" vertical="center"/>
    </xf>
    <xf numFmtId="0" fontId="24" fillId="32" borderId="6" xfId="2" applyFont="1" applyFill="1" applyBorder="1" applyAlignment="1">
      <alignment vertical="center"/>
    </xf>
    <xf numFmtId="0" fontId="24" fillId="32" borderId="6" xfId="2" applyFont="1" applyFill="1" applyBorder="1" applyAlignment="1">
      <alignment vertical="center" wrapText="1"/>
    </xf>
    <xf numFmtId="0" fontId="14" fillId="32" borderId="6" xfId="2" applyFont="1" applyFill="1" applyBorder="1" applyAlignment="1">
      <alignment horizontal="center" vertical="center"/>
    </xf>
    <xf numFmtId="0" fontId="24" fillId="33" borderId="6" xfId="2" applyFont="1" applyFill="1" applyBorder="1" applyAlignment="1">
      <alignment vertical="center"/>
    </xf>
    <xf numFmtId="0" fontId="24" fillId="33" borderId="6" xfId="2" applyFont="1" applyFill="1" applyBorder="1" applyAlignment="1">
      <alignment vertical="center" wrapText="1"/>
    </xf>
    <xf numFmtId="0" fontId="14" fillId="33" borderId="6" xfId="2" applyFont="1" applyFill="1" applyBorder="1" applyAlignment="1">
      <alignment horizontal="center" vertical="center"/>
    </xf>
    <xf numFmtId="0" fontId="23" fillId="22" borderId="6" xfId="2" applyFont="1" applyFill="1" applyBorder="1" applyAlignment="1">
      <alignment vertical="center" wrapText="1"/>
    </xf>
    <xf numFmtId="0" fontId="23" fillId="22" borderId="6" xfId="2" applyFont="1" applyFill="1" applyBorder="1" applyAlignment="1">
      <alignment horizontal="center" vertical="center" wrapText="1"/>
    </xf>
    <xf numFmtId="0" fontId="24" fillId="23" borderId="6" xfId="2" applyFont="1" applyFill="1" applyBorder="1" applyAlignment="1">
      <alignment horizontal="center" vertical="center" wrapText="1"/>
    </xf>
    <xf numFmtId="0" fontId="24" fillId="25" borderId="6" xfId="2" applyFont="1" applyFill="1" applyBorder="1" applyAlignment="1">
      <alignment horizontal="center" vertical="center" wrapText="1"/>
    </xf>
    <xf numFmtId="0" fontId="24" fillId="29" borderId="6" xfId="2" applyFont="1" applyFill="1" applyBorder="1" applyAlignment="1">
      <alignment horizontal="center" vertical="center" wrapText="1"/>
    </xf>
    <xf numFmtId="0" fontId="24" fillId="26" borderId="6" xfId="2" applyFont="1" applyFill="1" applyBorder="1" applyAlignment="1">
      <alignment horizontal="center" vertical="center" wrapText="1"/>
    </xf>
    <xf numFmtId="0" fontId="24" fillId="27" borderId="6" xfId="2" applyFont="1" applyFill="1" applyBorder="1" applyAlignment="1">
      <alignment horizontal="center" vertical="center" wrapText="1"/>
    </xf>
    <xf numFmtId="0" fontId="24" fillId="24" borderId="6" xfId="2" applyFont="1" applyFill="1" applyBorder="1" applyAlignment="1">
      <alignment horizontal="center" vertical="center" wrapText="1"/>
    </xf>
    <xf numFmtId="0" fontId="24" fillId="32" borderId="6" xfId="2" applyFont="1" applyFill="1" applyBorder="1" applyAlignment="1">
      <alignment horizontal="center" vertical="center" wrapText="1"/>
    </xf>
    <xf numFmtId="0" fontId="24" fillId="31" borderId="6" xfId="2" applyFont="1" applyFill="1" applyBorder="1" applyAlignment="1">
      <alignment horizontal="center" vertical="center" wrapText="1"/>
    </xf>
    <xf numFmtId="0" fontId="24" fillId="28" borderId="6" xfId="2" applyFont="1" applyFill="1" applyBorder="1" applyAlignment="1">
      <alignment horizontal="center" vertical="center" wrapText="1"/>
    </xf>
    <xf numFmtId="0" fontId="24" fillId="30" borderId="6" xfId="2" applyFont="1" applyFill="1" applyBorder="1" applyAlignment="1">
      <alignment horizontal="center" vertical="center" wrapText="1"/>
    </xf>
    <xf numFmtId="0" fontId="24" fillId="33" borderId="6" xfId="2" applyFont="1" applyFill="1" applyBorder="1" applyAlignment="1">
      <alignment horizontal="center" vertical="center" wrapText="1"/>
    </xf>
    <xf numFmtId="0" fontId="46" fillId="0" borderId="0" xfId="0" applyFont="1"/>
    <xf numFmtId="0" fontId="47" fillId="0" borderId="0" xfId="0" applyFont="1"/>
    <xf numFmtId="0" fontId="45" fillId="0" borderId="0" xfId="2" applyFont="1"/>
    <xf numFmtId="0" fontId="44" fillId="22" borderId="6" xfId="0" applyFont="1" applyFill="1" applyBorder="1" applyAlignment="1">
      <alignment horizontal="left" vertical="center" wrapText="1"/>
    </xf>
    <xf numFmtId="0" fontId="24" fillId="23" borderId="6" xfId="0" applyFont="1" applyFill="1" applyBorder="1" applyAlignment="1">
      <alignment horizontal="left" vertical="center"/>
    </xf>
    <xf numFmtId="0" fontId="24" fillId="24" borderId="6" xfId="0" applyFont="1" applyFill="1" applyBorder="1" applyAlignment="1">
      <alignment horizontal="left" vertical="center"/>
    </xf>
    <xf numFmtId="0" fontId="24" fillId="25" borderId="6" xfId="0" applyFont="1" applyFill="1" applyBorder="1" applyAlignment="1">
      <alignment horizontal="left" vertical="center"/>
    </xf>
    <xf numFmtId="0" fontId="24" fillId="26" borderId="6" xfId="0" applyFont="1" applyFill="1" applyBorder="1" applyAlignment="1">
      <alignment horizontal="left" vertical="center"/>
    </xf>
    <xf numFmtId="0" fontId="24" fillId="27" borderId="6" xfId="0" applyFont="1" applyFill="1" applyBorder="1" applyAlignment="1">
      <alignment horizontal="left" vertical="center"/>
    </xf>
    <xf numFmtId="0" fontId="24" fillId="28" borderId="6" xfId="0" applyFont="1" applyFill="1" applyBorder="1" applyAlignment="1">
      <alignment horizontal="left" vertical="center"/>
    </xf>
    <xf numFmtId="0" fontId="24" fillId="29" borderId="6" xfId="0" applyFont="1" applyFill="1" applyBorder="1" applyAlignment="1">
      <alignment horizontal="left" vertical="center"/>
    </xf>
    <xf numFmtId="0" fontId="24" fillId="30" borderId="6" xfId="0" applyFont="1" applyFill="1" applyBorder="1" applyAlignment="1">
      <alignment horizontal="left" vertical="center"/>
    </xf>
    <xf numFmtId="0" fontId="24" fillId="31" borderId="6" xfId="0" applyFont="1" applyFill="1" applyBorder="1" applyAlignment="1">
      <alignment horizontal="left" vertical="center"/>
    </xf>
    <xf numFmtId="0" fontId="24" fillId="32" borderId="6" xfId="0" applyFont="1" applyFill="1" applyBorder="1" applyAlignment="1">
      <alignment horizontal="left" vertical="center"/>
    </xf>
    <xf numFmtId="0" fontId="24" fillId="33" borderId="6" xfId="0" applyFont="1" applyFill="1" applyBorder="1" applyAlignment="1">
      <alignment horizontal="left" vertical="center"/>
    </xf>
    <xf numFmtId="0" fontId="6" fillId="12" borderId="0" xfId="2" applyFont="1" applyFill="1" applyAlignment="1">
      <alignment vertical="center" wrapText="1"/>
    </xf>
    <xf numFmtId="0" fontId="8" fillId="12" borderId="3" xfId="2" applyFont="1" applyFill="1" applyBorder="1" applyAlignment="1">
      <alignment horizontal="center" vertical="center"/>
    </xf>
    <xf numFmtId="0" fontId="8" fillId="12" borderId="1" xfId="2" applyFont="1" applyFill="1" applyBorder="1" applyAlignment="1">
      <alignment horizontal="center" vertical="center" wrapText="1"/>
    </xf>
    <xf numFmtId="2" fontId="13" fillId="12" borderId="1" xfId="3" applyNumberFormat="1" applyFont="1" applyFill="1" applyBorder="1" applyAlignment="1">
      <alignment horizontal="center" vertical="center"/>
    </xf>
    <xf numFmtId="1" fontId="13" fillId="12" borderId="1" xfId="3" applyNumberFormat="1" applyFont="1" applyFill="1" applyBorder="1" applyAlignment="1">
      <alignment horizontal="center" vertical="center"/>
    </xf>
    <xf numFmtId="2" fontId="13" fillId="12" borderId="0" xfId="3" applyNumberFormat="1" applyFont="1" applyFill="1" applyAlignment="1">
      <alignment horizontal="center" vertical="center"/>
    </xf>
    <xf numFmtId="2" fontId="20" fillId="12" borderId="0" xfId="2" applyNumberFormat="1" applyFont="1" applyFill="1" applyAlignment="1">
      <alignment vertical="center"/>
    </xf>
    <xf numFmtId="2" fontId="2" fillId="12" borderId="0" xfId="2" applyNumberFormat="1" applyFont="1" applyFill="1" applyAlignment="1">
      <alignment horizontal="center" vertical="center" wrapText="1"/>
    </xf>
    <xf numFmtId="0" fontId="5" fillId="12" borderId="0" xfId="2" applyFont="1" applyFill="1" applyAlignment="1">
      <alignment vertical="center"/>
    </xf>
    <xf numFmtId="0" fontId="2" fillId="12" borderId="0" xfId="2" applyFont="1" applyFill="1" applyAlignment="1">
      <alignment horizontal="center" vertical="center" wrapText="1"/>
    </xf>
    <xf numFmtId="0" fontId="2" fillId="21" borderId="0" xfId="2" applyFont="1" applyFill="1" applyAlignment="1">
      <alignment horizontal="center" vertical="center" wrapText="1"/>
    </xf>
    <xf numFmtId="0" fontId="2" fillId="21" borderId="0" xfId="2" applyFont="1" applyFill="1" applyAlignment="1">
      <alignment horizontal="center" vertical="center"/>
    </xf>
    <xf numFmtId="2" fontId="21" fillId="21" borderId="0" xfId="2" applyNumberFormat="1" applyFont="1" applyFill="1" applyAlignment="1">
      <alignment horizontal="center" vertical="center"/>
    </xf>
    <xf numFmtId="2" fontId="2" fillId="21" borderId="0" xfId="2" applyNumberFormat="1" applyFont="1" applyFill="1" applyAlignment="1">
      <alignment horizontal="center" vertical="center"/>
    </xf>
    <xf numFmtId="0" fontId="1" fillId="21" borderId="0" xfId="2" applyFont="1" applyFill="1" applyAlignment="1">
      <alignment horizontal="center" vertical="center"/>
    </xf>
    <xf numFmtId="0" fontId="21" fillId="21" borderId="0" xfId="2" applyFont="1" applyFill="1" applyAlignment="1">
      <alignment horizontal="center" vertical="center"/>
    </xf>
    <xf numFmtId="0" fontId="21" fillId="21" borderId="0" xfId="2" applyFont="1" applyFill="1" applyAlignment="1">
      <alignment horizontal="center" vertical="center" wrapText="1"/>
    </xf>
    <xf numFmtId="0" fontId="22" fillId="21" borderId="0" xfId="2" applyFont="1" applyFill="1" applyAlignment="1">
      <alignment horizontal="center" vertical="center"/>
    </xf>
    <xf numFmtId="0" fontId="2" fillId="21" borderId="0" xfId="2" applyFont="1" applyFill="1" applyAlignment="1">
      <alignment vertical="center"/>
    </xf>
    <xf numFmtId="0" fontId="20" fillId="21" borderId="0" xfId="2" applyFont="1" applyFill="1" applyAlignment="1">
      <alignment horizontal="center" vertical="center"/>
    </xf>
    <xf numFmtId="2" fontId="20" fillId="21" borderId="0" xfId="2" applyNumberFormat="1" applyFont="1" applyFill="1" applyAlignment="1">
      <alignment vertical="center"/>
    </xf>
    <xf numFmtId="0" fontId="20" fillId="21" borderId="0" xfId="2" applyFont="1" applyFill="1" applyAlignment="1">
      <alignment vertical="center"/>
    </xf>
    <xf numFmtId="0" fontId="3" fillId="21" borderId="0" xfId="2" applyFill="1" applyAlignment="1">
      <alignment vertical="center"/>
    </xf>
    <xf numFmtId="0" fontId="18" fillId="21" borderId="0" xfId="2" applyFont="1" applyFill="1" applyAlignment="1">
      <alignment vertical="center"/>
    </xf>
    <xf numFmtId="0" fontId="2" fillId="21" borderId="0" xfId="2" applyFont="1" applyFill="1" applyAlignment="1">
      <alignment vertical="center" wrapText="1"/>
    </xf>
    <xf numFmtId="0" fontId="5" fillId="21" borderId="0" xfId="2" applyFont="1" applyFill="1" applyAlignment="1">
      <alignment vertical="center"/>
    </xf>
    <xf numFmtId="0" fontId="24" fillId="34" borderId="6" xfId="2" applyFont="1" applyFill="1" applyBorder="1" applyAlignment="1">
      <alignment horizontal="left" vertical="center" wrapText="1"/>
    </xf>
    <xf numFmtId="0" fontId="24" fillId="34" borderId="6" xfId="2" applyFont="1" applyFill="1" applyBorder="1" applyAlignment="1">
      <alignment vertical="center" wrapText="1"/>
    </xf>
    <xf numFmtId="0" fontId="23" fillId="14" borderId="6" xfId="2" applyFont="1" applyFill="1" applyBorder="1" applyAlignment="1">
      <alignment horizontal="center" vertical="center" wrapText="1"/>
    </xf>
    <xf numFmtId="0" fontId="24" fillId="35" borderId="6" xfId="2" applyFont="1" applyFill="1" applyBorder="1" applyAlignment="1">
      <alignment horizontal="center" vertical="center" wrapText="1"/>
    </xf>
    <xf numFmtId="0" fontId="24" fillId="35" borderId="6" xfId="2" applyFont="1" applyFill="1" applyBorder="1" applyAlignment="1">
      <alignment horizontal="left" vertical="center" wrapText="1"/>
    </xf>
    <xf numFmtId="0" fontId="24" fillId="36" borderId="6" xfId="2" applyFont="1" applyFill="1" applyBorder="1" applyAlignment="1">
      <alignment horizontal="center" vertical="center" wrapText="1"/>
    </xf>
    <xf numFmtId="0" fontId="24" fillId="36" borderId="6" xfId="2" applyFont="1" applyFill="1" applyBorder="1" applyAlignment="1">
      <alignment horizontal="left" vertical="center" wrapText="1"/>
    </xf>
    <xf numFmtId="0" fontId="39" fillId="16" borderId="1" xfId="2" applyFont="1" applyFill="1" applyBorder="1" applyAlignment="1">
      <alignment horizontal="left" vertical="center" wrapText="1"/>
    </xf>
    <xf numFmtId="0" fontId="24" fillId="37" borderId="1" xfId="0" applyFont="1" applyFill="1" applyBorder="1"/>
    <xf numFmtId="0" fontId="39" fillId="16" borderId="1" xfId="2" applyFont="1" applyFill="1" applyBorder="1" applyAlignment="1">
      <alignment vertical="center" wrapText="1"/>
    </xf>
    <xf numFmtId="0" fontId="39" fillId="17" borderId="1" xfId="2" applyFont="1" applyFill="1" applyBorder="1" applyAlignment="1">
      <alignment vertical="center" wrapText="1"/>
    </xf>
    <xf numFmtId="0" fontId="39" fillId="38" borderId="1" xfId="2" applyFont="1" applyFill="1" applyBorder="1" applyAlignment="1">
      <alignment vertical="top" wrapText="1"/>
    </xf>
    <xf numFmtId="0" fontId="14" fillId="39" borderId="1" xfId="2" applyFont="1" applyFill="1" applyBorder="1" applyAlignment="1">
      <alignment horizontal="center"/>
    </xf>
    <xf numFmtId="0" fontId="24" fillId="39" borderId="1" xfId="2" applyFont="1" applyFill="1" applyBorder="1"/>
    <xf numFmtId="169" fontId="38" fillId="39" borderId="1" xfId="2" applyNumberFormat="1" applyFont="1" applyFill="1" applyBorder="1" applyAlignment="1">
      <alignment horizontal="right"/>
    </xf>
    <xf numFmtId="0" fontId="39" fillId="39" borderId="1" xfId="2" applyFont="1" applyFill="1" applyBorder="1" applyAlignment="1">
      <alignment vertical="top" wrapText="1"/>
    </xf>
    <xf numFmtId="0" fontId="39" fillId="40" borderId="1" xfId="2" applyFont="1" applyFill="1" applyBorder="1" applyAlignment="1">
      <alignment vertical="top" wrapText="1"/>
    </xf>
    <xf numFmtId="0" fontId="52" fillId="7" borderId="9" xfId="2" applyFont="1" applyFill="1" applyBorder="1" applyAlignment="1">
      <alignment horizontal="center" vertical="center" wrapText="1"/>
    </xf>
    <xf numFmtId="0" fontId="53" fillId="19" borderId="9" xfId="2" applyFont="1" applyFill="1" applyBorder="1" applyAlignment="1">
      <alignment horizontal="left" vertical="center" wrapText="1"/>
    </xf>
    <xf numFmtId="3" fontId="53" fillId="19" borderId="9" xfId="2" applyNumberFormat="1" applyFont="1" applyFill="1" applyBorder="1" applyAlignment="1">
      <alignment horizontal="center" vertical="center"/>
    </xf>
    <xf numFmtId="0" fontId="54" fillId="19" borderId="9" xfId="2" applyFont="1" applyFill="1" applyBorder="1" applyAlignment="1">
      <alignment horizontal="left" vertical="center" wrapText="1"/>
    </xf>
    <xf numFmtId="2" fontId="53" fillId="19" borderId="9" xfId="2" applyNumberFormat="1" applyFont="1" applyFill="1" applyBorder="1" applyAlignment="1">
      <alignment horizontal="center" vertical="center"/>
    </xf>
    <xf numFmtId="170" fontId="55" fillId="19" borderId="9" xfId="2" applyNumberFormat="1" applyFont="1" applyFill="1" applyBorder="1" applyAlignment="1">
      <alignment horizontal="center" vertical="center"/>
    </xf>
    <xf numFmtId="170" fontId="56" fillId="19" borderId="9" xfId="2" applyNumberFormat="1" applyFont="1" applyFill="1" applyBorder="1" applyAlignment="1">
      <alignment horizontal="center" vertical="center"/>
    </xf>
    <xf numFmtId="170" fontId="57" fillId="19" borderId="9" xfId="2" applyNumberFormat="1" applyFont="1" applyFill="1" applyBorder="1" applyAlignment="1">
      <alignment horizontal="center" vertical="center"/>
    </xf>
    <xf numFmtId="170" fontId="53" fillId="19" borderId="9" xfId="2" applyNumberFormat="1" applyFont="1" applyFill="1" applyBorder="1" applyAlignment="1">
      <alignment horizontal="center" vertical="center"/>
    </xf>
    <xf numFmtId="0" fontId="53" fillId="41" borderId="9" xfId="2" applyFont="1" applyFill="1" applyBorder="1" applyAlignment="1">
      <alignment horizontal="left" vertical="center"/>
    </xf>
    <xf numFmtId="170" fontId="59" fillId="41" borderId="9" xfId="2" applyNumberFormat="1" applyFont="1" applyFill="1" applyBorder="1" applyAlignment="1">
      <alignment horizontal="center" vertical="center"/>
    </xf>
    <xf numFmtId="170" fontId="60" fillId="41" borderId="9" xfId="2" applyNumberFormat="1" applyFont="1" applyFill="1" applyBorder="1" applyAlignment="1">
      <alignment horizontal="center" vertical="center"/>
    </xf>
    <xf numFmtId="170" fontId="53" fillId="41" borderId="9" xfId="2" applyNumberFormat="1" applyFont="1" applyFill="1" applyBorder="1" applyAlignment="1">
      <alignment horizontal="center" vertical="center"/>
    </xf>
    <xf numFmtId="0" fontId="54" fillId="41" borderId="9" xfId="2" applyFont="1" applyFill="1" applyBorder="1" applyAlignment="1">
      <alignment horizontal="left" vertical="center" wrapText="1"/>
    </xf>
    <xf numFmtId="0" fontId="53" fillId="42" borderId="9" xfId="2" applyFont="1" applyFill="1" applyBorder="1" applyAlignment="1">
      <alignment horizontal="left" vertical="center"/>
    </xf>
    <xf numFmtId="170" fontId="59" fillId="42" borderId="9" xfId="2" applyNumberFormat="1" applyFont="1" applyFill="1" applyBorder="1" applyAlignment="1">
      <alignment horizontal="center" vertical="center"/>
    </xf>
    <xf numFmtId="170" fontId="60" fillId="42" borderId="9" xfId="2" applyNumberFormat="1" applyFont="1" applyFill="1" applyBorder="1" applyAlignment="1">
      <alignment horizontal="center" vertical="center"/>
    </xf>
    <xf numFmtId="170" fontId="53" fillId="42" borderId="9" xfId="2" applyNumberFormat="1" applyFont="1" applyFill="1" applyBorder="1" applyAlignment="1">
      <alignment horizontal="center" vertical="center"/>
    </xf>
    <xf numFmtId="0" fontId="54" fillId="42" borderId="9" xfId="2" applyFont="1" applyFill="1" applyBorder="1" applyAlignment="1">
      <alignment horizontal="left" vertical="center" wrapText="1"/>
    </xf>
    <xf numFmtId="0" fontId="53" fillId="43" borderId="9" xfId="2" applyFont="1" applyFill="1" applyBorder="1" applyAlignment="1">
      <alignment horizontal="left" vertical="center"/>
    </xf>
    <xf numFmtId="170" fontId="59" fillId="43" borderId="9" xfId="2" applyNumberFormat="1" applyFont="1" applyFill="1" applyBorder="1" applyAlignment="1">
      <alignment horizontal="center" vertical="center"/>
    </xf>
    <xf numFmtId="170" fontId="53" fillId="43" borderId="9" xfId="2" applyNumberFormat="1" applyFont="1" applyFill="1" applyBorder="1" applyAlignment="1">
      <alignment horizontal="center" vertical="center"/>
    </xf>
    <xf numFmtId="0" fontId="54" fillId="43" borderId="9" xfId="2" applyFont="1" applyFill="1" applyBorder="1" applyAlignment="1">
      <alignment horizontal="left" vertical="center" wrapText="1"/>
    </xf>
    <xf numFmtId="0" fontId="53" fillId="44" borderId="9" xfId="2" applyFont="1" applyFill="1" applyBorder="1" applyAlignment="1">
      <alignment horizontal="left" vertical="center"/>
    </xf>
    <xf numFmtId="170" fontId="59" fillId="44" borderId="9" xfId="2" applyNumberFormat="1" applyFont="1" applyFill="1" applyBorder="1" applyAlignment="1">
      <alignment horizontal="center" vertical="center"/>
    </xf>
    <xf numFmtId="170" fontId="60" fillId="44" borderId="9" xfId="2" applyNumberFormat="1" applyFont="1" applyFill="1" applyBorder="1" applyAlignment="1">
      <alignment horizontal="center" vertical="center"/>
    </xf>
    <xf numFmtId="170" fontId="53" fillId="44" borderId="9" xfId="2" applyNumberFormat="1" applyFont="1" applyFill="1" applyBorder="1" applyAlignment="1">
      <alignment horizontal="center" vertical="center"/>
    </xf>
    <xf numFmtId="0" fontId="54" fillId="44" borderId="9" xfId="2" applyFont="1" applyFill="1" applyBorder="1" applyAlignment="1">
      <alignment horizontal="left" vertical="center" wrapText="1"/>
    </xf>
    <xf numFmtId="0" fontId="53" fillId="45" borderId="9" xfId="2" applyFont="1" applyFill="1" applyBorder="1" applyAlignment="1">
      <alignment horizontal="left" vertical="center"/>
    </xf>
    <xf numFmtId="170" fontId="59" fillId="45" borderId="9" xfId="2" applyNumberFormat="1" applyFont="1" applyFill="1" applyBorder="1" applyAlignment="1">
      <alignment horizontal="center" vertical="center"/>
    </xf>
    <xf numFmtId="170" fontId="53" fillId="45" borderId="9" xfId="2" applyNumberFormat="1" applyFont="1" applyFill="1" applyBorder="1" applyAlignment="1">
      <alignment horizontal="center" vertical="center"/>
    </xf>
    <xf numFmtId="170" fontId="61" fillId="45" borderId="9" xfId="2" applyNumberFormat="1" applyFont="1" applyFill="1" applyBorder="1" applyAlignment="1">
      <alignment horizontal="center" vertical="center"/>
    </xf>
    <xf numFmtId="0" fontId="54" fillId="45" borderId="9" xfId="2" applyFont="1" applyFill="1" applyBorder="1" applyAlignment="1">
      <alignment horizontal="left" vertical="center" wrapText="1"/>
    </xf>
    <xf numFmtId="0" fontId="53" fillId="46" borderId="9" xfId="2" applyFont="1" applyFill="1" applyBorder="1" applyAlignment="1">
      <alignment horizontal="left" vertical="center"/>
    </xf>
    <xf numFmtId="170" fontId="59" fillId="46" borderId="9" xfId="2" applyNumberFormat="1" applyFont="1" applyFill="1" applyBorder="1" applyAlignment="1">
      <alignment horizontal="center" vertical="center"/>
    </xf>
    <xf numFmtId="170" fontId="53" fillId="46" borderId="9" xfId="2" applyNumberFormat="1" applyFont="1" applyFill="1" applyBorder="1" applyAlignment="1">
      <alignment horizontal="center" vertical="center"/>
    </xf>
    <xf numFmtId="0" fontId="54" fillId="46" borderId="9" xfId="2" applyFont="1" applyFill="1" applyBorder="1" applyAlignment="1">
      <alignment horizontal="left" vertical="center" wrapText="1"/>
    </xf>
    <xf numFmtId="0" fontId="53" fillId="47" borderId="9" xfId="2" applyFont="1" applyFill="1" applyBorder="1" applyAlignment="1">
      <alignment horizontal="left" vertical="center"/>
    </xf>
    <xf numFmtId="170" fontId="59" fillId="47" borderId="9" xfId="2" applyNumberFormat="1" applyFont="1" applyFill="1" applyBorder="1" applyAlignment="1">
      <alignment horizontal="center" vertical="center"/>
    </xf>
    <xf numFmtId="170" fontId="53" fillId="47" borderId="9" xfId="2" applyNumberFormat="1" applyFont="1" applyFill="1" applyBorder="1" applyAlignment="1">
      <alignment horizontal="center" vertical="center"/>
    </xf>
    <xf numFmtId="0" fontId="54" fillId="47" borderId="9" xfId="2" applyFont="1" applyFill="1" applyBorder="1" applyAlignment="1">
      <alignment horizontal="left" vertical="center" wrapText="1"/>
    </xf>
    <xf numFmtId="0" fontId="53" fillId="48" borderId="9" xfId="2" applyFont="1" applyFill="1" applyBorder="1" applyAlignment="1">
      <alignment horizontal="left" vertical="center"/>
    </xf>
    <xf numFmtId="170" fontId="59" fillId="48" borderId="9" xfId="2" applyNumberFormat="1" applyFont="1" applyFill="1" applyBorder="1" applyAlignment="1">
      <alignment horizontal="center" vertical="center"/>
    </xf>
    <xf numFmtId="170" fontId="60" fillId="48" borderId="9" xfId="2" applyNumberFormat="1" applyFont="1" applyFill="1" applyBorder="1" applyAlignment="1">
      <alignment horizontal="center" vertical="center"/>
    </xf>
    <xf numFmtId="170" fontId="53" fillId="48" borderId="9" xfId="2" applyNumberFormat="1" applyFont="1" applyFill="1" applyBorder="1" applyAlignment="1">
      <alignment horizontal="center" vertical="center"/>
    </xf>
    <xf numFmtId="0" fontId="54" fillId="48" borderId="9" xfId="2" applyFont="1" applyFill="1" applyBorder="1" applyAlignment="1">
      <alignment horizontal="left" vertical="center" wrapText="1"/>
    </xf>
    <xf numFmtId="0" fontId="53" fillId="49" borderId="9" xfId="2" applyFont="1" applyFill="1" applyBorder="1" applyAlignment="1">
      <alignment horizontal="left" vertical="center"/>
    </xf>
    <xf numFmtId="170" fontId="59" fillId="49" borderId="9" xfId="2" applyNumberFormat="1" applyFont="1" applyFill="1" applyBorder="1" applyAlignment="1">
      <alignment horizontal="center" vertical="center"/>
    </xf>
    <xf numFmtId="170" fontId="53" fillId="49" borderId="9" xfId="2" applyNumberFormat="1" applyFont="1" applyFill="1" applyBorder="1" applyAlignment="1">
      <alignment horizontal="center" vertical="center"/>
    </xf>
    <xf numFmtId="0" fontId="54" fillId="49" borderId="9" xfId="2" applyFont="1" applyFill="1" applyBorder="1" applyAlignment="1">
      <alignment horizontal="left" vertical="center" wrapText="1"/>
    </xf>
    <xf numFmtId="0" fontId="53" fillId="50" borderId="9" xfId="2" applyFont="1" applyFill="1" applyBorder="1" applyAlignment="1">
      <alignment horizontal="left" vertical="center"/>
    </xf>
    <xf numFmtId="170" fontId="59" fillId="50" borderId="9" xfId="2" applyNumberFormat="1" applyFont="1" applyFill="1" applyBorder="1" applyAlignment="1">
      <alignment horizontal="center" vertical="center"/>
    </xf>
    <xf numFmtId="170" fontId="53" fillId="50" borderId="9" xfId="2" applyNumberFormat="1" applyFont="1" applyFill="1" applyBorder="1" applyAlignment="1">
      <alignment horizontal="center" vertical="center"/>
    </xf>
    <xf numFmtId="0" fontId="54" fillId="50" borderId="9" xfId="2" applyFont="1" applyFill="1" applyBorder="1" applyAlignment="1">
      <alignment horizontal="left" vertical="center" wrapText="1"/>
    </xf>
    <xf numFmtId="0" fontId="53" fillId="51" borderId="9" xfId="2" applyFont="1" applyFill="1" applyBorder="1" applyAlignment="1">
      <alignment horizontal="left" vertical="center"/>
    </xf>
    <xf numFmtId="170" fontId="59" fillId="51" borderId="9" xfId="2" applyNumberFormat="1" applyFont="1" applyFill="1" applyBorder="1" applyAlignment="1">
      <alignment horizontal="center" vertical="center"/>
    </xf>
    <xf numFmtId="170" fontId="53" fillId="51" borderId="9" xfId="2" applyNumberFormat="1" applyFont="1" applyFill="1" applyBorder="1" applyAlignment="1">
      <alignment horizontal="center" vertical="center"/>
    </xf>
    <xf numFmtId="0" fontId="54" fillId="51" borderId="9" xfId="2" applyFont="1" applyFill="1" applyBorder="1" applyAlignment="1">
      <alignment horizontal="left" vertical="center" wrapText="1"/>
    </xf>
    <xf numFmtId="0" fontId="62" fillId="52" borderId="9" xfId="2" applyFont="1" applyFill="1" applyBorder="1" applyAlignment="1">
      <alignment horizontal="left" vertical="center"/>
    </xf>
    <xf numFmtId="170" fontId="13" fillId="52" borderId="9" xfId="2" applyNumberFormat="1" applyFont="1" applyFill="1" applyBorder="1" applyAlignment="1">
      <alignment horizontal="center" vertical="center"/>
    </xf>
    <xf numFmtId="170" fontId="62" fillId="52" borderId="9" xfId="2" applyNumberFormat="1" applyFont="1" applyFill="1" applyBorder="1" applyAlignment="1">
      <alignment horizontal="center" vertical="center"/>
    </xf>
    <xf numFmtId="0" fontId="63" fillId="52" borderId="9" xfId="2" applyFont="1" applyFill="1" applyBorder="1" applyAlignment="1">
      <alignment horizontal="left" vertical="center" wrapText="1"/>
    </xf>
    <xf numFmtId="0" fontId="54" fillId="41" borderId="9" xfId="2" applyFont="1" applyFill="1" applyBorder="1" applyAlignment="1">
      <alignment horizontal="center" vertical="center"/>
    </xf>
    <xf numFmtId="0" fontId="54" fillId="41" borderId="9" xfId="2" applyFont="1" applyFill="1" applyBorder="1" applyAlignment="1">
      <alignment horizontal="left" vertical="center"/>
    </xf>
    <xf numFmtId="0" fontId="64" fillId="41" borderId="9" xfId="2" applyFont="1" applyFill="1" applyBorder="1" applyAlignment="1">
      <alignment horizontal="left" vertical="center"/>
    </xf>
    <xf numFmtId="170" fontId="65" fillId="41" borderId="9" xfId="2" applyNumberFormat="1" applyFont="1" applyFill="1" applyBorder="1" applyAlignment="1">
      <alignment horizontal="center" vertical="center"/>
    </xf>
    <xf numFmtId="170" fontId="54" fillId="41" borderId="9" xfId="2" applyNumberFormat="1" applyFont="1" applyFill="1" applyBorder="1" applyAlignment="1">
      <alignment horizontal="center" vertical="center"/>
    </xf>
    <xf numFmtId="0" fontId="54" fillId="43" borderId="9" xfId="2" applyFont="1" applyFill="1" applyBorder="1" applyAlignment="1">
      <alignment horizontal="center" vertical="center"/>
    </xf>
    <xf numFmtId="0" fontId="54" fillId="43" borderId="9" xfId="2" applyFont="1" applyFill="1" applyBorder="1" applyAlignment="1">
      <alignment horizontal="left" vertical="center"/>
    </xf>
    <xf numFmtId="0" fontId="64" fillId="43" borderId="9" xfId="2" applyFont="1" applyFill="1" applyBorder="1" applyAlignment="1">
      <alignment horizontal="left" vertical="center"/>
    </xf>
    <xf numFmtId="170" fontId="65" fillId="43" borderId="9" xfId="2" applyNumberFormat="1" applyFont="1" applyFill="1" applyBorder="1" applyAlignment="1">
      <alignment horizontal="center" vertical="center"/>
    </xf>
    <xf numFmtId="170" fontId="54" fillId="43" borderId="9" xfId="2" applyNumberFormat="1" applyFont="1" applyFill="1" applyBorder="1" applyAlignment="1">
      <alignment horizontal="center" vertical="center"/>
    </xf>
    <xf numFmtId="0" fontId="54" fillId="47" borderId="9" xfId="2" applyFont="1" applyFill="1" applyBorder="1" applyAlignment="1">
      <alignment horizontal="center" vertical="center"/>
    </xf>
    <xf numFmtId="0" fontId="54" fillId="47" borderId="9" xfId="2" applyFont="1" applyFill="1" applyBorder="1" applyAlignment="1">
      <alignment horizontal="left" vertical="center"/>
    </xf>
    <xf numFmtId="170" fontId="65" fillId="47" borderId="9" xfId="2" applyNumberFormat="1" applyFont="1" applyFill="1" applyBorder="1" applyAlignment="1">
      <alignment horizontal="center" vertical="center"/>
    </xf>
    <xf numFmtId="170" fontId="54" fillId="47" borderId="9" xfId="2" applyNumberFormat="1" applyFont="1" applyFill="1" applyBorder="1" applyAlignment="1">
      <alignment horizontal="center" vertical="center"/>
    </xf>
    <xf numFmtId="0" fontId="54" fillId="50" borderId="9" xfId="2" applyFont="1" applyFill="1" applyBorder="1" applyAlignment="1">
      <alignment horizontal="center" vertical="center"/>
    </xf>
    <xf numFmtId="0" fontId="54" fillId="50" borderId="9" xfId="2" applyFont="1" applyFill="1" applyBorder="1" applyAlignment="1">
      <alignment horizontal="left" vertical="center"/>
    </xf>
    <xf numFmtId="170" fontId="54" fillId="50" borderId="9" xfId="2" applyNumberFormat="1" applyFont="1" applyFill="1" applyBorder="1" applyAlignment="1">
      <alignment horizontal="center" vertical="center"/>
    </xf>
    <xf numFmtId="0" fontId="54" fillId="44" borderId="9" xfId="2" applyFont="1" applyFill="1" applyBorder="1" applyAlignment="1">
      <alignment horizontal="center" vertical="center"/>
    </xf>
    <xf numFmtId="0" fontId="54" fillId="44" borderId="9" xfId="2" applyFont="1" applyFill="1" applyBorder="1" applyAlignment="1">
      <alignment horizontal="left" vertical="center"/>
    </xf>
    <xf numFmtId="0" fontId="64" fillId="44" borderId="9" xfId="2" applyFont="1" applyFill="1" applyBorder="1" applyAlignment="1">
      <alignment horizontal="left" vertical="center"/>
    </xf>
    <xf numFmtId="170" fontId="65" fillId="44" borderId="9" xfId="2" applyNumberFormat="1" applyFont="1" applyFill="1" applyBorder="1" applyAlignment="1">
      <alignment horizontal="center" vertical="center"/>
    </xf>
    <xf numFmtId="170" fontId="54" fillId="44" borderId="9" xfId="2" applyNumberFormat="1" applyFont="1" applyFill="1" applyBorder="1" applyAlignment="1">
      <alignment horizontal="center" vertical="center"/>
    </xf>
    <xf numFmtId="0" fontId="54" fillId="45" borderId="9" xfId="2" applyFont="1" applyFill="1" applyBorder="1" applyAlignment="1">
      <alignment horizontal="center" vertical="center"/>
    </xf>
    <xf numFmtId="0" fontId="54" fillId="45" borderId="9" xfId="2" applyFont="1" applyFill="1" applyBorder="1" applyAlignment="1">
      <alignment horizontal="left" vertical="center"/>
    </xf>
    <xf numFmtId="170" fontId="54" fillId="45" borderId="9" xfId="2" applyNumberFormat="1" applyFont="1" applyFill="1" applyBorder="1" applyAlignment="1">
      <alignment horizontal="center" vertical="center"/>
    </xf>
    <xf numFmtId="170" fontId="66" fillId="45" borderId="9" xfId="2" applyNumberFormat="1" applyFont="1" applyFill="1" applyBorder="1" applyAlignment="1">
      <alignment horizontal="center" vertical="center"/>
    </xf>
    <xf numFmtId="0" fontId="54" fillId="46" borderId="9" xfId="2" applyFont="1" applyFill="1" applyBorder="1" applyAlignment="1">
      <alignment horizontal="center" vertical="center"/>
    </xf>
    <xf numFmtId="0" fontId="54" fillId="46" borderId="9" xfId="2" applyFont="1" applyFill="1" applyBorder="1" applyAlignment="1">
      <alignment horizontal="left" vertical="center"/>
    </xf>
    <xf numFmtId="0" fontId="64" fillId="46" borderId="9" xfId="2" applyFont="1" applyFill="1" applyBorder="1" applyAlignment="1">
      <alignment horizontal="left" vertical="center"/>
    </xf>
    <xf numFmtId="170" fontId="65" fillId="46" borderId="9" xfId="2" applyNumberFormat="1" applyFont="1" applyFill="1" applyBorder="1" applyAlignment="1">
      <alignment horizontal="center" vertical="center"/>
    </xf>
    <xf numFmtId="170" fontId="54" fillId="46" borderId="9" xfId="2" applyNumberFormat="1" applyFont="1" applyFill="1" applyBorder="1" applyAlignment="1">
      <alignment horizontal="center" vertical="center"/>
    </xf>
    <xf numFmtId="0" fontId="54" fillId="51" borderId="9" xfId="2" applyFont="1" applyFill="1" applyBorder="1" applyAlignment="1">
      <alignment horizontal="center" vertical="center"/>
    </xf>
    <xf numFmtId="0" fontId="54" fillId="51" borderId="9" xfId="2" applyFont="1" applyFill="1" applyBorder="1" applyAlignment="1">
      <alignment horizontal="left" vertical="center"/>
    </xf>
    <xf numFmtId="170" fontId="54" fillId="51" borderId="9" xfId="2" applyNumberFormat="1" applyFont="1" applyFill="1" applyBorder="1" applyAlignment="1">
      <alignment horizontal="center" vertical="center"/>
    </xf>
    <xf numFmtId="0" fontId="67" fillId="53" borderId="9" xfId="2" applyFont="1" applyFill="1" applyBorder="1" applyAlignment="1">
      <alignment horizontal="center" vertical="center"/>
    </xf>
    <xf numFmtId="0" fontId="67" fillId="53" borderId="9" xfId="2" applyFont="1" applyFill="1" applyBorder="1" applyAlignment="1">
      <alignment horizontal="left" vertical="center"/>
    </xf>
    <xf numFmtId="170" fontId="67" fillId="53" borderId="9" xfId="2" applyNumberFormat="1" applyFont="1" applyFill="1" applyBorder="1" applyAlignment="1">
      <alignment horizontal="center" vertical="center"/>
    </xf>
    <xf numFmtId="0" fontId="67" fillId="53" borderId="9" xfId="2" applyFont="1" applyFill="1" applyBorder="1" applyAlignment="1">
      <alignment horizontal="left" vertical="center" wrapText="1"/>
    </xf>
    <xf numFmtId="0" fontId="54" fillId="49" borderId="9" xfId="2" applyFont="1" applyFill="1" applyBorder="1" applyAlignment="1">
      <alignment horizontal="center" vertical="center"/>
    </xf>
    <xf numFmtId="0" fontId="54" fillId="49" borderId="9" xfId="2" applyFont="1" applyFill="1" applyBorder="1" applyAlignment="1">
      <alignment horizontal="left" vertical="center"/>
    </xf>
    <xf numFmtId="0" fontId="64" fillId="49" borderId="9" xfId="2" applyFont="1" applyFill="1" applyBorder="1" applyAlignment="1">
      <alignment horizontal="left" vertical="center"/>
    </xf>
    <xf numFmtId="170" fontId="65" fillId="49" borderId="9" xfId="2" applyNumberFormat="1" applyFont="1" applyFill="1" applyBorder="1" applyAlignment="1">
      <alignment horizontal="center" vertical="center"/>
    </xf>
    <xf numFmtId="170" fontId="54" fillId="49" borderId="9" xfId="2" applyNumberFormat="1" applyFont="1" applyFill="1" applyBorder="1" applyAlignment="1">
      <alignment horizontal="center" vertical="center"/>
    </xf>
    <xf numFmtId="0" fontId="54" fillId="48" borderId="9" xfId="2" applyFont="1" applyFill="1" applyBorder="1" applyAlignment="1">
      <alignment horizontal="center" vertical="center"/>
    </xf>
    <xf numFmtId="0" fontId="54" fillId="48" borderId="9" xfId="2" applyFont="1" applyFill="1" applyBorder="1" applyAlignment="1">
      <alignment horizontal="left" vertical="center"/>
    </xf>
    <xf numFmtId="0" fontId="64" fillId="48" borderId="9" xfId="2" applyFont="1" applyFill="1" applyBorder="1" applyAlignment="1">
      <alignment horizontal="left" vertical="center"/>
    </xf>
    <xf numFmtId="170" fontId="65" fillId="48" borderId="9" xfId="2" applyNumberFormat="1" applyFont="1" applyFill="1" applyBorder="1" applyAlignment="1">
      <alignment horizontal="center" vertical="center"/>
    </xf>
    <xf numFmtId="170" fontId="54" fillId="48" borderId="9" xfId="2" applyNumberFormat="1" applyFont="1" applyFill="1" applyBorder="1" applyAlignment="1">
      <alignment horizontal="center" vertical="center"/>
    </xf>
    <xf numFmtId="0" fontId="64" fillId="47" borderId="9" xfId="2" applyFont="1" applyFill="1" applyBorder="1" applyAlignment="1">
      <alignment horizontal="left" vertical="center"/>
    </xf>
    <xf numFmtId="0" fontId="64" fillId="51" borderId="9" xfId="2" applyFont="1" applyFill="1" applyBorder="1" applyAlignment="1">
      <alignment horizontal="left" vertical="center"/>
    </xf>
    <xf numFmtId="0" fontId="64" fillId="45" borderId="9" xfId="2" applyFont="1" applyFill="1" applyBorder="1" applyAlignment="1">
      <alignment horizontal="left" vertical="center"/>
    </xf>
    <xf numFmtId="0" fontId="63" fillId="54" borderId="9" xfId="2" applyFont="1" applyFill="1" applyBorder="1" applyAlignment="1">
      <alignment horizontal="left" vertical="center"/>
    </xf>
    <xf numFmtId="0" fontId="69" fillId="54" borderId="9" xfId="2" applyFont="1" applyFill="1" applyBorder="1" applyAlignment="1">
      <alignment horizontal="center" vertical="center"/>
    </xf>
    <xf numFmtId="0" fontId="52" fillId="12" borderId="9" xfId="2" applyFont="1" applyFill="1" applyBorder="1" applyAlignment="1">
      <alignment horizontal="center" vertical="center" wrapText="1"/>
    </xf>
    <xf numFmtId="170" fontId="71" fillId="41" borderId="9" xfId="2" applyNumberFormat="1" applyFont="1" applyFill="1" applyBorder="1" applyAlignment="1">
      <alignment horizontal="center" vertical="center"/>
    </xf>
    <xf numFmtId="170" fontId="72" fillId="41" borderId="9" xfId="2" applyNumberFormat="1" applyFont="1" applyFill="1" applyBorder="1" applyAlignment="1">
      <alignment horizontal="center" vertical="center"/>
    </xf>
    <xf numFmtId="170" fontId="71" fillId="42" borderId="9" xfId="2" applyNumberFormat="1" applyFont="1" applyFill="1" applyBorder="1" applyAlignment="1">
      <alignment horizontal="center" vertical="center"/>
    </xf>
    <xf numFmtId="170" fontId="72" fillId="42" borderId="9" xfId="2" applyNumberFormat="1" applyFont="1" applyFill="1" applyBorder="1" applyAlignment="1">
      <alignment horizontal="center" vertical="center"/>
    </xf>
    <xf numFmtId="170" fontId="71" fillId="43" borderId="9" xfId="2" applyNumberFormat="1" applyFont="1" applyFill="1" applyBorder="1" applyAlignment="1">
      <alignment horizontal="center" vertical="center"/>
    </xf>
    <xf numFmtId="170" fontId="72" fillId="43" borderId="9" xfId="2" applyNumberFormat="1" applyFont="1" applyFill="1" applyBorder="1" applyAlignment="1">
      <alignment horizontal="center" vertical="center"/>
    </xf>
    <xf numFmtId="170" fontId="71" fillId="44" borderId="9" xfId="2" applyNumberFormat="1" applyFont="1" applyFill="1" applyBorder="1" applyAlignment="1">
      <alignment horizontal="center" vertical="center"/>
    </xf>
    <xf numFmtId="170" fontId="72" fillId="44" borderId="9" xfId="2" applyNumberFormat="1" applyFont="1" applyFill="1" applyBorder="1" applyAlignment="1">
      <alignment horizontal="center" vertical="center"/>
    </xf>
    <xf numFmtId="170" fontId="71" fillId="45" borderId="9" xfId="2" applyNumberFormat="1" applyFont="1" applyFill="1" applyBorder="1" applyAlignment="1">
      <alignment horizontal="center" vertical="center"/>
    </xf>
    <xf numFmtId="170" fontId="72" fillId="45" borderId="9" xfId="2" applyNumberFormat="1" applyFont="1" applyFill="1" applyBorder="1" applyAlignment="1">
      <alignment horizontal="center" vertical="center"/>
    </xf>
    <xf numFmtId="170" fontId="71" fillId="46" borderId="9" xfId="2" applyNumberFormat="1" applyFont="1" applyFill="1" applyBorder="1" applyAlignment="1">
      <alignment horizontal="center" vertical="center"/>
    </xf>
    <xf numFmtId="170" fontId="72" fillId="46" borderId="9" xfId="2" applyNumberFormat="1" applyFont="1" applyFill="1" applyBorder="1" applyAlignment="1">
      <alignment horizontal="center" vertical="center"/>
    </xf>
    <xf numFmtId="170" fontId="71" fillId="47" borderId="9" xfId="2" applyNumberFormat="1" applyFont="1" applyFill="1" applyBorder="1" applyAlignment="1">
      <alignment horizontal="center" vertical="center"/>
    </xf>
    <xf numFmtId="170" fontId="72" fillId="47" borderId="9" xfId="2" applyNumberFormat="1" applyFont="1" applyFill="1" applyBorder="1" applyAlignment="1">
      <alignment horizontal="center" vertical="center"/>
    </xf>
    <xf numFmtId="170" fontId="71" fillId="48" borderId="9" xfId="2" applyNumberFormat="1" applyFont="1" applyFill="1" applyBorder="1" applyAlignment="1">
      <alignment horizontal="center" vertical="center"/>
    </xf>
    <xf numFmtId="170" fontId="72" fillId="48" borderId="9" xfId="2" applyNumberFormat="1" applyFont="1" applyFill="1" applyBorder="1" applyAlignment="1">
      <alignment horizontal="center" vertical="center"/>
    </xf>
    <xf numFmtId="170" fontId="71" fillId="49" borderId="9" xfId="2" applyNumberFormat="1" applyFont="1" applyFill="1" applyBorder="1" applyAlignment="1">
      <alignment horizontal="center" vertical="center"/>
    </xf>
    <xf numFmtId="170" fontId="72" fillId="49" borderId="9" xfId="2" applyNumberFormat="1" applyFont="1" applyFill="1" applyBorder="1" applyAlignment="1">
      <alignment horizontal="center" vertical="center"/>
    </xf>
    <xf numFmtId="170" fontId="71" fillId="50" borderId="9" xfId="2" applyNumberFormat="1" applyFont="1" applyFill="1" applyBorder="1" applyAlignment="1">
      <alignment horizontal="center" vertical="center"/>
    </xf>
    <xf numFmtId="170" fontId="72" fillId="50" borderId="9" xfId="2" applyNumberFormat="1" applyFont="1" applyFill="1" applyBorder="1" applyAlignment="1">
      <alignment horizontal="center" vertical="center"/>
    </xf>
    <xf numFmtId="170" fontId="71" fillId="51" borderId="9" xfId="2" applyNumberFormat="1" applyFont="1" applyFill="1" applyBorder="1" applyAlignment="1">
      <alignment horizontal="center" vertical="center"/>
    </xf>
    <xf numFmtId="170" fontId="72" fillId="51" borderId="9" xfId="2" applyNumberFormat="1" applyFont="1" applyFill="1" applyBorder="1" applyAlignment="1">
      <alignment horizontal="center" vertical="center"/>
    </xf>
    <xf numFmtId="170" fontId="73" fillId="52" borderId="9" xfId="2" applyNumberFormat="1" applyFont="1" applyFill="1" applyBorder="1" applyAlignment="1">
      <alignment horizontal="center" vertical="center"/>
    </xf>
    <xf numFmtId="170" fontId="55" fillId="52" borderId="9" xfId="2" applyNumberFormat="1" applyFont="1" applyFill="1" applyBorder="1" applyAlignment="1">
      <alignment horizontal="center" vertical="center"/>
    </xf>
    <xf numFmtId="170" fontId="36" fillId="41" borderId="9" xfId="2" applyNumberFormat="1" applyFont="1" applyFill="1" applyBorder="1" applyAlignment="1">
      <alignment horizontal="center" vertical="center"/>
    </xf>
    <xf numFmtId="170" fontId="36" fillId="43" borderId="9" xfId="2" applyNumberFormat="1" applyFont="1" applyFill="1" applyBorder="1" applyAlignment="1">
      <alignment horizontal="center" vertical="center"/>
    </xf>
    <xf numFmtId="170" fontId="36" fillId="47" borderId="9" xfId="2" applyNumberFormat="1" applyFont="1" applyFill="1" applyBorder="1" applyAlignment="1">
      <alignment horizontal="center" vertical="center"/>
    </xf>
    <xf numFmtId="170" fontId="36" fillId="50" borderId="9" xfId="2" applyNumberFormat="1" applyFont="1" applyFill="1" applyBorder="1" applyAlignment="1">
      <alignment horizontal="center" vertical="center"/>
    </xf>
    <xf numFmtId="170" fontId="36" fillId="44" borderId="9" xfId="2" applyNumberFormat="1" applyFont="1" applyFill="1" applyBorder="1" applyAlignment="1">
      <alignment horizontal="center" vertical="center"/>
    </xf>
    <xf numFmtId="170" fontId="36" fillId="45" borderId="9" xfId="2" applyNumberFormat="1" applyFont="1" applyFill="1" applyBorder="1" applyAlignment="1">
      <alignment horizontal="center" vertical="center"/>
    </xf>
    <xf numFmtId="170" fontId="36" fillId="46" borderId="9" xfId="2" applyNumberFormat="1" applyFont="1" applyFill="1" applyBorder="1" applyAlignment="1">
      <alignment horizontal="center" vertical="center"/>
    </xf>
    <xf numFmtId="170" fontId="36" fillId="51" borderId="9" xfId="2" applyNumberFormat="1" applyFont="1" applyFill="1" applyBorder="1" applyAlignment="1">
      <alignment horizontal="center" vertical="center"/>
    </xf>
    <xf numFmtId="170" fontId="52" fillId="53" borderId="9" xfId="2" applyNumberFormat="1" applyFont="1" applyFill="1" applyBorder="1" applyAlignment="1">
      <alignment horizontal="center" vertical="center"/>
    </xf>
    <xf numFmtId="170" fontId="36" fillId="49" borderId="9" xfId="2" applyNumberFormat="1" applyFont="1" applyFill="1" applyBorder="1" applyAlignment="1">
      <alignment horizontal="center" vertical="center"/>
    </xf>
    <xf numFmtId="170" fontId="36" fillId="48" borderId="9" xfId="2" applyNumberFormat="1" applyFont="1" applyFill="1" applyBorder="1" applyAlignment="1">
      <alignment horizontal="center" vertical="center"/>
    </xf>
    <xf numFmtId="0" fontId="70" fillId="54" borderId="9" xfId="2" applyFont="1" applyFill="1" applyBorder="1" applyAlignment="1">
      <alignment vertical="center" wrapText="1"/>
    </xf>
    <xf numFmtId="0" fontId="52" fillId="21" borderId="9" xfId="2" applyFont="1" applyFill="1" applyBorder="1" applyAlignment="1">
      <alignment horizontal="center" vertical="center" wrapText="1"/>
    </xf>
    <xf numFmtId="0" fontId="74" fillId="55" borderId="9" xfId="2" applyFont="1" applyFill="1" applyBorder="1" applyAlignment="1">
      <alignment horizontal="center" vertical="center" wrapText="1"/>
    </xf>
    <xf numFmtId="0" fontId="75" fillId="41" borderId="9" xfId="2" applyFont="1" applyFill="1" applyBorder="1" applyAlignment="1">
      <alignment horizontal="center" vertical="center"/>
    </xf>
    <xf numFmtId="0" fontId="75" fillId="41" borderId="9" xfId="2" applyFont="1" applyFill="1" applyBorder="1" applyAlignment="1">
      <alignment horizontal="left" vertical="center"/>
    </xf>
    <xf numFmtId="0" fontId="76" fillId="41" borderId="9" xfId="2" applyFont="1" applyFill="1" applyBorder="1" applyAlignment="1">
      <alignment horizontal="left" vertical="center"/>
    </xf>
    <xf numFmtId="2" fontId="75" fillId="41" borderId="9" xfId="2" applyNumberFormat="1" applyFont="1" applyFill="1" applyBorder="1" applyAlignment="1">
      <alignment horizontal="center" vertical="center"/>
    </xf>
    <xf numFmtId="2" fontId="77" fillId="41" borderId="9" xfId="2" applyNumberFormat="1" applyFont="1" applyFill="1" applyBorder="1" applyAlignment="1">
      <alignment horizontal="center" vertical="center"/>
    </xf>
    <xf numFmtId="0" fontId="75" fillId="41" borderId="9" xfId="2" applyFont="1" applyFill="1" applyBorder="1" applyAlignment="1">
      <alignment horizontal="left" vertical="center" wrapText="1"/>
    </xf>
    <xf numFmtId="0" fontId="75" fillId="47" borderId="9" xfId="2" applyFont="1" applyFill="1" applyBorder="1" applyAlignment="1">
      <alignment horizontal="center" vertical="center"/>
    </xf>
    <xf numFmtId="0" fontId="75" fillId="47" borderId="9" xfId="2" applyFont="1" applyFill="1" applyBorder="1" applyAlignment="1">
      <alignment horizontal="left" vertical="center"/>
    </xf>
    <xf numFmtId="0" fontId="76" fillId="47" borderId="9" xfId="2" applyFont="1" applyFill="1" applyBorder="1" applyAlignment="1">
      <alignment horizontal="left" vertical="center"/>
    </xf>
    <xf numFmtId="2" fontId="75" fillId="47" borderId="9" xfId="2" applyNumberFormat="1" applyFont="1" applyFill="1" applyBorder="1" applyAlignment="1">
      <alignment horizontal="center" vertical="center"/>
    </xf>
    <xf numFmtId="0" fontId="75" fillId="47" borderId="9" xfId="2" applyFont="1" applyFill="1" applyBorder="1" applyAlignment="1">
      <alignment horizontal="left" vertical="center" wrapText="1"/>
    </xf>
    <xf numFmtId="0" fontId="75" fillId="45" borderId="9" xfId="2" applyFont="1" applyFill="1" applyBorder="1" applyAlignment="1">
      <alignment horizontal="center" vertical="center"/>
    </xf>
    <xf numFmtId="0" fontId="75" fillId="45" borderId="9" xfId="2" applyFont="1" applyFill="1" applyBorder="1" applyAlignment="1">
      <alignment horizontal="left" vertical="center"/>
    </xf>
    <xf numFmtId="0" fontId="76" fillId="45" borderId="9" xfId="2" applyFont="1" applyFill="1" applyBorder="1" applyAlignment="1">
      <alignment horizontal="left" vertical="center"/>
    </xf>
    <xf numFmtId="2" fontId="75" fillId="45" borderId="9" xfId="2" applyNumberFormat="1" applyFont="1" applyFill="1" applyBorder="1" applyAlignment="1">
      <alignment horizontal="center" vertical="center"/>
    </xf>
    <xf numFmtId="0" fontId="75" fillId="45" borderId="9" xfId="2" applyFont="1" applyFill="1" applyBorder="1" applyAlignment="1">
      <alignment horizontal="left" vertical="center" wrapText="1"/>
    </xf>
    <xf numFmtId="2" fontId="77" fillId="45" borderId="9" xfId="2" applyNumberFormat="1" applyFont="1" applyFill="1" applyBorder="1" applyAlignment="1">
      <alignment horizontal="center" vertical="center"/>
    </xf>
    <xf numFmtId="0" fontId="75" fillId="46" borderId="9" xfId="2" applyFont="1" applyFill="1" applyBorder="1" applyAlignment="1">
      <alignment horizontal="center" vertical="center"/>
    </xf>
    <xf numFmtId="0" fontId="75" fillId="46" borderId="9" xfId="2" applyFont="1" applyFill="1" applyBorder="1" applyAlignment="1">
      <alignment horizontal="left" vertical="center"/>
    </xf>
    <xf numFmtId="0" fontId="76" fillId="46" borderId="9" xfId="2" applyFont="1" applyFill="1" applyBorder="1" applyAlignment="1">
      <alignment horizontal="left" vertical="center"/>
    </xf>
    <xf numFmtId="2" fontId="75" fillId="46" borderId="9" xfId="2" applyNumberFormat="1" applyFont="1" applyFill="1" applyBorder="1" applyAlignment="1">
      <alignment horizontal="center" vertical="center"/>
    </xf>
    <xf numFmtId="2" fontId="78" fillId="46" borderId="9" xfId="2" applyNumberFormat="1" applyFont="1" applyFill="1" applyBorder="1" applyAlignment="1">
      <alignment horizontal="center" vertical="center"/>
    </xf>
    <xf numFmtId="0" fontId="75" fillId="46" borderId="9" xfId="2" applyFont="1" applyFill="1" applyBorder="1" applyAlignment="1">
      <alignment horizontal="left" vertical="center" wrapText="1"/>
    </xf>
    <xf numFmtId="0" fontId="75" fillId="50" borderId="9" xfId="2" applyFont="1" applyFill="1" applyBorder="1" applyAlignment="1">
      <alignment horizontal="center" vertical="center"/>
    </xf>
    <xf numFmtId="0" fontId="75" fillId="50" borderId="9" xfId="2" applyFont="1" applyFill="1" applyBorder="1" applyAlignment="1">
      <alignment horizontal="left" vertical="center"/>
    </xf>
    <xf numFmtId="0" fontId="76" fillId="50" borderId="9" xfId="2" applyFont="1" applyFill="1" applyBorder="1" applyAlignment="1">
      <alignment horizontal="left" vertical="center"/>
    </xf>
    <xf numFmtId="2" fontId="75" fillId="50" borderId="9" xfId="2" applyNumberFormat="1" applyFont="1" applyFill="1" applyBorder="1" applyAlignment="1">
      <alignment horizontal="center" vertical="center"/>
    </xf>
    <xf numFmtId="0" fontId="75" fillId="50" borderId="9" xfId="2" applyFont="1" applyFill="1" applyBorder="1" applyAlignment="1">
      <alignment horizontal="left" vertical="center" wrapText="1"/>
    </xf>
    <xf numFmtId="0" fontId="75" fillId="51" borderId="9" xfId="2" applyFont="1" applyFill="1" applyBorder="1" applyAlignment="1">
      <alignment horizontal="center" vertical="center"/>
    </xf>
    <xf numFmtId="0" fontId="75" fillId="51" borderId="9" xfId="2" applyFont="1" applyFill="1" applyBorder="1" applyAlignment="1">
      <alignment horizontal="left" vertical="center"/>
    </xf>
    <xf numFmtId="0" fontId="76" fillId="51" borderId="9" xfId="2" applyFont="1" applyFill="1" applyBorder="1" applyAlignment="1">
      <alignment horizontal="left" vertical="center"/>
    </xf>
    <xf numFmtId="2" fontId="75" fillId="51" borderId="9" xfId="2" applyNumberFormat="1" applyFont="1" applyFill="1" applyBorder="1" applyAlignment="1">
      <alignment horizontal="center" vertical="center"/>
    </xf>
    <xf numFmtId="2" fontId="77" fillId="51" borderId="9" xfId="2" applyNumberFormat="1" applyFont="1" applyFill="1" applyBorder="1" applyAlignment="1">
      <alignment horizontal="center" vertical="center"/>
    </xf>
    <xf numFmtId="0" fontId="75" fillId="51" borderId="9" xfId="2" applyFont="1" applyFill="1" applyBorder="1" applyAlignment="1">
      <alignment horizontal="left" vertical="center" wrapText="1"/>
    </xf>
    <xf numFmtId="0" fontId="79" fillId="53" borderId="9" xfId="2" applyFont="1" applyFill="1" applyBorder="1" applyAlignment="1">
      <alignment horizontal="center" vertical="center"/>
    </xf>
    <xf numFmtId="0" fontId="79" fillId="53" borderId="9" xfId="2" applyFont="1" applyFill="1" applyBorder="1" applyAlignment="1">
      <alignment horizontal="left" vertical="center"/>
    </xf>
    <xf numFmtId="2" fontId="79" fillId="53" borderId="9" xfId="2" applyNumberFormat="1" applyFont="1" applyFill="1" applyBorder="1" applyAlignment="1">
      <alignment horizontal="center" vertical="center"/>
    </xf>
    <xf numFmtId="0" fontId="79" fillId="53" borderId="9" xfId="2" applyFont="1" applyFill="1" applyBorder="1" applyAlignment="1">
      <alignment horizontal="left" vertical="center" wrapText="1"/>
    </xf>
    <xf numFmtId="0" fontId="75" fillId="48" borderId="9" xfId="2" applyFont="1" applyFill="1" applyBorder="1" applyAlignment="1">
      <alignment horizontal="center" vertical="center"/>
    </xf>
    <xf numFmtId="0" fontId="75" fillId="48" borderId="9" xfId="2" applyFont="1" applyFill="1" applyBorder="1" applyAlignment="1">
      <alignment horizontal="left" vertical="center"/>
    </xf>
    <xf numFmtId="0" fontId="76" fillId="48" borderId="9" xfId="2" applyFont="1" applyFill="1" applyBorder="1" applyAlignment="1">
      <alignment horizontal="left" vertical="center"/>
    </xf>
    <xf numFmtId="2" fontId="75" fillId="48" borderId="9" xfId="2" applyNumberFormat="1" applyFont="1" applyFill="1" applyBorder="1" applyAlignment="1">
      <alignment horizontal="center" vertical="center"/>
    </xf>
    <xf numFmtId="2" fontId="78" fillId="48" borderId="9" xfId="2" applyNumberFormat="1" applyFont="1" applyFill="1" applyBorder="1" applyAlignment="1">
      <alignment horizontal="center" vertical="center"/>
    </xf>
    <xf numFmtId="0" fontId="75" fillId="48" borderId="9" xfId="2" applyFont="1" applyFill="1" applyBorder="1" applyAlignment="1">
      <alignment horizontal="left" vertical="center" wrapText="1"/>
    </xf>
    <xf numFmtId="0" fontId="75" fillId="44" borderId="9" xfId="2" applyFont="1" applyFill="1" applyBorder="1" applyAlignment="1">
      <alignment horizontal="center" vertical="center"/>
    </xf>
    <xf numFmtId="0" fontId="75" fillId="44" borderId="9" xfId="2" applyFont="1" applyFill="1" applyBorder="1" applyAlignment="1">
      <alignment horizontal="left" vertical="center"/>
    </xf>
    <xf numFmtId="0" fontId="76" fillId="44" borderId="9" xfId="2" applyFont="1" applyFill="1" applyBorder="1" applyAlignment="1">
      <alignment horizontal="left" vertical="center"/>
    </xf>
    <xf numFmtId="2" fontId="75" fillId="44" borderId="9" xfId="2" applyNumberFormat="1" applyFont="1" applyFill="1" applyBorder="1" applyAlignment="1">
      <alignment horizontal="center" vertical="center"/>
    </xf>
    <xf numFmtId="2" fontId="77" fillId="44" borderId="9" xfId="2" applyNumberFormat="1" applyFont="1" applyFill="1" applyBorder="1" applyAlignment="1">
      <alignment horizontal="center" vertical="center"/>
    </xf>
    <xf numFmtId="0" fontId="75" fillId="44" borderId="9" xfId="2" applyFont="1" applyFill="1" applyBorder="1" applyAlignment="1">
      <alignment horizontal="left" vertical="center" wrapText="1"/>
    </xf>
    <xf numFmtId="0" fontId="75" fillId="56" borderId="9" xfId="2" applyFont="1" applyFill="1" applyBorder="1" applyAlignment="1">
      <alignment horizontal="center" vertical="center"/>
    </xf>
    <xf numFmtId="0" fontId="75" fillId="56" borderId="9" xfId="2" applyFont="1" applyFill="1" applyBorder="1" applyAlignment="1">
      <alignment horizontal="left" vertical="center"/>
    </xf>
    <xf numFmtId="2" fontId="75" fillId="56" borderId="9" xfId="2" applyNumberFormat="1" applyFont="1" applyFill="1" applyBorder="1" applyAlignment="1">
      <alignment horizontal="center" vertical="center"/>
    </xf>
    <xf numFmtId="0" fontId="75" fillId="54" borderId="9" xfId="2" applyFont="1" applyFill="1" applyBorder="1" applyAlignment="1">
      <alignment horizontal="center" vertical="center"/>
    </xf>
    <xf numFmtId="0" fontId="75" fillId="54" borderId="9" xfId="2" applyFont="1" applyFill="1" applyBorder="1" applyAlignment="1">
      <alignment horizontal="left" vertical="center"/>
    </xf>
    <xf numFmtId="2" fontId="75" fillId="54" borderId="9" xfId="2" applyNumberFormat="1" applyFont="1" applyFill="1" applyBorder="1" applyAlignment="1">
      <alignment horizontal="center" vertical="center"/>
    </xf>
    <xf numFmtId="0" fontId="74" fillId="55" borderId="9" xfId="0" applyFont="1" applyFill="1" applyBorder="1" applyAlignment="1">
      <alignment horizontal="left" vertical="center" wrapText="1"/>
    </xf>
    <xf numFmtId="0" fontId="75" fillId="54" borderId="9" xfId="0" applyFont="1" applyFill="1" applyBorder="1" applyAlignment="1">
      <alignment horizontal="left" vertical="top" wrapText="1"/>
    </xf>
    <xf numFmtId="0" fontId="81" fillId="0" borderId="6" xfId="2" applyFont="1" applyBorder="1" applyAlignment="1">
      <alignment horizontal="center" vertical="center" wrapText="1"/>
    </xf>
    <xf numFmtId="0" fontId="81" fillId="36" borderId="6" xfId="2" applyFont="1" applyFill="1" applyBorder="1" applyAlignment="1">
      <alignment horizontal="center" vertical="center" wrapText="1"/>
    </xf>
    <xf numFmtId="0" fontId="83" fillId="19" borderId="9" xfId="2" applyFont="1" applyFill="1" applyBorder="1" applyAlignment="1">
      <alignment horizontal="center" vertical="center" wrapText="1"/>
    </xf>
    <xf numFmtId="0" fontId="1" fillId="0" borderId="0" xfId="0" applyFont="1"/>
    <xf numFmtId="0" fontId="85" fillId="55" borderId="12" xfId="0" applyFont="1" applyFill="1" applyBorder="1" applyAlignment="1">
      <alignment horizontal="center" vertical="center" wrapText="1"/>
    </xf>
    <xf numFmtId="1" fontId="54" fillId="57" borderId="12" xfId="0" applyNumberFormat="1" applyFont="1" applyFill="1" applyBorder="1" applyAlignment="1">
      <alignment horizontal="center" vertical="center"/>
    </xf>
    <xf numFmtId="0" fontId="86" fillId="57" borderId="12" xfId="0" applyFont="1" applyFill="1" applyBorder="1" applyAlignment="1">
      <alignment horizontal="left" vertical="center"/>
    </xf>
    <xf numFmtId="0" fontId="87" fillId="57" borderId="12" xfId="0" applyFont="1" applyFill="1" applyBorder="1" applyAlignment="1">
      <alignment horizontal="left" vertical="center"/>
    </xf>
    <xf numFmtId="2" fontId="54" fillId="57" borderId="12" xfId="0" applyNumberFormat="1" applyFont="1" applyFill="1" applyBorder="1" applyAlignment="1">
      <alignment horizontal="center" vertical="center"/>
    </xf>
    <xf numFmtId="1" fontId="54" fillId="56" borderId="12" xfId="0" applyNumberFormat="1" applyFont="1" applyFill="1" applyBorder="1" applyAlignment="1">
      <alignment horizontal="center" vertical="center"/>
    </xf>
    <xf numFmtId="0" fontId="86" fillId="56" borderId="12" xfId="0" applyFont="1" applyFill="1" applyBorder="1" applyAlignment="1">
      <alignment horizontal="left" vertical="center"/>
    </xf>
    <xf numFmtId="0" fontId="87" fillId="56" borderId="12" xfId="0" applyFont="1" applyFill="1" applyBorder="1" applyAlignment="1">
      <alignment horizontal="left" vertical="center"/>
    </xf>
    <xf numFmtId="2" fontId="54" fillId="56" borderId="12" xfId="0" applyNumberFormat="1" applyFont="1" applyFill="1" applyBorder="1" applyAlignment="1">
      <alignment horizontal="center" vertical="center"/>
    </xf>
    <xf numFmtId="171" fontId="88" fillId="58" borderId="12" xfId="0" applyNumberFormat="1" applyFont="1" applyFill="1" applyBorder="1" applyAlignment="1">
      <alignment horizontal="center" vertical="center"/>
    </xf>
    <xf numFmtId="0" fontId="89" fillId="0" borderId="0" xfId="0" applyFont="1"/>
    <xf numFmtId="0" fontId="0" fillId="0" borderId="0" xfId="0" applyAlignment="1">
      <alignment horizontal="center"/>
    </xf>
    <xf numFmtId="0" fontId="90" fillId="59" borderId="1" xfId="0" applyFont="1" applyFill="1" applyBorder="1"/>
    <xf numFmtId="0" fontId="91" fillId="59" borderId="1" xfId="0" applyFont="1" applyFill="1" applyBorder="1"/>
    <xf numFmtId="0" fontId="91" fillId="59" borderId="1" xfId="0" applyFont="1" applyFill="1" applyBorder="1" applyAlignment="1">
      <alignment horizontal="center"/>
    </xf>
    <xf numFmtId="0" fontId="90" fillId="59" borderId="1" xfId="0" applyFont="1" applyFill="1" applyBorder="1" applyAlignment="1">
      <alignment horizontal="center"/>
    </xf>
    <xf numFmtId="0" fontId="91" fillId="59" borderId="1" xfId="0" applyFont="1" applyFill="1" applyBorder="1" applyAlignment="1">
      <alignment horizontal="center" vertical="center"/>
    </xf>
    <xf numFmtId="0" fontId="1" fillId="0" borderId="0" xfId="7" applyFont="1" applyAlignment="1"/>
    <xf numFmtId="0" fontId="29" fillId="0" borderId="0" xfId="0" applyFont="1"/>
    <xf numFmtId="0" fontId="0" fillId="19" borderId="1" xfId="0" applyFill="1" applyBorder="1"/>
    <xf numFmtId="0" fontId="90" fillId="19" borderId="1" xfId="0" applyFont="1" applyFill="1" applyBorder="1"/>
    <xf numFmtId="0" fontId="90" fillId="19" borderId="1" xfId="0" applyFont="1" applyFill="1" applyBorder="1" applyAlignment="1">
      <alignment horizontal="center"/>
    </xf>
    <xf numFmtId="10" fontId="90" fillId="19" borderId="1" xfId="6" applyNumberFormat="1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0" fontId="13" fillId="60" borderId="1" xfId="0" applyFont="1" applyFill="1" applyBorder="1" applyAlignment="1">
      <alignment horizontal="center" vertical="center" wrapText="1"/>
    </xf>
    <xf numFmtId="17" fontId="13" fillId="60" borderId="1" xfId="0" applyNumberFormat="1" applyFont="1" applyFill="1" applyBorder="1" applyAlignment="1">
      <alignment horizontal="center" vertical="center" wrapText="1"/>
    </xf>
    <xf numFmtId="0" fontId="59" fillId="60" borderId="1" xfId="0" applyFont="1" applyFill="1" applyBorder="1" applyAlignment="1">
      <alignment horizontal="center" wrapText="1"/>
    </xf>
    <xf numFmtId="0" fontId="0" fillId="60" borderId="1" xfId="0" applyFill="1" applyBorder="1" applyAlignment="1">
      <alignment horizontal="center"/>
    </xf>
    <xf numFmtId="2" fontId="1" fillId="0" borderId="0" xfId="3" applyNumberFormat="1" applyFont="1"/>
    <xf numFmtId="0" fontId="4" fillId="0" borderId="0" xfId="2" applyFont="1" applyAlignment="1">
      <alignment horizontal="right" vertical="center"/>
    </xf>
    <xf numFmtId="0" fontId="5" fillId="0" borderId="0" xfId="2" applyFont="1" applyAlignment="1">
      <alignment horizontal="left" vertical="center"/>
    </xf>
    <xf numFmtId="0" fontId="6" fillId="0" borderId="0" xfId="2" applyFont="1" applyAlignment="1">
      <alignment horizontal="right" vertical="center" indent="1"/>
    </xf>
    <xf numFmtId="1" fontId="7" fillId="0" borderId="1" xfId="2" applyNumberFormat="1" applyFont="1" applyBorder="1" applyAlignment="1">
      <alignment horizontal="center" vertical="center" wrapText="1" readingOrder="1"/>
    </xf>
    <xf numFmtId="1" fontId="7" fillId="0" borderId="2" xfId="2" applyNumberFormat="1" applyFont="1" applyBorder="1" applyAlignment="1">
      <alignment horizontal="right" vertical="center" wrapText="1" indent="10" readingOrder="1"/>
    </xf>
    <xf numFmtId="1" fontId="7" fillId="0" borderId="4" xfId="2" applyNumberFormat="1" applyFont="1" applyBorder="1" applyAlignment="1">
      <alignment horizontal="right" vertical="center" wrapText="1" indent="10" readingOrder="1"/>
    </xf>
    <xf numFmtId="0" fontId="7" fillId="4" borderId="1" xfId="2" applyFont="1" applyFill="1" applyBorder="1" applyAlignment="1">
      <alignment horizontal="center" vertical="center" wrapText="1"/>
    </xf>
    <xf numFmtId="164" fontId="7" fillId="0" borderId="1" xfId="2" applyNumberFormat="1" applyFont="1" applyBorder="1" applyAlignment="1">
      <alignment horizontal="center" vertical="center" wrapText="1" readingOrder="1"/>
    </xf>
    <xf numFmtId="164" fontId="7" fillId="4" borderId="1" xfId="2" applyNumberFormat="1" applyFont="1" applyFill="1" applyBorder="1" applyAlignment="1">
      <alignment horizontal="center" vertical="center" wrapText="1" readingOrder="1"/>
    </xf>
    <xf numFmtId="1" fontId="9" fillId="0" borderId="1" xfId="2" applyNumberFormat="1" applyFont="1" applyBorder="1" applyAlignment="1">
      <alignment horizontal="center" vertical="center" wrapText="1" readingOrder="2"/>
    </xf>
    <xf numFmtId="1" fontId="9" fillId="5" borderId="2" xfId="2" applyNumberFormat="1" applyFont="1" applyFill="1" applyBorder="1" applyAlignment="1">
      <alignment horizontal="left" vertical="center" wrapText="1" readingOrder="1"/>
    </xf>
    <xf numFmtId="1" fontId="9" fillId="5" borderId="4" xfId="2" applyNumberFormat="1" applyFont="1" applyFill="1" applyBorder="1" applyAlignment="1">
      <alignment horizontal="left" vertical="center" wrapText="1" readingOrder="1"/>
    </xf>
    <xf numFmtId="0" fontId="9" fillId="5" borderId="1" xfId="2" applyFont="1" applyFill="1" applyBorder="1" applyAlignment="1">
      <alignment horizontal="center" vertical="center" wrapText="1"/>
    </xf>
    <xf numFmtId="1" fontId="17" fillId="4" borderId="1" xfId="3" applyNumberFormat="1" applyFont="1" applyFill="1" applyBorder="1" applyAlignment="1">
      <alignment horizontal="right" vertical="center" indent="1"/>
    </xf>
    <xf numFmtId="1" fontId="9" fillId="4" borderId="1" xfId="2" applyNumberFormat="1" applyFont="1" applyFill="1" applyBorder="1" applyAlignment="1">
      <alignment horizontal="left" vertical="center" wrapText="1" indent="1"/>
    </xf>
    <xf numFmtId="0" fontId="17" fillId="0" borderId="1" xfId="2" applyFont="1" applyBorder="1" applyAlignment="1">
      <alignment horizontal="right" vertical="center" wrapText="1" indent="1"/>
    </xf>
    <xf numFmtId="1" fontId="11" fillId="0" borderId="1" xfId="4" applyNumberFormat="1" applyFont="1" applyBorder="1" applyAlignment="1">
      <alignment horizontal="left" vertical="center" wrapText="1" indent="1"/>
    </xf>
    <xf numFmtId="0" fontId="17" fillId="4" borderId="1" xfId="2" applyFont="1" applyFill="1" applyBorder="1" applyAlignment="1">
      <alignment horizontal="right" vertical="center" wrapText="1" indent="1"/>
    </xf>
    <xf numFmtId="0" fontId="13" fillId="0" borderId="1" xfId="2" applyFont="1" applyBorder="1" applyAlignment="1">
      <alignment horizontal="right" vertical="center" wrapText="1" indent="1"/>
    </xf>
    <xf numFmtId="1" fontId="11" fillId="5" borderId="1" xfId="2" applyNumberFormat="1" applyFont="1" applyFill="1" applyBorder="1" applyAlignment="1">
      <alignment horizontal="left" vertical="center" wrapText="1" indent="1"/>
    </xf>
    <xf numFmtId="0" fontId="13" fillId="7" borderId="1" xfId="2" applyFont="1" applyFill="1" applyBorder="1" applyAlignment="1">
      <alignment horizontal="right" vertical="center" wrapText="1" indent="1"/>
    </xf>
    <xf numFmtId="1" fontId="11" fillId="7" borderId="1" xfId="2" applyNumberFormat="1" applyFont="1" applyFill="1" applyBorder="1" applyAlignment="1">
      <alignment horizontal="left" vertical="center" wrapText="1" indent="1"/>
    </xf>
    <xf numFmtId="1" fontId="13" fillId="4" borderId="1" xfId="3" applyNumberFormat="1" applyFont="1" applyFill="1" applyBorder="1" applyAlignment="1">
      <alignment horizontal="right" vertical="center" indent="1"/>
    </xf>
    <xf numFmtId="1" fontId="11" fillId="4" borderId="1" xfId="2" applyNumberFormat="1" applyFont="1" applyFill="1" applyBorder="1" applyAlignment="1">
      <alignment horizontal="left" vertical="center" wrapText="1" indent="1"/>
    </xf>
    <xf numFmtId="0" fontId="22" fillId="21" borderId="0" xfId="2" applyFont="1" applyFill="1" applyAlignment="1">
      <alignment horizontal="left" vertical="center" wrapText="1"/>
    </xf>
    <xf numFmtId="0" fontId="2" fillId="21" borderId="0" xfId="2" applyFont="1" applyFill="1" applyAlignment="1">
      <alignment horizontal="left" vertical="center" wrapText="1"/>
    </xf>
    <xf numFmtId="0" fontId="29" fillId="0" borderId="0" xfId="2" applyFont="1" applyAlignment="1">
      <alignment horizontal="left"/>
    </xf>
    <xf numFmtId="0" fontId="31" fillId="0" borderId="0" xfId="2" applyFont="1" applyAlignment="1">
      <alignment horizontal="left"/>
    </xf>
    <xf numFmtId="0" fontId="40" fillId="19" borderId="1" xfId="2" applyFont="1" applyFill="1" applyBorder="1" applyAlignment="1">
      <alignment wrapText="1"/>
    </xf>
    <xf numFmtId="0" fontId="41" fillId="19" borderId="0" xfId="2" applyFont="1" applyFill="1"/>
    <xf numFmtId="0" fontId="48" fillId="0" borderId="0" xfId="2" applyFont="1" applyAlignment="1">
      <alignment horizontal="left" vertical="center" wrapText="1"/>
    </xf>
    <xf numFmtId="0" fontId="3" fillId="0" borderId="0" xfId="2"/>
    <xf numFmtId="0" fontId="49" fillId="0" borderId="0" xfId="2" applyFont="1" applyAlignment="1">
      <alignment horizontal="left" vertical="center" wrapText="1"/>
    </xf>
    <xf numFmtId="0" fontId="82" fillId="19" borderId="9" xfId="2" applyFont="1" applyFill="1" applyBorder="1" applyAlignment="1">
      <alignment horizontal="center" vertical="center"/>
    </xf>
    <xf numFmtId="0" fontId="3" fillId="19" borderId="0" xfId="2" applyFill="1"/>
    <xf numFmtId="0" fontId="80" fillId="54" borderId="9" xfId="2" applyFont="1" applyFill="1" applyBorder="1" applyAlignment="1">
      <alignment horizontal="left" vertical="center"/>
    </xf>
    <xf numFmtId="0" fontId="44" fillId="55" borderId="9" xfId="2" applyFont="1" applyFill="1" applyBorder="1" applyAlignment="1">
      <alignment horizontal="center" vertical="center"/>
    </xf>
    <xf numFmtId="0" fontId="84" fillId="0" borderId="0" xfId="0" applyFont="1" applyAlignment="1">
      <alignment horizontal="left" vertical="center" wrapText="1"/>
    </xf>
    <xf numFmtId="0" fontId="1" fillId="0" borderId="0" xfId="0" applyFont="1"/>
    <xf numFmtId="0" fontId="20" fillId="12" borderId="9" xfId="2" applyFont="1" applyFill="1" applyBorder="1" applyAlignment="1">
      <alignment horizontal="left" vertical="center"/>
    </xf>
    <xf numFmtId="0" fontId="3" fillId="12" borderId="0" xfId="2" applyFill="1" applyAlignment="1">
      <alignment horizontal="left"/>
    </xf>
    <xf numFmtId="0" fontId="20" fillId="12" borderId="10" xfId="2" applyFont="1" applyFill="1" applyBorder="1" applyAlignment="1">
      <alignment horizontal="left" vertical="center"/>
    </xf>
    <xf numFmtId="0" fontId="20" fillId="12" borderId="8" xfId="2" applyFont="1" applyFill="1" applyBorder="1" applyAlignment="1">
      <alignment horizontal="left" vertical="center"/>
    </xf>
    <xf numFmtId="0" fontId="68" fillId="54" borderId="11" xfId="2" applyFont="1" applyFill="1" applyBorder="1" applyAlignment="1">
      <alignment horizontal="left" vertical="center"/>
    </xf>
    <xf numFmtId="0" fontId="68" fillId="54" borderId="0" xfId="2" applyFont="1" applyFill="1" applyAlignment="1">
      <alignment horizontal="left" vertical="center"/>
    </xf>
    <xf numFmtId="0" fontId="84" fillId="0" borderId="0" xfId="0" applyFont="1" applyAlignment="1">
      <alignment horizontal="left" vertical="center"/>
    </xf>
    <xf numFmtId="0" fontId="88" fillId="58" borderId="12" xfId="0" applyFont="1" applyFill="1" applyBorder="1" applyAlignment="1">
      <alignment horizontal="left" vertical="center"/>
    </xf>
    <xf numFmtId="0" fontId="68" fillId="54" borderId="9" xfId="2" applyFont="1" applyFill="1" applyBorder="1" applyAlignment="1">
      <alignment horizontal="left" vertical="center"/>
    </xf>
    <xf numFmtId="0" fontId="20" fillId="0" borderId="0" xfId="2" applyFont="1" applyAlignment="1">
      <alignment horizontal="left"/>
    </xf>
    <xf numFmtId="0" fontId="20" fillId="21" borderId="7" xfId="2" applyFont="1" applyFill="1" applyBorder="1" applyAlignment="1">
      <alignment horizontal="center" vertical="center"/>
    </xf>
    <xf numFmtId="0" fontId="3" fillId="21" borderId="0" xfId="2" applyFill="1"/>
    <xf numFmtId="0" fontId="51" fillId="0" borderId="0" xfId="2" applyFont="1" applyAlignment="1">
      <alignment horizontal="left" wrapText="1"/>
    </xf>
    <xf numFmtId="0" fontId="13" fillId="0" borderId="8" xfId="2" applyFont="1" applyBorder="1" applyAlignment="1">
      <alignment horizontal="left"/>
    </xf>
    <xf numFmtId="0" fontId="20" fillId="21" borderId="9" xfId="2" applyFont="1" applyFill="1" applyBorder="1" applyAlignment="1">
      <alignment horizontal="left" vertical="center"/>
    </xf>
    <xf numFmtId="0" fontId="3" fillId="21" borderId="0" xfId="2" applyFill="1" applyAlignment="1">
      <alignment horizontal="left"/>
    </xf>
    <xf numFmtId="0" fontId="58" fillId="19" borderId="0" xfId="2" applyFont="1" applyFill="1" applyAlignment="1">
      <alignment horizontal="left" wrapText="1"/>
    </xf>
    <xf numFmtId="0" fontId="29" fillId="0" borderId="0" xfId="7" applyFont="1" applyAlignment="1">
      <alignment horizontal="left"/>
    </xf>
    <xf numFmtId="0" fontId="0" fillId="19" borderId="1" xfId="0" applyFill="1" applyBorder="1" applyAlignment="1">
      <alignment horizontal="center"/>
    </xf>
    <xf numFmtId="0" fontId="0" fillId="7" borderId="1" xfId="0" applyFill="1" applyBorder="1" applyAlignment="1">
      <alignment horizontal="left"/>
    </xf>
    <xf numFmtId="0" fontId="29" fillId="0" borderId="0" xfId="0" applyFont="1" applyAlignment="1">
      <alignment horizontal="left"/>
    </xf>
    <xf numFmtId="10" fontId="0" fillId="0" borderId="0" xfId="0" applyNumberFormat="1"/>
    <xf numFmtId="0" fontId="93" fillId="0" borderId="0" xfId="0" applyFont="1"/>
    <xf numFmtId="0" fontId="20" fillId="0" borderId="0" xfId="0" applyFont="1" applyFill="1"/>
    <xf numFmtId="0" fontId="2" fillId="0" borderId="0" xfId="0" applyFont="1" applyFill="1"/>
  </cellXfs>
  <cellStyles count="8">
    <cellStyle name="Comma" xfId="1" builtinId="3"/>
    <cellStyle name="Hyperlink" xfId="7" builtinId="8"/>
    <cellStyle name="Normal" xfId="0" builtinId="0"/>
    <cellStyle name="Normal 11" xfId="3" xr:uid="{AF3BF241-65AB-B647-9D3B-75002BBA957D}"/>
    <cellStyle name="Normal 2 3" xfId="2" xr:uid="{C70E86D3-E958-4D4F-B5F0-D22DAB612190}"/>
    <cellStyle name="Normal 4" xfId="4" xr:uid="{CB035180-786D-2D4B-B588-882EF52F6771}"/>
    <cellStyle name="Per cent" xfId="6" builtinId="5"/>
    <cellStyle name="Per cent 2" xfId="5" xr:uid="{21D97A38-A7DC-C649-AD41-0376E409AE7B}"/>
  </cellStyles>
  <dxfs count="0"/>
  <tableStyles count="0" defaultTableStyle="TableStyleMedium2" defaultPivotStyle="PivotStyleLight16"/>
  <colors>
    <mruColors>
      <color rgb="FFDEEB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940593</xdr:colOff>
      <xdr:row>2</xdr:row>
      <xdr:rowOff>0</xdr:rowOff>
    </xdr:from>
    <xdr:to>
      <xdr:col>1</xdr:col>
      <xdr:colOff>2940844</xdr:colOff>
      <xdr:row>4</xdr:row>
      <xdr:rowOff>964406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2C03625A-4B58-2646-A3D1-91B05F4BD446}"/>
            </a:ext>
          </a:extLst>
        </xdr:cNvPr>
        <xdr:cNvCxnSpPr/>
      </xdr:nvCxnSpPr>
      <xdr:spPr>
        <a:xfrm flipH="1">
          <a:off x="11090344056" y="774700"/>
          <a:ext cx="2952751" cy="2259806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86</xdr:col>
      <xdr:colOff>23813</xdr:colOff>
      <xdr:row>2</xdr:row>
      <xdr:rowOff>19050</xdr:rowOff>
    </xdr:from>
    <xdr:to>
      <xdr:col>87</xdr:col>
      <xdr:colOff>0</xdr:colOff>
      <xdr:row>4</xdr:row>
      <xdr:rowOff>1547812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43E1F05C-1DFC-9A41-99E9-284F26505410}"/>
            </a:ext>
          </a:extLst>
        </xdr:cNvPr>
        <xdr:cNvCxnSpPr/>
      </xdr:nvCxnSpPr>
      <xdr:spPr>
        <a:xfrm>
          <a:off x="10970856900" y="793750"/>
          <a:ext cx="3176587" cy="2252662"/>
        </a:xfrm>
        <a:prstGeom prst="line">
          <a:avLst/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apmas.gov.eg/publications/5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DA268-CE84-B54D-8D61-5CF35C8F151E}">
  <sheetPr>
    <tabColor rgb="FF00B050"/>
  </sheetPr>
  <dimension ref="A1:CM327"/>
  <sheetViews>
    <sheetView rightToLeft="1" zoomScale="109" zoomScaleNormal="85" workbookViewId="0">
      <pane xSplit="2" ySplit="5" topLeftCell="BT73" activePane="bottomRight" state="frozen"/>
      <selection pane="topRight" activeCell="C1" sqref="C1"/>
      <selection pane="bottomLeft" activeCell="A6" sqref="A6"/>
      <selection pane="bottomRight" activeCell="A78" sqref="A78:XFD78"/>
    </sheetView>
  </sheetViews>
  <sheetFormatPr baseColWidth="10" defaultColWidth="8.83203125" defaultRowHeight="29" x14ac:dyDescent="0.2"/>
  <cols>
    <col min="1" max="1" width="12.5" style="54" customWidth="1"/>
    <col min="2" max="2" width="39.5" style="55" customWidth="1"/>
    <col min="3" max="6" width="18.5" style="54" customWidth="1"/>
    <col min="7" max="7" width="18.5" style="295" customWidth="1"/>
    <col min="8" max="15" width="18.5" style="54" customWidth="1"/>
    <col min="16" max="16" width="18.5" style="64" customWidth="1"/>
    <col min="17" max="44" width="18.5" style="54" customWidth="1"/>
    <col min="45" max="45" width="16.5" style="54" bestFit="1" customWidth="1"/>
    <col min="46" max="46" width="13.5" style="54" bestFit="1" customWidth="1"/>
    <col min="47" max="48" width="18.5" style="54" customWidth="1"/>
    <col min="49" max="49" width="16.33203125" style="54" bestFit="1" customWidth="1"/>
    <col min="50" max="50" width="18.5" style="54" customWidth="1"/>
    <col min="51" max="51" width="17.33203125" style="54" bestFit="1" customWidth="1"/>
    <col min="52" max="53" width="18.5" style="54" customWidth="1"/>
    <col min="54" max="54" width="21.5" style="54" customWidth="1"/>
    <col min="55" max="60" width="18.5" style="54" customWidth="1"/>
    <col min="61" max="69" width="18.5" style="42" customWidth="1"/>
    <col min="70" max="70" width="18.5" style="49" customWidth="1"/>
    <col min="71" max="74" width="18.5" style="60" customWidth="1"/>
    <col min="75" max="75" width="18.5" style="42" customWidth="1"/>
    <col min="76" max="76" width="18.33203125" style="42" customWidth="1"/>
    <col min="77" max="77" width="16.5" style="42" bestFit="1" customWidth="1"/>
    <col min="78" max="78" width="16" style="42" bestFit="1" customWidth="1"/>
    <col min="79" max="79" width="15.5" style="42" customWidth="1"/>
    <col min="80" max="80" width="16.1640625" style="42" customWidth="1"/>
    <col min="81" max="81" width="15.5" style="42" customWidth="1"/>
    <col min="82" max="82" width="16.1640625" style="42" customWidth="1"/>
    <col min="83" max="83" width="18.5" style="42" customWidth="1"/>
    <col min="84" max="84" width="17.5" style="49" customWidth="1"/>
    <col min="85" max="85" width="14.5" style="61" customWidth="1"/>
    <col min="86" max="86" width="17.33203125" style="62" customWidth="1"/>
    <col min="87" max="87" width="42" style="63" customWidth="1"/>
    <col min="88" max="88" width="12.1640625" style="2" customWidth="1"/>
    <col min="89" max="89" width="16.5" style="2" bestFit="1" customWidth="1"/>
    <col min="90" max="90" width="15.5" style="2" customWidth="1"/>
    <col min="91" max="16384" width="8.83203125" style="42"/>
  </cols>
  <sheetData>
    <row r="1" spans="1:91" s="2" customFormat="1" ht="42" customHeight="1" x14ac:dyDescent="0.2">
      <c r="A1" s="574" t="s">
        <v>0</v>
      </c>
      <c r="B1" s="574"/>
      <c r="C1" s="574"/>
      <c r="D1" s="574"/>
      <c r="E1" s="574"/>
      <c r="F1" s="574"/>
      <c r="G1" s="574"/>
      <c r="H1" s="574"/>
      <c r="I1" s="1"/>
      <c r="J1" s="1"/>
      <c r="K1" s="1"/>
      <c r="L1" s="1"/>
      <c r="M1" s="1"/>
      <c r="N1" s="1"/>
      <c r="O1" s="1"/>
      <c r="P1" s="75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W1" s="575" t="s">
        <v>1</v>
      </c>
      <c r="BX1" s="575"/>
      <c r="BY1" s="575"/>
      <c r="BZ1" s="575"/>
      <c r="CA1" s="575"/>
      <c r="CB1" s="575"/>
      <c r="CC1" s="575"/>
      <c r="CD1" s="575"/>
      <c r="CE1" s="575"/>
      <c r="CF1" s="575"/>
      <c r="CG1" s="575"/>
      <c r="CH1" s="575"/>
      <c r="CI1" s="575"/>
      <c r="CJ1" s="575"/>
    </row>
    <row r="2" spans="1:91" s="6" customFormat="1" ht="19.5" customHeight="1" thickBot="1" x14ac:dyDescent="0.25">
      <c r="A2" s="576" t="s">
        <v>2</v>
      </c>
      <c r="B2" s="576"/>
      <c r="C2" s="3"/>
      <c r="D2" s="4"/>
      <c r="E2" s="5"/>
      <c r="F2" s="5"/>
      <c r="G2" s="286"/>
      <c r="H2" s="5"/>
      <c r="I2" s="5"/>
      <c r="J2" s="5"/>
      <c r="K2" s="5"/>
      <c r="L2" s="5"/>
      <c r="M2" s="5"/>
      <c r="N2" s="5"/>
      <c r="O2" s="5"/>
      <c r="P2" s="76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CI2" s="7"/>
      <c r="CJ2" s="6" t="s">
        <v>3</v>
      </c>
    </row>
    <row r="3" spans="1:91" s="12" customFormat="1" ht="35.25" customHeight="1" x14ac:dyDescent="0.2">
      <c r="A3" s="577" t="s">
        <v>4</v>
      </c>
      <c r="B3" s="578" t="s">
        <v>5</v>
      </c>
      <c r="C3" s="8" t="s">
        <v>6</v>
      </c>
      <c r="D3" s="8" t="s">
        <v>7</v>
      </c>
      <c r="E3" s="8">
        <v>6</v>
      </c>
      <c r="F3" s="8" t="s">
        <v>8</v>
      </c>
      <c r="G3" s="287">
        <v>10</v>
      </c>
      <c r="H3" s="8">
        <v>11</v>
      </c>
      <c r="I3" s="8">
        <v>12</v>
      </c>
      <c r="J3" s="8">
        <v>13</v>
      </c>
      <c r="K3" s="8">
        <v>14</v>
      </c>
      <c r="L3" s="8">
        <v>15</v>
      </c>
      <c r="M3" s="8">
        <v>16</v>
      </c>
      <c r="N3" s="8">
        <v>17</v>
      </c>
      <c r="O3" s="8">
        <v>18</v>
      </c>
      <c r="P3" s="77">
        <v>19</v>
      </c>
      <c r="Q3" s="8">
        <v>20</v>
      </c>
      <c r="R3" s="8">
        <v>21</v>
      </c>
      <c r="S3" s="8">
        <v>22</v>
      </c>
      <c r="T3" s="8">
        <v>23</v>
      </c>
      <c r="U3" s="8">
        <v>24</v>
      </c>
      <c r="V3" s="8">
        <v>25</v>
      </c>
      <c r="W3" s="8">
        <v>26</v>
      </c>
      <c r="X3" s="8">
        <v>27</v>
      </c>
      <c r="Y3" s="8">
        <v>28</v>
      </c>
      <c r="Z3" s="8">
        <v>29</v>
      </c>
      <c r="AA3" s="8">
        <v>30</v>
      </c>
      <c r="AB3" s="8">
        <v>31</v>
      </c>
      <c r="AC3" s="8">
        <v>32</v>
      </c>
      <c r="AD3" s="8">
        <v>33</v>
      </c>
      <c r="AE3" s="8">
        <v>35</v>
      </c>
      <c r="AF3" s="8" t="s">
        <v>9</v>
      </c>
      <c r="AG3" s="8" t="s">
        <v>10</v>
      </c>
      <c r="AH3" s="8" t="s">
        <v>11</v>
      </c>
      <c r="AI3" s="8" t="s">
        <v>12</v>
      </c>
      <c r="AJ3" s="8">
        <v>52</v>
      </c>
      <c r="AK3" s="8" t="s">
        <v>13</v>
      </c>
      <c r="AL3" s="8">
        <v>58</v>
      </c>
      <c r="AM3" s="8">
        <v>59</v>
      </c>
      <c r="AN3" s="8">
        <v>60</v>
      </c>
      <c r="AO3" s="8" t="s">
        <v>14</v>
      </c>
      <c r="AP3" s="8">
        <v>64</v>
      </c>
      <c r="AQ3" s="8">
        <v>65</v>
      </c>
      <c r="AR3" s="8">
        <v>66</v>
      </c>
      <c r="AS3" s="8">
        <v>68</v>
      </c>
      <c r="AT3" s="8">
        <v>69</v>
      </c>
      <c r="AU3" s="8">
        <v>70</v>
      </c>
      <c r="AV3" s="8">
        <v>71</v>
      </c>
      <c r="AW3" s="8">
        <v>72</v>
      </c>
      <c r="AX3" s="8">
        <v>73</v>
      </c>
      <c r="AY3" s="8">
        <v>74</v>
      </c>
      <c r="AZ3" s="8">
        <v>75</v>
      </c>
      <c r="BA3" s="8">
        <v>77</v>
      </c>
      <c r="BB3" s="8">
        <v>78</v>
      </c>
      <c r="BC3" s="8">
        <v>79</v>
      </c>
      <c r="BD3" s="8">
        <v>80</v>
      </c>
      <c r="BE3" s="8">
        <v>81</v>
      </c>
      <c r="BF3" s="8">
        <v>82</v>
      </c>
      <c r="BG3" s="8">
        <v>84</v>
      </c>
      <c r="BH3" s="8">
        <v>85</v>
      </c>
      <c r="BI3" s="8" t="s">
        <v>15</v>
      </c>
      <c r="BJ3" s="8">
        <v>90</v>
      </c>
      <c r="BK3" s="8">
        <v>91</v>
      </c>
      <c r="BL3" s="8">
        <v>92</v>
      </c>
      <c r="BM3" s="8">
        <v>93</v>
      </c>
      <c r="BN3" s="8">
        <v>94</v>
      </c>
      <c r="BO3" s="8">
        <v>95</v>
      </c>
      <c r="BP3" s="8">
        <v>96</v>
      </c>
      <c r="BQ3" s="8">
        <v>97</v>
      </c>
      <c r="BR3" s="580" t="s">
        <v>16</v>
      </c>
      <c r="BS3" s="581" t="s">
        <v>17</v>
      </c>
      <c r="BT3" s="581"/>
      <c r="BU3" s="581"/>
      <c r="BV3" s="581"/>
      <c r="BW3" s="581"/>
      <c r="BX3" s="581"/>
      <c r="BY3" s="581" t="s">
        <v>18</v>
      </c>
      <c r="BZ3" s="581"/>
      <c r="CA3" s="581"/>
      <c r="CB3" s="581" t="s">
        <v>19</v>
      </c>
      <c r="CC3" s="581"/>
      <c r="CD3" s="581"/>
      <c r="CE3" s="581"/>
      <c r="CF3" s="582" t="s">
        <v>20</v>
      </c>
      <c r="CG3" s="583" t="s">
        <v>21</v>
      </c>
      <c r="CH3" s="582" t="s">
        <v>22</v>
      </c>
      <c r="CI3" s="584" t="s">
        <v>23</v>
      </c>
      <c r="CJ3" s="586" t="s">
        <v>24</v>
      </c>
      <c r="CK3" s="2"/>
      <c r="CL3" s="2"/>
    </row>
    <row r="4" spans="1:91" s="12" customFormat="1" ht="67.5" customHeight="1" x14ac:dyDescent="0.2">
      <c r="A4" s="577"/>
      <c r="B4" s="579"/>
      <c r="C4" s="13" t="s">
        <v>25</v>
      </c>
      <c r="D4" s="13" t="s">
        <v>26</v>
      </c>
      <c r="E4" s="13" t="s">
        <v>27</v>
      </c>
      <c r="F4" s="13" t="s">
        <v>28</v>
      </c>
      <c r="G4" s="288" t="s">
        <v>29</v>
      </c>
      <c r="H4" s="13" t="s">
        <v>30</v>
      </c>
      <c r="I4" s="13" t="s">
        <v>31</v>
      </c>
      <c r="J4" s="13" t="s">
        <v>32</v>
      </c>
      <c r="K4" s="13" t="s">
        <v>33</v>
      </c>
      <c r="L4" s="13" t="s">
        <v>34</v>
      </c>
      <c r="M4" s="13" t="s">
        <v>35</v>
      </c>
      <c r="N4" s="13" t="s">
        <v>36</v>
      </c>
      <c r="O4" s="13" t="s">
        <v>37</v>
      </c>
      <c r="P4" s="78" t="s">
        <v>38</v>
      </c>
      <c r="Q4" s="13" t="s">
        <v>39</v>
      </c>
      <c r="R4" s="13" t="s">
        <v>40</v>
      </c>
      <c r="S4" s="13" t="s">
        <v>41</v>
      </c>
      <c r="T4" s="13" t="s">
        <v>42</v>
      </c>
      <c r="U4" s="13" t="s">
        <v>43</v>
      </c>
      <c r="V4" s="13" t="s">
        <v>44</v>
      </c>
      <c r="W4" s="13" t="s">
        <v>45</v>
      </c>
      <c r="X4" s="13" t="s">
        <v>46</v>
      </c>
      <c r="Y4" s="13" t="s">
        <v>47</v>
      </c>
      <c r="Z4" s="13" t="s">
        <v>48</v>
      </c>
      <c r="AA4" s="13" t="s">
        <v>49</v>
      </c>
      <c r="AB4" s="13" t="s">
        <v>50</v>
      </c>
      <c r="AC4" s="13" t="s">
        <v>51</v>
      </c>
      <c r="AD4" s="13" t="s">
        <v>52</v>
      </c>
      <c r="AE4" s="13" t="s">
        <v>53</v>
      </c>
      <c r="AF4" s="13" t="s">
        <v>54</v>
      </c>
      <c r="AG4" s="13" t="s">
        <v>55</v>
      </c>
      <c r="AH4" s="13" t="s">
        <v>56</v>
      </c>
      <c r="AI4" s="13" t="s">
        <v>57</v>
      </c>
      <c r="AJ4" s="13" t="s">
        <v>58</v>
      </c>
      <c r="AK4" s="13" t="s">
        <v>59</v>
      </c>
      <c r="AL4" s="13" t="s">
        <v>60</v>
      </c>
      <c r="AM4" s="13" t="s">
        <v>61</v>
      </c>
      <c r="AN4" s="13" t="s">
        <v>62</v>
      </c>
      <c r="AO4" s="13" t="s">
        <v>63</v>
      </c>
      <c r="AP4" s="13" t="s">
        <v>64</v>
      </c>
      <c r="AQ4" s="13" t="s">
        <v>65</v>
      </c>
      <c r="AR4" s="13" t="s">
        <v>66</v>
      </c>
      <c r="AS4" s="13" t="s">
        <v>67</v>
      </c>
      <c r="AT4" s="13" t="s">
        <v>68</v>
      </c>
      <c r="AU4" s="13" t="s">
        <v>69</v>
      </c>
      <c r="AV4" s="13" t="s">
        <v>70</v>
      </c>
      <c r="AW4" s="13" t="s">
        <v>71</v>
      </c>
      <c r="AX4" s="13" t="s">
        <v>72</v>
      </c>
      <c r="AY4" s="13" t="s">
        <v>73</v>
      </c>
      <c r="AZ4" s="13" t="s">
        <v>74</v>
      </c>
      <c r="BA4" s="13" t="s">
        <v>75</v>
      </c>
      <c r="BB4" s="13" t="s">
        <v>76</v>
      </c>
      <c r="BC4" s="13" t="s">
        <v>77</v>
      </c>
      <c r="BD4" s="13" t="s">
        <v>78</v>
      </c>
      <c r="BE4" s="13" t="s">
        <v>79</v>
      </c>
      <c r="BF4" s="13" t="s">
        <v>80</v>
      </c>
      <c r="BG4" s="13" t="s">
        <v>81</v>
      </c>
      <c r="BH4" s="13" t="s">
        <v>82</v>
      </c>
      <c r="BI4" s="13" t="s">
        <v>83</v>
      </c>
      <c r="BJ4" s="13" t="s">
        <v>84</v>
      </c>
      <c r="BK4" s="13" t="s">
        <v>85</v>
      </c>
      <c r="BL4" s="13" t="s">
        <v>86</v>
      </c>
      <c r="BM4" s="13" t="s">
        <v>87</v>
      </c>
      <c r="BN4" s="13" t="s">
        <v>88</v>
      </c>
      <c r="BO4" s="13" t="s">
        <v>89</v>
      </c>
      <c r="BP4" s="13" t="s">
        <v>90</v>
      </c>
      <c r="BQ4" s="13" t="s">
        <v>91</v>
      </c>
      <c r="BR4" s="580"/>
      <c r="BS4" s="14" t="s">
        <v>92</v>
      </c>
      <c r="BT4" s="15" t="s">
        <v>93</v>
      </c>
      <c r="BU4" s="15" t="s">
        <v>94</v>
      </c>
      <c r="BV4" s="13" t="s">
        <v>95</v>
      </c>
      <c r="BW4" s="14" t="s">
        <v>96</v>
      </c>
      <c r="BX4" s="16" t="s">
        <v>97</v>
      </c>
      <c r="BY4" s="10" t="s">
        <v>98</v>
      </c>
      <c r="BZ4" s="10" t="s">
        <v>99</v>
      </c>
      <c r="CA4" s="16" t="s">
        <v>100</v>
      </c>
      <c r="CB4" s="10" t="s">
        <v>101</v>
      </c>
      <c r="CC4" s="10" t="s">
        <v>102</v>
      </c>
      <c r="CD4" s="17" t="s">
        <v>94</v>
      </c>
      <c r="CE4" s="16" t="s">
        <v>103</v>
      </c>
      <c r="CF4" s="582"/>
      <c r="CG4" s="583"/>
      <c r="CH4" s="582"/>
      <c r="CI4" s="585"/>
      <c r="CJ4" s="586"/>
      <c r="CK4" s="2"/>
      <c r="CL4" s="2"/>
    </row>
    <row r="5" spans="1:91" s="12" customFormat="1" ht="77.25" customHeight="1" x14ac:dyDescent="0.2">
      <c r="A5" s="577"/>
      <c r="B5" s="18" t="s">
        <v>104</v>
      </c>
      <c r="C5" s="13" t="s">
        <v>105</v>
      </c>
      <c r="D5" s="13" t="s">
        <v>106</v>
      </c>
      <c r="E5" s="13" t="s">
        <v>107</v>
      </c>
      <c r="F5" s="13" t="s">
        <v>108</v>
      </c>
      <c r="G5" s="288" t="s">
        <v>109</v>
      </c>
      <c r="H5" s="13" t="s">
        <v>110</v>
      </c>
      <c r="I5" s="13" t="s">
        <v>111</v>
      </c>
      <c r="J5" s="13" t="s">
        <v>112</v>
      </c>
      <c r="K5" s="13" t="s">
        <v>113</v>
      </c>
      <c r="L5" s="13" t="s">
        <v>114</v>
      </c>
      <c r="M5" s="13" t="s">
        <v>115</v>
      </c>
      <c r="N5" s="13" t="s">
        <v>116</v>
      </c>
      <c r="O5" s="13" t="s">
        <v>117</v>
      </c>
      <c r="P5" s="78" t="s">
        <v>118</v>
      </c>
      <c r="Q5" s="13" t="s">
        <v>119</v>
      </c>
      <c r="R5" s="13" t="s">
        <v>120</v>
      </c>
      <c r="S5" s="13" t="s">
        <v>121</v>
      </c>
      <c r="T5" s="13" t="s">
        <v>122</v>
      </c>
      <c r="U5" s="13" t="s">
        <v>123</v>
      </c>
      <c r="V5" s="13" t="s">
        <v>124</v>
      </c>
      <c r="W5" s="13" t="s">
        <v>125</v>
      </c>
      <c r="X5" s="13" t="s">
        <v>126</v>
      </c>
      <c r="Y5" s="13" t="s">
        <v>127</v>
      </c>
      <c r="Z5" s="13" t="s">
        <v>128</v>
      </c>
      <c r="AA5" s="13" t="s">
        <v>129</v>
      </c>
      <c r="AB5" s="13" t="s">
        <v>130</v>
      </c>
      <c r="AC5" s="13" t="s">
        <v>131</v>
      </c>
      <c r="AD5" s="13" t="s">
        <v>132</v>
      </c>
      <c r="AE5" s="13" t="s">
        <v>133</v>
      </c>
      <c r="AF5" s="13" t="s">
        <v>134</v>
      </c>
      <c r="AG5" s="13" t="s">
        <v>135</v>
      </c>
      <c r="AH5" s="13" t="s">
        <v>136</v>
      </c>
      <c r="AI5" s="13" t="s">
        <v>137</v>
      </c>
      <c r="AJ5" s="13" t="s">
        <v>138</v>
      </c>
      <c r="AK5" s="13" t="s">
        <v>139</v>
      </c>
      <c r="AL5" s="13" t="s">
        <v>140</v>
      </c>
      <c r="AM5" s="13" t="s">
        <v>141</v>
      </c>
      <c r="AN5" s="13" t="s">
        <v>142</v>
      </c>
      <c r="AO5" s="13" t="s">
        <v>143</v>
      </c>
      <c r="AP5" s="13" t="s">
        <v>144</v>
      </c>
      <c r="AQ5" s="13" t="s">
        <v>145</v>
      </c>
      <c r="AR5" s="13" t="s">
        <v>146</v>
      </c>
      <c r="AS5" s="13" t="s">
        <v>147</v>
      </c>
      <c r="AT5" s="13" t="s">
        <v>148</v>
      </c>
      <c r="AU5" s="13" t="s">
        <v>149</v>
      </c>
      <c r="AV5" s="13" t="s">
        <v>150</v>
      </c>
      <c r="AW5" s="13" t="s">
        <v>151</v>
      </c>
      <c r="AX5" s="13" t="s">
        <v>152</v>
      </c>
      <c r="AY5" s="13" t="s">
        <v>153</v>
      </c>
      <c r="AZ5" s="13" t="s">
        <v>154</v>
      </c>
      <c r="BA5" s="13" t="s">
        <v>155</v>
      </c>
      <c r="BB5" s="13" t="s">
        <v>156</v>
      </c>
      <c r="BC5" s="13" t="s">
        <v>157</v>
      </c>
      <c r="BD5" s="13" t="s">
        <v>158</v>
      </c>
      <c r="BE5" s="13" t="s">
        <v>159</v>
      </c>
      <c r="BF5" s="13" t="s">
        <v>160</v>
      </c>
      <c r="BG5" s="13" t="s">
        <v>161</v>
      </c>
      <c r="BH5" s="13" t="s">
        <v>162</v>
      </c>
      <c r="BI5" s="13" t="s">
        <v>163</v>
      </c>
      <c r="BJ5" s="13" t="s">
        <v>164</v>
      </c>
      <c r="BK5" s="13" t="s">
        <v>165</v>
      </c>
      <c r="BL5" s="13" t="s">
        <v>166</v>
      </c>
      <c r="BM5" s="13" t="s">
        <v>167</v>
      </c>
      <c r="BN5" s="13" t="s">
        <v>168</v>
      </c>
      <c r="BO5" s="13" t="s">
        <v>169</v>
      </c>
      <c r="BP5" s="13" t="s">
        <v>170</v>
      </c>
      <c r="BQ5" s="13" t="s">
        <v>171</v>
      </c>
      <c r="BR5" s="9" t="s">
        <v>172</v>
      </c>
      <c r="BS5" s="14" t="s">
        <v>173</v>
      </c>
      <c r="BT5" s="15" t="s">
        <v>174</v>
      </c>
      <c r="BU5" s="19" t="s">
        <v>175</v>
      </c>
      <c r="BV5" s="13" t="s">
        <v>176</v>
      </c>
      <c r="BW5" s="14" t="s">
        <v>177</v>
      </c>
      <c r="BX5" s="16" t="s">
        <v>178</v>
      </c>
      <c r="BY5" s="10" t="s">
        <v>179</v>
      </c>
      <c r="BZ5" s="10" t="s">
        <v>180</v>
      </c>
      <c r="CA5" s="16" t="s">
        <v>181</v>
      </c>
      <c r="CB5" s="10" t="s">
        <v>182</v>
      </c>
      <c r="CC5" s="10" t="s">
        <v>183</v>
      </c>
      <c r="CD5" s="10" t="s">
        <v>175</v>
      </c>
      <c r="CE5" s="16" t="s">
        <v>184</v>
      </c>
      <c r="CF5" s="11" t="s">
        <v>185</v>
      </c>
      <c r="CG5" s="20" t="s">
        <v>186</v>
      </c>
      <c r="CH5" s="11" t="s">
        <v>187</v>
      </c>
      <c r="CI5" s="21" t="s">
        <v>188</v>
      </c>
      <c r="CJ5" s="586"/>
      <c r="CK5" s="2"/>
      <c r="CL5" s="2"/>
    </row>
    <row r="6" spans="1:91" s="31" customFormat="1" ht="32" customHeight="1" x14ac:dyDescent="0.2">
      <c r="A6" s="22" t="s">
        <v>6</v>
      </c>
      <c r="B6" s="23" t="s">
        <v>25</v>
      </c>
      <c r="C6" s="24">
        <v>111428954.54558779</v>
      </c>
      <c r="D6" s="24">
        <v>0</v>
      </c>
      <c r="E6" s="24">
        <v>2994701.6061869273</v>
      </c>
      <c r="F6" s="24">
        <v>5257465.2341170702</v>
      </c>
      <c r="G6" s="289">
        <v>127261367.33803065</v>
      </c>
      <c r="H6" s="24">
        <v>3971961.7029699432</v>
      </c>
      <c r="I6" s="24">
        <v>867768.12767082779</v>
      </c>
      <c r="J6" s="24">
        <v>4165801.0945164799</v>
      </c>
      <c r="K6" s="24">
        <v>63881.348322217753</v>
      </c>
      <c r="L6" s="24">
        <v>3649200.7158215339</v>
      </c>
      <c r="M6" s="24">
        <v>5761.7917319559419</v>
      </c>
      <c r="N6" s="24">
        <v>574694.23305632989</v>
      </c>
      <c r="O6" s="24">
        <v>60616.585156601977</v>
      </c>
      <c r="P6" s="70">
        <v>359681.03034775669</v>
      </c>
      <c r="Q6" s="24">
        <v>47298.054526385968</v>
      </c>
      <c r="R6" s="24">
        <v>285376.67592986237</v>
      </c>
      <c r="S6" s="24">
        <v>12318.594664133132</v>
      </c>
      <c r="T6" s="24">
        <v>93609.432750400651</v>
      </c>
      <c r="U6" s="24">
        <v>115066.34490205268</v>
      </c>
      <c r="V6" s="24">
        <v>27034.097275609671</v>
      </c>
      <c r="W6" s="24">
        <v>1664.181501608341</v>
      </c>
      <c r="X6" s="24">
        <v>16104.147965409509</v>
      </c>
      <c r="Y6" s="24">
        <v>8951.4205603808095</v>
      </c>
      <c r="Z6" s="24">
        <v>6946.4247116034858</v>
      </c>
      <c r="AA6" s="24">
        <v>1684.5480155679179</v>
      </c>
      <c r="AB6" s="24">
        <v>17336.50238865356</v>
      </c>
      <c r="AC6" s="24">
        <v>3748.8873307381687</v>
      </c>
      <c r="AD6" s="24">
        <v>54.006607562764181</v>
      </c>
      <c r="AE6" s="24">
        <v>369.06020918948388</v>
      </c>
      <c r="AF6" s="24">
        <v>8349.4910828319462</v>
      </c>
      <c r="AG6" s="24">
        <v>4478065.1635151617</v>
      </c>
      <c r="AH6" s="24">
        <v>203133.6096506071</v>
      </c>
      <c r="AI6" s="24">
        <v>617104.28735369549</v>
      </c>
      <c r="AJ6" s="24">
        <v>122222.1573662493</v>
      </c>
      <c r="AK6" s="24">
        <v>6569583.0521240709</v>
      </c>
      <c r="AL6" s="24">
        <v>2455.6037102102309</v>
      </c>
      <c r="AM6" s="24">
        <v>579.51113564829052</v>
      </c>
      <c r="AN6" s="24">
        <v>115681.53447622739</v>
      </c>
      <c r="AO6" s="24">
        <v>56221.362352047749</v>
      </c>
      <c r="AP6" s="24">
        <v>3399328.1793182925</v>
      </c>
      <c r="AQ6" s="24">
        <v>7578.0627947921439</v>
      </c>
      <c r="AR6" s="24">
        <v>7578.0627947921439</v>
      </c>
      <c r="AS6" s="24">
        <v>442882.35344126518</v>
      </c>
      <c r="AT6" s="24">
        <v>1024.168129136986</v>
      </c>
      <c r="AU6" s="24">
        <v>3016.9438124943294</v>
      </c>
      <c r="AV6" s="24">
        <v>5579.4928598751148</v>
      </c>
      <c r="AW6" s="24">
        <v>14.712138737427155</v>
      </c>
      <c r="AX6" s="24">
        <v>4932.316154438272</v>
      </c>
      <c r="AY6" s="24">
        <v>14632.345604092774</v>
      </c>
      <c r="AZ6" s="24">
        <v>31.482303310387913</v>
      </c>
      <c r="BA6" s="24">
        <v>3425.2045992196709</v>
      </c>
      <c r="BB6" s="24">
        <v>307.48448355535947</v>
      </c>
      <c r="BC6" s="24">
        <v>789584.44169271365</v>
      </c>
      <c r="BD6" s="24">
        <v>176.36200218197084</v>
      </c>
      <c r="BE6" s="24">
        <v>205.40651294345659</v>
      </c>
      <c r="BF6" s="24">
        <v>2467.4009541554628</v>
      </c>
      <c r="BG6" s="24">
        <v>127077.40212073635</v>
      </c>
      <c r="BH6" s="24">
        <v>18475.397679359634</v>
      </c>
      <c r="BI6" s="24">
        <v>57037.231105567771</v>
      </c>
      <c r="BJ6" s="24">
        <v>86.875256211053838</v>
      </c>
      <c r="BK6" s="24">
        <v>4.4896356138692877</v>
      </c>
      <c r="BL6" s="24">
        <v>48.801171572229599</v>
      </c>
      <c r="BM6" s="24">
        <v>12644.622244397406</v>
      </c>
      <c r="BN6" s="24">
        <v>24220.994675939557</v>
      </c>
      <c r="BO6" s="24">
        <v>1472.6800960338514</v>
      </c>
      <c r="BP6" s="24">
        <v>5905.2476262279888</v>
      </c>
      <c r="BQ6" s="24">
        <v>0</v>
      </c>
      <c r="BR6" s="25">
        <v>278402551.66682965</v>
      </c>
      <c r="BS6" s="26">
        <v>292436040.82404327</v>
      </c>
      <c r="BT6" s="26">
        <v>0</v>
      </c>
      <c r="BU6" s="26">
        <v>1874728.9168150804</v>
      </c>
      <c r="BV6" s="26">
        <v>0</v>
      </c>
      <c r="BW6" s="26">
        <v>0</v>
      </c>
      <c r="BX6" s="27">
        <v>290561311.90722817</v>
      </c>
      <c r="BY6" s="26">
        <v>22364151.589176174</v>
      </c>
      <c r="BZ6" s="26">
        <v>16720330.600885471</v>
      </c>
      <c r="CA6" s="27">
        <v>39084482.190061644</v>
      </c>
      <c r="CB6" s="26">
        <v>16304767.583747689</v>
      </c>
      <c r="CC6" s="26">
        <v>505196.92002012313</v>
      </c>
      <c r="CD6" s="26">
        <v>1874728.9168150804</v>
      </c>
      <c r="CE6" s="27">
        <v>18684693.420582891</v>
      </c>
      <c r="CF6" s="25">
        <v>348330487.51787269</v>
      </c>
      <c r="CG6" s="26">
        <v>42986183.407044031</v>
      </c>
      <c r="CH6" s="25">
        <v>583746855.77765834</v>
      </c>
      <c r="CI6" s="28" t="s">
        <v>105</v>
      </c>
      <c r="CJ6" s="22" t="s">
        <v>6</v>
      </c>
      <c r="CK6" s="29"/>
      <c r="CL6" s="2"/>
      <c r="CM6" s="30"/>
    </row>
    <row r="7" spans="1:91" s="31" customFormat="1" ht="32" customHeight="1" x14ac:dyDescent="0.2">
      <c r="A7" s="22" t="s">
        <v>7</v>
      </c>
      <c r="B7" s="23" t="s">
        <v>26</v>
      </c>
      <c r="C7" s="24">
        <v>0</v>
      </c>
      <c r="D7" s="24">
        <v>95022.441935484574</v>
      </c>
      <c r="E7" s="24">
        <v>0</v>
      </c>
      <c r="F7" s="24">
        <v>0</v>
      </c>
      <c r="G7" s="289">
        <v>583865.80151556095</v>
      </c>
      <c r="H7" s="24">
        <v>0</v>
      </c>
      <c r="I7" s="24">
        <v>0</v>
      </c>
      <c r="J7" s="24">
        <v>0</v>
      </c>
      <c r="K7" s="24">
        <v>0</v>
      </c>
      <c r="L7" s="24">
        <v>0</v>
      </c>
      <c r="M7" s="24">
        <v>0</v>
      </c>
      <c r="N7" s="24">
        <v>0</v>
      </c>
      <c r="O7" s="24">
        <v>0</v>
      </c>
      <c r="P7" s="70">
        <v>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v>0</v>
      </c>
      <c r="AA7" s="24">
        <v>0</v>
      </c>
      <c r="AB7" s="24">
        <v>0</v>
      </c>
      <c r="AC7" s="24">
        <v>0</v>
      </c>
      <c r="AD7" s="24">
        <v>0</v>
      </c>
      <c r="AE7" s="24">
        <v>0</v>
      </c>
      <c r="AF7" s="24">
        <v>4.8158978191517914</v>
      </c>
      <c r="AG7" s="24">
        <v>0</v>
      </c>
      <c r="AH7" s="24">
        <v>0</v>
      </c>
      <c r="AI7" s="24">
        <v>0</v>
      </c>
      <c r="AJ7" s="24">
        <v>0</v>
      </c>
      <c r="AK7" s="24">
        <v>2908373.117008118</v>
      </c>
      <c r="AL7" s="24">
        <v>0</v>
      </c>
      <c r="AM7" s="24">
        <v>0</v>
      </c>
      <c r="AN7" s="24">
        <v>0</v>
      </c>
      <c r="AO7" s="24">
        <v>0</v>
      </c>
      <c r="AP7" s="24">
        <v>0</v>
      </c>
      <c r="AQ7" s="24">
        <v>0</v>
      </c>
      <c r="AR7" s="24">
        <v>0</v>
      </c>
      <c r="AS7" s="24">
        <v>0</v>
      </c>
      <c r="AT7" s="24">
        <v>0</v>
      </c>
      <c r="AU7" s="24">
        <v>0</v>
      </c>
      <c r="AV7" s="24">
        <v>0</v>
      </c>
      <c r="AW7" s="24">
        <v>0</v>
      </c>
      <c r="AX7" s="24">
        <v>0</v>
      </c>
      <c r="AY7" s="24">
        <v>0</v>
      </c>
      <c r="AZ7" s="24">
        <v>0</v>
      </c>
      <c r="BA7" s="24">
        <v>0</v>
      </c>
      <c r="BB7" s="24">
        <v>0</v>
      </c>
      <c r="BC7" s="24">
        <v>0</v>
      </c>
      <c r="BD7" s="24">
        <v>0</v>
      </c>
      <c r="BE7" s="24">
        <v>0</v>
      </c>
      <c r="BF7" s="24">
        <v>0</v>
      </c>
      <c r="BG7" s="24">
        <v>6121.8673135108847</v>
      </c>
      <c r="BH7" s="24">
        <v>1527.3876947336835</v>
      </c>
      <c r="BI7" s="24">
        <v>20067.03280436495</v>
      </c>
      <c r="BJ7" s="24">
        <v>0</v>
      </c>
      <c r="BK7" s="24">
        <v>0</v>
      </c>
      <c r="BL7" s="24">
        <v>0</v>
      </c>
      <c r="BM7" s="24">
        <v>247.03151359554417</v>
      </c>
      <c r="BN7" s="24">
        <v>0</v>
      </c>
      <c r="BO7" s="24">
        <v>0</v>
      </c>
      <c r="BP7" s="24">
        <v>0</v>
      </c>
      <c r="BQ7" s="24">
        <v>0</v>
      </c>
      <c r="BR7" s="25">
        <v>3615229.4956831872</v>
      </c>
      <c r="BS7" s="26">
        <v>40033556.160879977</v>
      </c>
      <c r="BT7" s="26">
        <v>0</v>
      </c>
      <c r="BU7" s="26">
        <v>0</v>
      </c>
      <c r="BV7" s="26">
        <v>0</v>
      </c>
      <c r="BW7" s="26">
        <v>0</v>
      </c>
      <c r="BX7" s="27">
        <v>40033556.160879977</v>
      </c>
      <c r="BY7" s="26">
        <v>0</v>
      </c>
      <c r="BZ7" s="26">
        <v>0</v>
      </c>
      <c r="CA7" s="27">
        <v>0</v>
      </c>
      <c r="CB7" s="26">
        <v>196427.16651978056</v>
      </c>
      <c r="CC7" s="26">
        <v>0</v>
      </c>
      <c r="CD7" s="26">
        <v>0</v>
      </c>
      <c r="CE7" s="27">
        <v>196427.16651978056</v>
      </c>
      <c r="CF7" s="25">
        <v>40229983.32739976</v>
      </c>
      <c r="CG7" s="26">
        <v>34426.823082945702</v>
      </c>
      <c r="CH7" s="25">
        <v>43810786</v>
      </c>
      <c r="CI7" s="28" t="s">
        <v>106</v>
      </c>
      <c r="CJ7" s="22" t="s">
        <v>7</v>
      </c>
      <c r="CK7" s="2"/>
      <c r="CL7" s="2"/>
      <c r="CM7" s="30"/>
    </row>
    <row r="8" spans="1:91" s="33" customFormat="1" ht="32" customHeight="1" x14ac:dyDescent="0.2">
      <c r="A8" s="22">
        <v>6</v>
      </c>
      <c r="B8" s="32" t="s">
        <v>27</v>
      </c>
      <c r="C8" s="24">
        <v>6956534.0867084013</v>
      </c>
      <c r="D8" s="24">
        <v>13758.084193864621</v>
      </c>
      <c r="E8" s="24">
        <v>841853.72495365294</v>
      </c>
      <c r="F8" s="24">
        <v>1661032.0515692243</v>
      </c>
      <c r="G8" s="289">
        <v>257087.31896357067</v>
      </c>
      <c r="H8" s="24">
        <v>12099.66376964833</v>
      </c>
      <c r="I8" s="24">
        <v>1131.6480692291193</v>
      </c>
      <c r="J8" s="24">
        <v>1786.4675644516678</v>
      </c>
      <c r="K8" s="24">
        <v>662.78164541481976</v>
      </c>
      <c r="L8" s="24">
        <v>931.0504114102323</v>
      </c>
      <c r="M8" s="24">
        <v>286.73809219422196</v>
      </c>
      <c r="N8" s="24">
        <v>30251.212013750926</v>
      </c>
      <c r="O8" s="24">
        <v>434.83633255800498</v>
      </c>
      <c r="P8" s="70">
        <v>169547108.27192727</v>
      </c>
      <c r="Q8" s="24">
        <v>77475.019780361574</v>
      </c>
      <c r="R8" s="24">
        <v>4083.8121982464982</v>
      </c>
      <c r="S8" s="24">
        <v>2791.8540508193878</v>
      </c>
      <c r="T8" s="24">
        <v>371700.41125476593</v>
      </c>
      <c r="U8" s="24">
        <v>32841.499025061566</v>
      </c>
      <c r="V8" s="24">
        <v>1750.5828575303326</v>
      </c>
      <c r="W8" s="24">
        <v>226.02797376965071</v>
      </c>
      <c r="X8" s="24">
        <v>1628.3253843821624</v>
      </c>
      <c r="Y8" s="24">
        <v>590.99378082106307</v>
      </c>
      <c r="Z8" s="24">
        <v>1780.8828783174602</v>
      </c>
      <c r="AA8" s="24">
        <v>192.50629269863254</v>
      </c>
      <c r="AB8" s="24">
        <v>746.23922708007876</v>
      </c>
      <c r="AC8" s="24">
        <v>87.55820928080405</v>
      </c>
      <c r="AD8" s="24">
        <v>37.871939941105722</v>
      </c>
      <c r="AE8" s="24">
        <v>25851031.235697187</v>
      </c>
      <c r="AF8" s="24">
        <v>134353.38633367504</v>
      </c>
      <c r="AG8" s="24">
        <v>76387.004982923841</v>
      </c>
      <c r="AH8" s="24">
        <v>3573855.9118909286</v>
      </c>
      <c r="AI8" s="24">
        <v>3751742.8379887659</v>
      </c>
      <c r="AJ8" s="24">
        <v>21776.924137358448</v>
      </c>
      <c r="AK8" s="24">
        <v>391610.56444278959</v>
      </c>
      <c r="AL8" s="24">
        <v>1191.3538990507991</v>
      </c>
      <c r="AM8" s="24">
        <v>281.15401851174119</v>
      </c>
      <c r="AN8" s="24">
        <v>243.18362700489209</v>
      </c>
      <c r="AO8" s="24">
        <v>24932.46637633038</v>
      </c>
      <c r="AP8" s="24">
        <v>1010686.9404734443</v>
      </c>
      <c r="AQ8" s="24">
        <v>648.54978457492291</v>
      </c>
      <c r="AR8" s="24">
        <v>648.54978457492291</v>
      </c>
      <c r="AS8" s="24">
        <v>19465.719676400084</v>
      </c>
      <c r="AT8" s="24">
        <v>4297.6148875797662</v>
      </c>
      <c r="AU8" s="24">
        <v>2565.8537897924757</v>
      </c>
      <c r="AV8" s="24">
        <v>17792.544845729928</v>
      </c>
      <c r="AW8" s="24">
        <v>441.62718530892101</v>
      </c>
      <c r="AX8" s="24">
        <v>5111.2549549357036</v>
      </c>
      <c r="AY8" s="24">
        <v>3539.1266888090486</v>
      </c>
      <c r="AZ8" s="24">
        <v>87.703338599248553</v>
      </c>
      <c r="BA8" s="24">
        <v>53548.604776324122</v>
      </c>
      <c r="BB8" s="24">
        <v>376.67910811459552</v>
      </c>
      <c r="BC8" s="24">
        <v>90931.556999853055</v>
      </c>
      <c r="BD8" s="24">
        <v>3177.3385753466027</v>
      </c>
      <c r="BE8" s="24">
        <v>2293.4721425586213</v>
      </c>
      <c r="BF8" s="24">
        <v>6638.8002828522276</v>
      </c>
      <c r="BG8" s="24">
        <v>16348.627900288444</v>
      </c>
      <c r="BH8" s="24">
        <v>8021.3983210855304</v>
      </c>
      <c r="BI8" s="24">
        <v>154823.79269831252</v>
      </c>
      <c r="BJ8" s="24">
        <v>1994.2915859656857</v>
      </c>
      <c r="BK8" s="24">
        <v>23.869430838446565</v>
      </c>
      <c r="BL8" s="24">
        <v>191.93605728476072</v>
      </c>
      <c r="BM8" s="24">
        <v>33823.713341539107</v>
      </c>
      <c r="BN8" s="24">
        <v>43314.046084517016</v>
      </c>
      <c r="BO8" s="24">
        <v>10002.927013333367</v>
      </c>
      <c r="BP8" s="24">
        <v>32094.056834062183</v>
      </c>
      <c r="BQ8" s="24">
        <v>0</v>
      </c>
      <c r="BR8" s="25">
        <v>215171188.14102423</v>
      </c>
      <c r="BS8" s="26">
        <v>36857497.645072877</v>
      </c>
      <c r="BT8" s="26">
        <v>0</v>
      </c>
      <c r="BU8" s="26">
        <v>0</v>
      </c>
      <c r="BV8" s="26">
        <v>0</v>
      </c>
      <c r="BW8" s="26">
        <v>0</v>
      </c>
      <c r="BX8" s="27">
        <v>36857497.645072877</v>
      </c>
      <c r="BY8" s="26">
        <v>0</v>
      </c>
      <c r="BZ8" s="26">
        <v>11214350.276752075</v>
      </c>
      <c r="CA8" s="27">
        <v>11214350.276752075</v>
      </c>
      <c r="CB8" s="26">
        <v>13225744.919536857</v>
      </c>
      <c r="CC8" s="26">
        <v>0</v>
      </c>
      <c r="CD8" s="26">
        <v>0</v>
      </c>
      <c r="CE8" s="27">
        <v>13225744.919536857</v>
      </c>
      <c r="CF8" s="25">
        <v>61297592.841361813</v>
      </c>
      <c r="CG8" s="26">
        <v>27086875.042063255</v>
      </c>
      <c r="CH8" s="25">
        <v>249381905.94032279</v>
      </c>
      <c r="CI8" s="28" t="s">
        <v>107</v>
      </c>
      <c r="CJ8" s="22">
        <v>6</v>
      </c>
      <c r="CK8" s="2"/>
      <c r="CL8" s="2"/>
      <c r="CM8" s="30"/>
    </row>
    <row r="9" spans="1:91" s="33" customFormat="1" ht="32" customHeight="1" x14ac:dyDescent="0.2">
      <c r="A9" s="22" t="s">
        <v>8</v>
      </c>
      <c r="B9" s="34" t="s">
        <v>28</v>
      </c>
      <c r="C9" s="24">
        <v>26236459.309436951</v>
      </c>
      <c r="D9" s="24">
        <v>0</v>
      </c>
      <c r="E9" s="24">
        <v>3168162.8032375546</v>
      </c>
      <c r="F9" s="24">
        <v>6289112.7890841877</v>
      </c>
      <c r="G9" s="289">
        <v>0</v>
      </c>
      <c r="H9" s="24">
        <v>11948.806701031481</v>
      </c>
      <c r="I9" s="24">
        <v>9420.9858407137999</v>
      </c>
      <c r="J9" s="24">
        <v>62003.996776815293</v>
      </c>
      <c r="K9" s="24">
        <v>4089.485769349978</v>
      </c>
      <c r="L9" s="24">
        <v>12604.019564269292</v>
      </c>
      <c r="M9" s="24">
        <v>6824.4361577498703</v>
      </c>
      <c r="N9" s="24">
        <v>60495.649239695958</v>
      </c>
      <c r="O9" s="24">
        <v>7387.2859922429197</v>
      </c>
      <c r="P9" s="70">
        <v>863629.58263985824</v>
      </c>
      <c r="Q9" s="24">
        <v>12897420.689084308</v>
      </c>
      <c r="R9" s="24">
        <v>253277.15494515275</v>
      </c>
      <c r="S9" s="24">
        <v>158229.61499000475</v>
      </c>
      <c r="T9" s="24">
        <v>2292669.1726151295</v>
      </c>
      <c r="U9" s="24">
        <v>7070756.3618941735</v>
      </c>
      <c r="V9" s="24">
        <v>33300.246977244482</v>
      </c>
      <c r="W9" s="24">
        <v>16592.156853336466</v>
      </c>
      <c r="X9" s="24">
        <v>79886.864090375078</v>
      </c>
      <c r="Y9" s="24">
        <v>10876.936932792869</v>
      </c>
      <c r="Z9" s="24">
        <v>89969.505337647832</v>
      </c>
      <c r="AA9" s="24">
        <v>2485.6568745030613</v>
      </c>
      <c r="AB9" s="24">
        <v>9960.373974560549</v>
      </c>
      <c r="AC9" s="24">
        <v>2673.9469641107344</v>
      </c>
      <c r="AD9" s="24">
        <v>32.536264400570715</v>
      </c>
      <c r="AE9" s="24">
        <v>567.08136528073612</v>
      </c>
      <c r="AF9" s="24">
        <v>17219.311138861336</v>
      </c>
      <c r="AG9" s="24">
        <v>1391488.6518224613</v>
      </c>
      <c r="AH9" s="24">
        <v>52710.563329906166</v>
      </c>
      <c r="AI9" s="24">
        <v>374240.17375272908</v>
      </c>
      <c r="AJ9" s="24">
        <v>82808.222903184826</v>
      </c>
      <c r="AK9" s="24">
        <v>68375.68934300699</v>
      </c>
      <c r="AL9" s="24">
        <v>0</v>
      </c>
      <c r="AM9" s="24">
        <v>0</v>
      </c>
      <c r="AN9" s="24">
        <v>7271.8836216247837</v>
      </c>
      <c r="AO9" s="24">
        <v>250.4696169693654</v>
      </c>
      <c r="AP9" s="24">
        <v>3875315.2105243681</v>
      </c>
      <c r="AQ9" s="24">
        <v>4139.4603733622553</v>
      </c>
      <c r="AR9" s="24">
        <v>4139.4603733622553</v>
      </c>
      <c r="AS9" s="24">
        <v>125778.15124289831</v>
      </c>
      <c r="AT9" s="24">
        <v>3237.2766620914649</v>
      </c>
      <c r="AU9" s="24">
        <v>1973.5298891761895</v>
      </c>
      <c r="AV9" s="24">
        <v>13354.48186937076</v>
      </c>
      <c r="AW9" s="24">
        <v>26.522822222872108</v>
      </c>
      <c r="AX9" s="24">
        <v>6218.8670770986555</v>
      </c>
      <c r="AY9" s="24">
        <v>4585.9815774462368</v>
      </c>
      <c r="AZ9" s="24">
        <v>58.112600075639875</v>
      </c>
      <c r="BA9" s="24">
        <v>1413.9548929132611</v>
      </c>
      <c r="BB9" s="24">
        <v>259.12830469154994</v>
      </c>
      <c r="BC9" s="24">
        <v>50809.102096193717</v>
      </c>
      <c r="BD9" s="24">
        <v>0</v>
      </c>
      <c r="BE9" s="24">
        <v>574.12901552980486</v>
      </c>
      <c r="BF9" s="24">
        <v>12655.407725895217</v>
      </c>
      <c r="BG9" s="24">
        <v>23317.736073066681</v>
      </c>
      <c r="BH9" s="24">
        <v>43027.143379103014</v>
      </c>
      <c r="BI9" s="24">
        <v>266861.53019182396</v>
      </c>
      <c r="BJ9" s="24">
        <v>87.663281200525589</v>
      </c>
      <c r="BK9" s="24">
        <v>0.60650679456510881</v>
      </c>
      <c r="BL9" s="24">
        <v>9.4542204334378948</v>
      </c>
      <c r="BM9" s="24">
        <v>6173.0676732711754</v>
      </c>
      <c r="BN9" s="24">
        <v>43520.73524857279</v>
      </c>
      <c r="BO9" s="24">
        <v>6464.7516794203984</v>
      </c>
      <c r="BP9" s="24">
        <v>5139.320719669844</v>
      </c>
      <c r="BQ9" s="24">
        <v>0</v>
      </c>
      <c r="BR9" s="25">
        <v>66144343.201152213</v>
      </c>
      <c r="BS9" s="26">
        <v>6089422.175431231</v>
      </c>
      <c r="BT9" s="26">
        <v>433.35292791386166</v>
      </c>
      <c r="BU9" s="26">
        <v>474.62338392154578</v>
      </c>
      <c r="BV9" s="26">
        <v>0</v>
      </c>
      <c r="BW9" s="26">
        <v>0</v>
      </c>
      <c r="BX9" s="27">
        <v>6089380.9049752234</v>
      </c>
      <c r="BY9" s="26">
        <v>4542731.6848145649</v>
      </c>
      <c r="BZ9" s="26">
        <v>-2282381.0529978424</v>
      </c>
      <c r="CA9" s="27">
        <v>2260350.6318167225</v>
      </c>
      <c r="CB9" s="26">
        <v>2755190.9811850111</v>
      </c>
      <c r="CC9" s="26">
        <v>0</v>
      </c>
      <c r="CD9" s="26">
        <v>552.66315409269657</v>
      </c>
      <c r="CE9" s="27">
        <v>2755743.6443391037</v>
      </c>
      <c r="CF9" s="25">
        <v>11105475.18113105</v>
      </c>
      <c r="CG9" s="26">
        <v>8035853.2911235821</v>
      </c>
      <c r="CH9" s="25">
        <v>69213965.091159686</v>
      </c>
      <c r="CI9" s="28" t="s">
        <v>108</v>
      </c>
      <c r="CJ9" s="22" t="s">
        <v>8</v>
      </c>
      <c r="CK9" s="2"/>
      <c r="CL9" s="2"/>
      <c r="CM9" s="30"/>
    </row>
    <row r="10" spans="1:91" s="33" customFormat="1" ht="32" customHeight="1" x14ac:dyDescent="0.2">
      <c r="A10" s="22">
        <v>10</v>
      </c>
      <c r="B10" s="32" t="s">
        <v>29</v>
      </c>
      <c r="C10" s="24">
        <v>28222082.713774581</v>
      </c>
      <c r="D10" s="24">
        <v>358647.80175160884</v>
      </c>
      <c r="E10" s="24">
        <v>612.43749377995607</v>
      </c>
      <c r="F10" s="24">
        <v>2068.6281861346747</v>
      </c>
      <c r="G10" s="289">
        <v>12135220.787009241</v>
      </c>
      <c r="H10" s="24">
        <v>65992.706739054207</v>
      </c>
      <c r="I10" s="24">
        <v>5550.3007628256946</v>
      </c>
      <c r="J10" s="24">
        <v>18015.945422571738</v>
      </c>
      <c r="K10" s="24">
        <v>20511.271438214375</v>
      </c>
      <c r="L10" s="24">
        <v>10397.998522111528</v>
      </c>
      <c r="M10" s="24">
        <v>615.19859548591626</v>
      </c>
      <c r="N10" s="24">
        <v>151150.41663580065</v>
      </c>
      <c r="O10" s="24">
        <v>26040.686061364584</v>
      </c>
      <c r="P10" s="70">
        <v>55224.782898181278</v>
      </c>
      <c r="Q10" s="24">
        <v>73275.170489200973</v>
      </c>
      <c r="R10" s="24">
        <v>82113.427916879649</v>
      </c>
      <c r="S10" s="24">
        <v>15617.99651786375</v>
      </c>
      <c r="T10" s="24">
        <v>424291.2041972939</v>
      </c>
      <c r="U10" s="24">
        <v>3642481.4686058783</v>
      </c>
      <c r="V10" s="24">
        <v>814474.36817204929</v>
      </c>
      <c r="W10" s="24">
        <v>7225.4086709239291</v>
      </c>
      <c r="X10" s="24">
        <v>42317.656453031683</v>
      </c>
      <c r="Y10" s="24">
        <v>326882.14998915844</v>
      </c>
      <c r="Z10" s="24">
        <v>10875.213240184694</v>
      </c>
      <c r="AA10" s="24">
        <v>16527.708181170772</v>
      </c>
      <c r="AB10" s="24">
        <v>6904.2262238761869</v>
      </c>
      <c r="AC10" s="24">
        <v>319.6384269067388</v>
      </c>
      <c r="AD10" s="24">
        <v>2.4269727477249057</v>
      </c>
      <c r="AE10" s="24">
        <v>39.266845845648945</v>
      </c>
      <c r="AF10" s="24">
        <v>3379.8490447816071</v>
      </c>
      <c r="AG10" s="24">
        <v>6448.531435574213</v>
      </c>
      <c r="AH10" s="24">
        <v>12287.661854584814</v>
      </c>
      <c r="AI10" s="24">
        <v>13631.228614243317</v>
      </c>
      <c r="AJ10" s="24">
        <v>307.41937391015006</v>
      </c>
      <c r="AK10" s="24">
        <v>3124679.7178753838</v>
      </c>
      <c r="AL10" s="24">
        <v>2.1159447490006925E-2</v>
      </c>
      <c r="AM10" s="24">
        <v>4.9935318934562611E-3</v>
      </c>
      <c r="AN10" s="24">
        <v>30.096271558175999</v>
      </c>
      <c r="AO10" s="24">
        <v>1.5949616346695457</v>
      </c>
      <c r="AP10" s="24">
        <v>174.54944795040876</v>
      </c>
      <c r="AQ10" s="24">
        <v>22.66590802659664</v>
      </c>
      <c r="AR10" s="24">
        <v>22.66590802659664</v>
      </c>
      <c r="AS10" s="24">
        <v>1924.9988540019447</v>
      </c>
      <c r="AT10" s="24">
        <v>51.213053342745717</v>
      </c>
      <c r="AU10" s="24">
        <v>22.683997329523365</v>
      </c>
      <c r="AV10" s="24">
        <v>58.158821009557926</v>
      </c>
      <c r="AW10" s="24">
        <v>6.5011224068362443</v>
      </c>
      <c r="AX10" s="24">
        <v>25.337194987495575</v>
      </c>
      <c r="AY10" s="24">
        <v>60.069417678652684</v>
      </c>
      <c r="AZ10" s="24">
        <v>22.890829699888023</v>
      </c>
      <c r="BA10" s="24">
        <v>68.851382453565193</v>
      </c>
      <c r="BB10" s="24">
        <v>12.426384191716641</v>
      </c>
      <c r="BC10" s="24">
        <v>14737.749722054299</v>
      </c>
      <c r="BD10" s="24">
        <v>4.1845758287937915</v>
      </c>
      <c r="BE10" s="24">
        <v>14.838475560942923</v>
      </c>
      <c r="BF10" s="24">
        <v>556.88175655281373</v>
      </c>
      <c r="BG10" s="24">
        <v>1577989.5043523831</v>
      </c>
      <c r="BH10" s="24">
        <v>581529.57883575815</v>
      </c>
      <c r="BI10" s="24">
        <v>4026160.840860262</v>
      </c>
      <c r="BJ10" s="24">
        <v>36.324890140678832</v>
      </c>
      <c r="BK10" s="24">
        <v>0.45309981886395007</v>
      </c>
      <c r="BL10" s="24">
        <v>0.77185348066085135</v>
      </c>
      <c r="BM10" s="24">
        <v>76873.521489852952</v>
      </c>
      <c r="BN10" s="24">
        <v>1784.4842592553382</v>
      </c>
      <c r="BO10" s="24">
        <v>307.24135671020235</v>
      </c>
      <c r="BP10" s="24">
        <v>327.26993394882737</v>
      </c>
      <c r="BQ10" s="24">
        <v>0</v>
      </c>
      <c r="BR10" s="25">
        <v>55979041.789561331</v>
      </c>
      <c r="BS10" s="26">
        <v>253475212.85754469</v>
      </c>
      <c r="BT10" s="26">
        <v>1436.0708315763864</v>
      </c>
      <c r="BU10" s="26">
        <v>793.60575378662475</v>
      </c>
      <c r="BV10" s="26">
        <v>0</v>
      </c>
      <c r="BW10" s="26">
        <v>0</v>
      </c>
      <c r="BX10" s="27">
        <v>253475855.32262248</v>
      </c>
      <c r="BY10" s="26">
        <v>18785.172223201727</v>
      </c>
      <c r="BZ10" s="26">
        <v>8066161.6230702372</v>
      </c>
      <c r="CA10" s="27">
        <v>8084946.7952934392</v>
      </c>
      <c r="CB10" s="26">
        <v>14032726.502731871</v>
      </c>
      <c r="CC10" s="26">
        <v>0</v>
      </c>
      <c r="CD10" s="26">
        <v>1831.4481895857534</v>
      </c>
      <c r="CE10" s="27">
        <v>14034557.950921457</v>
      </c>
      <c r="CF10" s="25">
        <v>275595360.0688374</v>
      </c>
      <c r="CG10" s="26">
        <v>41752304.980893008</v>
      </c>
      <c r="CH10" s="25">
        <v>289822096.87750572</v>
      </c>
      <c r="CI10" s="28" t="s">
        <v>109</v>
      </c>
      <c r="CJ10" s="22">
        <v>10</v>
      </c>
      <c r="CK10" s="2"/>
      <c r="CL10" s="2"/>
      <c r="CM10" s="30"/>
    </row>
    <row r="11" spans="1:91" s="31" customFormat="1" ht="32" customHeight="1" x14ac:dyDescent="0.2">
      <c r="A11" s="22">
        <v>11</v>
      </c>
      <c r="B11" s="23" t="s">
        <v>30</v>
      </c>
      <c r="C11" s="24">
        <v>10321.370771186033</v>
      </c>
      <c r="D11" s="24">
        <v>4902.558429946479</v>
      </c>
      <c r="E11" s="24">
        <v>1101.0256110551375</v>
      </c>
      <c r="F11" s="24">
        <v>1244.8587673034281</v>
      </c>
      <c r="G11" s="289">
        <v>19152.171505450689</v>
      </c>
      <c r="H11" s="24">
        <v>41718.858167340019</v>
      </c>
      <c r="I11" s="24">
        <v>1225.4020610584353</v>
      </c>
      <c r="J11" s="24">
        <v>8815.2181590213695</v>
      </c>
      <c r="K11" s="24">
        <v>1884.737565002305</v>
      </c>
      <c r="L11" s="24">
        <v>10633.899241017552</v>
      </c>
      <c r="M11" s="24">
        <v>732.58091893931066</v>
      </c>
      <c r="N11" s="24">
        <v>11361.647172096928</v>
      </c>
      <c r="O11" s="24">
        <v>1598.5391532768285</v>
      </c>
      <c r="P11" s="70">
        <v>29591.406277175349</v>
      </c>
      <c r="Q11" s="24">
        <v>46599.210456554749</v>
      </c>
      <c r="R11" s="24">
        <v>38387.521872141173</v>
      </c>
      <c r="S11" s="24">
        <v>20689.269044899291</v>
      </c>
      <c r="T11" s="24">
        <v>24667.511464638577</v>
      </c>
      <c r="U11" s="24">
        <v>3769.284634968848</v>
      </c>
      <c r="V11" s="24">
        <v>1477.6181328130328</v>
      </c>
      <c r="W11" s="24">
        <v>1516.0130656875917</v>
      </c>
      <c r="X11" s="24">
        <v>5869.5474450824649</v>
      </c>
      <c r="Y11" s="24">
        <v>2019.6495573967104</v>
      </c>
      <c r="Z11" s="24">
        <v>2232.5885063974256</v>
      </c>
      <c r="AA11" s="24">
        <v>557.827984713815</v>
      </c>
      <c r="AB11" s="24">
        <v>1236.1322976852275</v>
      </c>
      <c r="AC11" s="24">
        <v>119.39700043438667</v>
      </c>
      <c r="AD11" s="24">
        <v>4.7628352320291141</v>
      </c>
      <c r="AE11" s="24">
        <v>77.238719616489519</v>
      </c>
      <c r="AF11" s="24">
        <v>2231.1090743012546</v>
      </c>
      <c r="AG11" s="24">
        <v>0</v>
      </c>
      <c r="AH11" s="24">
        <v>8045.5286610813564</v>
      </c>
      <c r="AI11" s="24">
        <v>8293.1271930913153</v>
      </c>
      <c r="AJ11" s="24">
        <v>11.816459033295571</v>
      </c>
      <c r="AK11" s="24">
        <v>617364.59048915131</v>
      </c>
      <c r="AL11" s="24">
        <v>0</v>
      </c>
      <c r="AM11" s="24">
        <v>0</v>
      </c>
      <c r="AN11" s="24">
        <v>0</v>
      </c>
      <c r="AO11" s="24">
        <v>0</v>
      </c>
      <c r="AP11" s="24">
        <v>0</v>
      </c>
      <c r="AQ11" s="24">
        <v>0</v>
      </c>
      <c r="AR11" s="24">
        <v>0</v>
      </c>
      <c r="AS11" s="24">
        <v>3151.6019665807703</v>
      </c>
      <c r="AT11" s="24">
        <v>0</v>
      </c>
      <c r="AU11" s="24">
        <v>0</v>
      </c>
      <c r="AV11" s="24">
        <v>0</v>
      </c>
      <c r="AW11" s="24">
        <v>0</v>
      </c>
      <c r="AX11" s="24">
        <v>0</v>
      </c>
      <c r="AY11" s="24">
        <v>0</v>
      </c>
      <c r="AZ11" s="24">
        <v>0</v>
      </c>
      <c r="BA11" s="24">
        <v>57.819334102344357</v>
      </c>
      <c r="BB11" s="24">
        <v>10.596254590176592</v>
      </c>
      <c r="BC11" s="24">
        <v>2077.681872500983</v>
      </c>
      <c r="BD11" s="24">
        <v>0</v>
      </c>
      <c r="BE11" s="24">
        <v>23.477239290408015</v>
      </c>
      <c r="BF11" s="24">
        <v>823.44065432533375</v>
      </c>
      <c r="BG11" s="24">
        <v>1062.4833268778737</v>
      </c>
      <c r="BH11" s="24">
        <v>10868.900533537009</v>
      </c>
      <c r="BI11" s="24">
        <v>130688.19781694921</v>
      </c>
      <c r="BJ11" s="24">
        <v>27.218333455089819</v>
      </c>
      <c r="BK11" s="24">
        <v>0.24920596539930442</v>
      </c>
      <c r="BL11" s="24">
        <v>0.91860246896696762</v>
      </c>
      <c r="BM11" s="24">
        <v>4124.725154310363</v>
      </c>
      <c r="BN11" s="24">
        <v>2584.4065494577571</v>
      </c>
      <c r="BO11" s="24">
        <v>434.98103867449208</v>
      </c>
      <c r="BP11" s="24">
        <v>340.74051888479931</v>
      </c>
      <c r="BQ11" s="24">
        <v>0</v>
      </c>
      <c r="BR11" s="25">
        <v>1085731.4570967609</v>
      </c>
      <c r="BS11" s="26">
        <v>22001707.249139998</v>
      </c>
      <c r="BT11" s="26">
        <v>506641.57862210402</v>
      </c>
      <c r="BU11" s="26">
        <v>447375.91107042279</v>
      </c>
      <c r="BV11" s="26">
        <v>0</v>
      </c>
      <c r="BW11" s="26">
        <v>0</v>
      </c>
      <c r="BX11" s="27">
        <v>22060972.91669168</v>
      </c>
      <c r="BY11" s="26">
        <v>0</v>
      </c>
      <c r="BZ11" s="26">
        <v>475393.10635163565</v>
      </c>
      <c r="CA11" s="27">
        <v>475393.10635163565</v>
      </c>
      <c r="CB11" s="26">
        <v>122094.32317911438</v>
      </c>
      <c r="CC11" s="26">
        <v>0</v>
      </c>
      <c r="CD11" s="26">
        <v>646129.55122678087</v>
      </c>
      <c r="CE11" s="27">
        <v>768223.87440589524</v>
      </c>
      <c r="CF11" s="25">
        <v>23304589.89744921</v>
      </c>
      <c r="CG11" s="26">
        <v>754457.96792493563</v>
      </c>
      <c r="CH11" s="25">
        <v>23635863.386621036</v>
      </c>
      <c r="CI11" s="28" t="s">
        <v>110</v>
      </c>
      <c r="CJ11" s="22">
        <v>11</v>
      </c>
      <c r="CK11" s="2"/>
      <c r="CL11" s="2"/>
      <c r="CM11" s="30"/>
    </row>
    <row r="12" spans="1:91" s="31" customFormat="1" ht="32" customHeight="1" x14ac:dyDescent="0.2">
      <c r="A12" s="22">
        <v>12</v>
      </c>
      <c r="B12" s="23" t="s">
        <v>31</v>
      </c>
      <c r="C12" s="24">
        <v>357673.44971882616</v>
      </c>
      <c r="D12" s="24">
        <v>179417.67439471229</v>
      </c>
      <c r="E12" s="24">
        <v>0</v>
      </c>
      <c r="F12" s="24">
        <v>0</v>
      </c>
      <c r="G12" s="289">
        <v>674338.92446498491</v>
      </c>
      <c r="H12" s="24">
        <v>46381.543405341239</v>
      </c>
      <c r="I12" s="24">
        <v>159901.65795906348</v>
      </c>
      <c r="J12" s="24">
        <v>13761.196626589825</v>
      </c>
      <c r="K12" s="24">
        <v>19748.623143120803</v>
      </c>
      <c r="L12" s="24">
        <v>1283.5550330560948</v>
      </c>
      <c r="M12" s="24">
        <v>248.10951000959653</v>
      </c>
      <c r="N12" s="24">
        <v>42133.522398435365</v>
      </c>
      <c r="O12" s="24">
        <v>26215.876517811135</v>
      </c>
      <c r="P12" s="70">
        <v>42349.170175575397</v>
      </c>
      <c r="Q12" s="24">
        <v>25945.919611084435</v>
      </c>
      <c r="R12" s="24">
        <v>57118.507934131732</v>
      </c>
      <c r="S12" s="24">
        <v>4181.6118651693296</v>
      </c>
      <c r="T12" s="24">
        <v>426955.68724119826</v>
      </c>
      <c r="U12" s="24">
        <v>35998.078562906361</v>
      </c>
      <c r="V12" s="24">
        <v>18964.330367865554</v>
      </c>
      <c r="W12" s="24">
        <v>6651.4903408165164</v>
      </c>
      <c r="X12" s="24">
        <v>40598.110100721489</v>
      </c>
      <c r="Y12" s="24">
        <v>52625.678253239923</v>
      </c>
      <c r="Z12" s="24">
        <v>9879.4272858481218</v>
      </c>
      <c r="AA12" s="24">
        <v>16943.88698555345</v>
      </c>
      <c r="AB12" s="24">
        <v>6496.9488815038749</v>
      </c>
      <c r="AC12" s="24">
        <v>264.10914979623504</v>
      </c>
      <c r="AD12" s="24">
        <v>1.0227819997412266</v>
      </c>
      <c r="AE12" s="24">
        <v>0</v>
      </c>
      <c r="AF12" s="24">
        <v>0</v>
      </c>
      <c r="AG12" s="24">
        <v>0</v>
      </c>
      <c r="AH12" s="24">
        <v>0</v>
      </c>
      <c r="AI12" s="24">
        <v>0</v>
      </c>
      <c r="AJ12" s="24">
        <v>0</v>
      </c>
      <c r="AK12" s="24">
        <v>301055.56912765076</v>
      </c>
      <c r="AL12" s="24">
        <v>0</v>
      </c>
      <c r="AM12" s="24">
        <v>0</v>
      </c>
      <c r="AN12" s="24">
        <v>0</v>
      </c>
      <c r="AO12" s="24">
        <v>0</v>
      </c>
      <c r="AP12" s="24">
        <v>0</v>
      </c>
      <c r="AQ12" s="24">
        <v>0</v>
      </c>
      <c r="AR12" s="24">
        <v>0</v>
      </c>
      <c r="AS12" s="24">
        <v>0</v>
      </c>
      <c r="AT12" s="24">
        <v>0</v>
      </c>
      <c r="AU12" s="24">
        <v>0</v>
      </c>
      <c r="AV12" s="24">
        <v>0</v>
      </c>
      <c r="AW12" s="24">
        <v>0</v>
      </c>
      <c r="AX12" s="24">
        <v>0</v>
      </c>
      <c r="AY12" s="24">
        <v>0</v>
      </c>
      <c r="AZ12" s="24">
        <v>0</v>
      </c>
      <c r="BA12" s="24">
        <v>0</v>
      </c>
      <c r="BB12" s="24">
        <v>0</v>
      </c>
      <c r="BC12" s="24">
        <v>0</v>
      </c>
      <c r="BD12" s="24">
        <v>0</v>
      </c>
      <c r="BE12" s="24">
        <v>0</v>
      </c>
      <c r="BF12" s="24">
        <v>0</v>
      </c>
      <c r="BG12" s="24">
        <v>886.68854510009442</v>
      </c>
      <c r="BH12" s="24">
        <v>68.925596613820446</v>
      </c>
      <c r="BI12" s="24">
        <v>0</v>
      </c>
      <c r="BJ12" s="24">
        <v>0</v>
      </c>
      <c r="BK12" s="24">
        <v>0</v>
      </c>
      <c r="BL12" s="24">
        <v>0</v>
      </c>
      <c r="BM12" s="24">
        <v>0</v>
      </c>
      <c r="BN12" s="24">
        <v>0</v>
      </c>
      <c r="BO12" s="24">
        <v>0</v>
      </c>
      <c r="BP12" s="24">
        <v>0</v>
      </c>
      <c r="BQ12" s="24">
        <v>0</v>
      </c>
      <c r="BR12" s="25">
        <v>2568089.2959787259</v>
      </c>
      <c r="BS12" s="26">
        <v>10644041.784991536</v>
      </c>
      <c r="BT12" s="26">
        <v>405248.58856284874</v>
      </c>
      <c r="BU12" s="26">
        <v>72637.793404993077</v>
      </c>
      <c r="BV12" s="26">
        <v>0</v>
      </c>
      <c r="BW12" s="26">
        <v>0</v>
      </c>
      <c r="BX12" s="27">
        <v>10976652.580149392</v>
      </c>
      <c r="BY12" s="26">
        <v>0</v>
      </c>
      <c r="BZ12" s="26">
        <v>85599.297976961083</v>
      </c>
      <c r="CA12" s="27">
        <v>85599.297976961083</v>
      </c>
      <c r="CB12" s="26">
        <v>798384.26384387293</v>
      </c>
      <c r="CC12" s="26">
        <v>0</v>
      </c>
      <c r="CD12" s="26">
        <v>516821.16058363329</v>
      </c>
      <c r="CE12" s="27">
        <v>1315205.4244275063</v>
      </c>
      <c r="CF12" s="25">
        <v>12377457.302553859</v>
      </c>
      <c r="CG12" s="26">
        <v>1898259.9746637265</v>
      </c>
      <c r="CH12" s="25">
        <v>13047286.623868857</v>
      </c>
      <c r="CI12" s="28" t="s">
        <v>111</v>
      </c>
      <c r="CJ12" s="22">
        <v>12</v>
      </c>
      <c r="CK12" s="2"/>
      <c r="CL12" s="2"/>
      <c r="CM12" s="30"/>
    </row>
    <row r="13" spans="1:91" s="31" customFormat="1" ht="32" customHeight="1" x14ac:dyDescent="0.2">
      <c r="A13" s="35">
        <v>13</v>
      </c>
      <c r="B13" s="36" t="s">
        <v>32</v>
      </c>
      <c r="C13" s="24">
        <v>157764.89915948699</v>
      </c>
      <c r="D13" s="24">
        <v>78887.05609256959</v>
      </c>
      <c r="E13" s="24">
        <v>948.55105727882301</v>
      </c>
      <c r="F13" s="24">
        <v>10111.568877292599</v>
      </c>
      <c r="G13" s="289">
        <v>303392.58180927945</v>
      </c>
      <c r="H13" s="24">
        <v>54935.679526160304</v>
      </c>
      <c r="I13" s="24">
        <v>17390.95539608812</v>
      </c>
      <c r="J13" s="24">
        <v>8192501.8524398729</v>
      </c>
      <c r="K13" s="24">
        <v>4827701.0111285225</v>
      </c>
      <c r="L13" s="24">
        <v>148927.75983835215</v>
      </c>
      <c r="M13" s="24">
        <v>13172.235648767772</v>
      </c>
      <c r="N13" s="24">
        <v>446365.76866626681</v>
      </c>
      <c r="O13" s="24">
        <v>19555.648863080442</v>
      </c>
      <c r="P13" s="70">
        <v>87574.921026468481</v>
      </c>
      <c r="Q13" s="24">
        <v>160254.40525827662</v>
      </c>
      <c r="R13" s="24">
        <v>168866.41017934395</v>
      </c>
      <c r="S13" s="24">
        <v>172758.41008208937</v>
      </c>
      <c r="T13" s="24">
        <v>220142.78586415932</v>
      </c>
      <c r="U13" s="24">
        <v>28836.697181774176</v>
      </c>
      <c r="V13" s="24">
        <v>23493.687901139052</v>
      </c>
      <c r="W13" s="24">
        <v>22181.426500905545</v>
      </c>
      <c r="X13" s="24">
        <v>23712.902469776811</v>
      </c>
      <c r="Y13" s="24">
        <v>26421.24300480535</v>
      </c>
      <c r="Z13" s="24">
        <v>289268.52714209736</v>
      </c>
      <c r="AA13" s="24">
        <v>16821.251777114689</v>
      </c>
      <c r="AB13" s="24">
        <v>939241.90871630027</v>
      </c>
      <c r="AC13" s="24">
        <v>1489.2112782920121</v>
      </c>
      <c r="AD13" s="24">
        <v>1.1346077287895964</v>
      </c>
      <c r="AE13" s="24">
        <v>26.75127921960609</v>
      </c>
      <c r="AF13" s="24">
        <v>328.90680468875456</v>
      </c>
      <c r="AG13" s="24">
        <v>33495.639308799749</v>
      </c>
      <c r="AH13" s="24">
        <v>296159.59415447176</v>
      </c>
      <c r="AI13" s="24">
        <v>1070263.0854338217</v>
      </c>
      <c r="AJ13" s="24">
        <v>417.52481443910716</v>
      </c>
      <c r="AK13" s="24">
        <v>1812358.8511167879</v>
      </c>
      <c r="AL13" s="24">
        <v>6.5555235069995207E-2</v>
      </c>
      <c r="AM13" s="24">
        <v>1.5470732742886772E-2</v>
      </c>
      <c r="AN13" s="24">
        <v>0.85829795832696809</v>
      </c>
      <c r="AO13" s="24">
        <v>1.7593822222790974</v>
      </c>
      <c r="AP13" s="24">
        <v>103.59664902633993</v>
      </c>
      <c r="AQ13" s="24">
        <v>23.003678622312833</v>
      </c>
      <c r="AR13" s="24">
        <v>23.003678622312833</v>
      </c>
      <c r="AS13" s="24">
        <v>6140.5125041110505</v>
      </c>
      <c r="AT13" s="24">
        <v>177.67117640969909</v>
      </c>
      <c r="AU13" s="24">
        <v>88.782690663920818</v>
      </c>
      <c r="AV13" s="24">
        <v>267031.27086814895</v>
      </c>
      <c r="AW13" s="24">
        <v>2.978708437091159</v>
      </c>
      <c r="AX13" s="24">
        <v>112678.19796960447</v>
      </c>
      <c r="AY13" s="24">
        <v>91912.895706617681</v>
      </c>
      <c r="AZ13" s="24">
        <v>1164.8734534160837</v>
      </c>
      <c r="BA13" s="24">
        <v>184.57536736002794</v>
      </c>
      <c r="BB13" s="24">
        <v>21.739050951708268</v>
      </c>
      <c r="BC13" s="24">
        <v>775373.69317023933</v>
      </c>
      <c r="BD13" s="24">
        <v>15.024418318612762</v>
      </c>
      <c r="BE13" s="24">
        <v>8762.4366596622403</v>
      </c>
      <c r="BF13" s="24">
        <v>144939.57681333035</v>
      </c>
      <c r="BG13" s="24">
        <v>61134.34390539903</v>
      </c>
      <c r="BH13" s="24">
        <v>35645.728475921365</v>
      </c>
      <c r="BI13" s="24">
        <v>845952.95979624032</v>
      </c>
      <c r="BJ13" s="24">
        <v>627.15159952803754</v>
      </c>
      <c r="BK13" s="24">
        <v>0.50517714908024025</v>
      </c>
      <c r="BL13" s="24">
        <v>1.1078584834407925</v>
      </c>
      <c r="BM13" s="24">
        <v>18751.649793216347</v>
      </c>
      <c r="BN13" s="24">
        <v>854071.15880911238</v>
      </c>
      <c r="BO13" s="24">
        <v>280.94733782281725</v>
      </c>
      <c r="BP13" s="24">
        <v>805.16368876189642</v>
      </c>
      <c r="BQ13" s="24">
        <v>0</v>
      </c>
      <c r="BR13" s="25">
        <v>22891688.092116829</v>
      </c>
      <c r="BS13" s="26">
        <v>9409869.2059871331</v>
      </c>
      <c r="BT13" s="26">
        <v>39972.320913426985</v>
      </c>
      <c r="BU13" s="26">
        <v>17344.758645668349</v>
      </c>
      <c r="BV13" s="26">
        <v>0</v>
      </c>
      <c r="BW13" s="26">
        <v>0</v>
      </c>
      <c r="BX13" s="27">
        <v>9432496.768254891</v>
      </c>
      <c r="BY13" s="26">
        <v>51318.247253601527</v>
      </c>
      <c r="BZ13" s="26">
        <v>1178658.1378291771</v>
      </c>
      <c r="CA13" s="27">
        <v>1229976.3850827785</v>
      </c>
      <c r="CB13" s="26">
        <v>6990178.7479653414</v>
      </c>
      <c r="CC13" s="26">
        <v>0</v>
      </c>
      <c r="CD13" s="26">
        <v>50977.454009059176</v>
      </c>
      <c r="CE13" s="27">
        <v>7041156.2019744003</v>
      </c>
      <c r="CF13" s="25">
        <v>17703629.355312068</v>
      </c>
      <c r="CG13" s="26">
        <v>8656750.641561849</v>
      </c>
      <c r="CH13" s="25">
        <v>31938566.805867046</v>
      </c>
      <c r="CI13" s="37" t="s">
        <v>112</v>
      </c>
      <c r="CJ13" s="35">
        <v>13</v>
      </c>
      <c r="CK13" s="2"/>
      <c r="CL13" s="2"/>
      <c r="CM13" s="30"/>
    </row>
    <row r="14" spans="1:91" s="31" customFormat="1" ht="32" customHeight="1" x14ac:dyDescent="0.2">
      <c r="A14" s="38">
        <v>14</v>
      </c>
      <c r="B14" s="36" t="s">
        <v>33</v>
      </c>
      <c r="C14" s="24">
        <v>102308.89974857811</v>
      </c>
      <c r="D14" s="24">
        <v>51320.619058514261</v>
      </c>
      <c r="E14" s="24">
        <v>17.917929186353319</v>
      </c>
      <c r="F14" s="24">
        <v>6101.2441245210393</v>
      </c>
      <c r="G14" s="289">
        <v>192887.85887760701</v>
      </c>
      <c r="H14" s="24">
        <v>14200.055824591072</v>
      </c>
      <c r="I14" s="24">
        <v>1085.0521844190698</v>
      </c>
      <c r="J14" s="24">
        <v>64176.338180521001</v>
      </c>
      <c r="K14" s="24">
        <v>105027.49977307147</v>
      </c>
      <c r="L14" s="24">
        <v>2009.5289226860345</v>
      </c>
      <c r="M14" s="24">
        <v>267.1473191111744</v>
      </c>
      <c r="N14" s="24">
        <v>17242.78758141879</v>
      </c>
      <c r="O14" s="24">
        <v>7687.9724804281814</v>
      </c>
      <c r="P14" s="70">
        <v>33550.948591653083</v>
      </c>
      <c r="Q14" s="24">
        <v>11460.424485583433</v>
      </c>
      <c r="R14" s="24">
        <v>20109.018366594453</v>
      </c>
      <c r="S14" s="24">
        <v>3661.5702025141218</v>
      </c>
      <c r="T14" s="24">
        <v>127696.98499088136</v>
      </c>
      <c r="U14" s="24">
        <v>32836.431903978424</v>
      </c>
      <c r="V14" s="24">
        <v>6584.895954501435</v>
      </c>
      <c r="W14" s="24">
        <v>3537.2518620174178</v>
      </c>
      <c r="X14" s="24">
        <v>13303.055904097846</v>
      </c>
      <c r="Y14" s="24">
        <v>15485.94482435606</v>
      </c>
      <c r="Z14" s="24">
        <v>7230.93790158915</v>
      </c>
      <c r="AA14" s="24">
        <v>4925.0947715290395</v>
      </c>
      <c r="AB14" s="24">
        <v>9259.1428114205919</v>
      </c>
      <c r="AC14" s="24">
        <v>158.21749472874458</v>
      </c>
      <c r="AD14" s="24">
        <v>19.266066087853265</v>
      </c>
      <c r="AE14" s="24">
        <v>11.532670063873157</v>
      </c>
      <c r="AF14" s="24">
        <v>80.568482749925792</v>
      </c>
      <c r="AG14" s="24">
        <v>0</v>
      </c>
      <c r="AH14" s="24">
        <v>44681.596974916734</v>
      </c>
      <c r="AI14" s="24">
        <v>51052.171943989844</v>
      </c>
      <c r="AJ14" s="24">
        <v>80.483576933367985</v>
      </c>
      <c r="AK14" s="24">
        <v>35194.998113738147</v>
      </c>
      <c r="AL14" s="24">
        <v>0</v>
      </c>
      <c r="AM14" s="24">
        <v>0</v>
      </c>
      <c r="AN14" s="24">
        <v>0</v>
      </c>
      <c r="AO14" s="24">
        <v>0</v>
      </c>
      <c r="AP14" s="24">
        <v>0</v>
      </c>
      <c r="AQ14" s="24">
        <v>0</v>
      </c>
      <c r="AR14" s="24">
        <v>0</v>
      </c>
      <c r="AS14" s="24">
        <v>602.05918186460144</v>
      </c>
      <c r="AT14" s="24">
        <v>2046.7482464905888</v>
      </c>
      <c r="AU14" s="24">
        <v>1247.7521267701898</v>
      </c>
      <c r="AV14" s="24">
        <v>10303.875087689721</v>
      </c>
      <c r="AW14" s="24">
        <v>16.768891121456846</v>
      </c>
      <c r="AX14" s="24">
        <v>4347.9443445253673</v>
      </c>
      <c r="AY14" s="24">
        <v>3538.3912150744295</v>
      </c>
      <c r="AZ14" s="24">
        <v>44.837753950874479</v>
      </c>
      <c r="BA14" s="24">
        <v>721.55449753352934</v>
      </c>
      <c r="BB14" s="24">
        <v>132.23561418086689</v>
      </c>
      <c r="BC14" s="24">
        <v>31330.877725187231</v>
      </c>
      <c r="BD14" s="24">
        <v>0</v>
      </c>
      <c r="BE14" s="24">
        <v>354.03038514616912</v>
      </c>
      <c r="BF14" s="24">
        <v>5829.0487546101485</v>
      </c>
      <c r="BG14" s="24">
        <v>43299.161805369891</v>
      </c>
      <c r="BH14" s="24">
        <v>25439.961915389576</v>
      </c>
      <c r="BI14" s="24">
        <v>95968.191348464999</v>
      </c>
      <c r="BJ14" s="24">
        <v>140.12772597349399</v>
      </c>
      <c r="BK14" s="24">
        <v>0</v>
      </c>
      <c r="BL14" s="24">
        <v>0</v>
      </c>
      <c r="BM14" s="24">
        <v>4723.6599294801345</v>
      </c>
      <c r="BN14" s="24">
        <v>64967.726227630585</v>
      </c>
      <c r="BO14" s="24">
        <v>8854.1657679835844</v>
      </c>
      <c r="BP14" s="24">
        <v>5203.9407293021695</v>
      </c>
      <c r="BQ14" s="24">
        <v>0</v>
      </c>
      <c r="BR14" s="25">
        <v>1294366.5191723183</v>
      </c>
      <c r="BS14" s="26">
        <v>20485723.280286133</v>
      </c>
      <c r="BT14" s="26">
        <v>3411166.411540674</v>
      </c>
      <c r="BU14" s="26">
        <v>1480299.5251799696</v>
      </c>
      <c r="BV14" s="26">
        <v>0</v>
      </c>
      <c r="BW14" s="26">
        <v>0</v>
      </c>
      <c r="BX14" s="27">
        <v>22416590.166646834</v>
      </c>
      <c r="BY14" s="26">
        <v>0</v>
      </c>
      <c r="BZ14" s="26">
        <v>298964.68307299184</v>
      </c>
      <c r="CA14" s="27">
        <v>298964.68307299184</v>
      </c>
      <c r="CB14" s="26">
        <v>7801662.4910085853</v>
      </c>
      <c r="CC14" s="26">
        <v>0</v>
      </c>
      <c r="CD14" s="26">
        <v>4350324.796955945</v>
      </c>
      <c r="CE14" s="27">
        <v>12151987.28796453</v>
      </c>
      <c r="CF14" s="25">
        <v>34867542.13768436</v>
      </c>
      <c r="CG14" s="26">
        <v>6964839.6111476291</v>
      </c>
      <c r="CH14" s="25">
        <v>29197069.045709051</v>
      </c>
      <c r="CI14" s="39" t="s">
        <v>113</v>
      </c>
      <c r="CJ14" s="38">
        <v>14</v>
      </c>
      <c r="CK14" s="2"/>
      <c r="CL14" s="2"/>
      <c r="CM14" s="30"/>
    </row>
    <row r="15" spans="1:91" s="31" customFormat="1" ht="32" customHeight="1" x14ac:dyDescent="0.2">
      <c r="A15" s="38">
        <v>15</v>
      </c>
      <c r="B15" s="36" t="s">
        <v>34</v>
      </c>
      <c r="C15" s="24">
        <v>2565.0493587666829</v>
      </c>
      <c r="D15" s="24">
        <v>1286.6909460301936</v>
      </c>
      <c r="E15" s="24">
        <v>4.5860594676069208</v>
      </c>
      <c r="F15" s="24">
        <v>14.462728221811608</v>
      </c>
      <c r="G15" s="289">
        <v>4836.0106750464374</v>
      </c>
      <c r="H15" s="24">
        <v>333.45193924098771</v>
      </c>
      <c r="I15" s="24">
        <v>21.192086436121528</v>
      </c>
      <c r="J15" s="24">
        <v>699.89495217903777</v>
      </c>
      <c r="K15" s="24">
        <v>18789.083200896755</v>
      </c>
      <c r="L15" s="24">
        <v>115094.23618236244</v>
      </c>
      <c r="M15" s="24">
        <v>89.84694232348572</v>
      </c>
      <c r="N15" s="24">
        <v>380.67208647744098</v>
      </c>
      <c r="O15" s="24">
        <v>1413.2193253850719</v>
      </c>
      <c r="P15" s="70">
        <v>347.99044170274931</v>
      </c>
      <c r="Q15" s="24">
        <v>357.8009093958749</v>
      </c>
      <c r="R15" s="24">
        <v>569.95891992215923</v>
      </c>
      <c r="S15" s="24">
        <v>256.10112999813566</v>
      </c>
      <c r="T15" s="24">
        <v>3430.3317718664489</v>
      </c>
      <c r="U15" s="24">
        <v>535.63021804883215</v>
      </c>
      <c r="V15" s="24">
        <v>220.58617008269556</v>
      </c>
      <c r="W15" s="24">
        <v>538.22846298717502</v>
      </c>
      <c r="X15" s="24">
        <v>424.96901848208859</v>
      </c>
      <c r="Y15" s="24">
        <v>407.00027028778015</v>
      </c>
      <c r="Z15" s="24">
        <v>247.00662186483049</v>
      </c>
      <c r="AA15" s="24">
        <v>150.50637911852945</v>
      </c>
      <c r="AB15" s="24">
        <v>1236.4075006395847</v>
      </c>
      <c r="AC15" s="24">
        <v>11.349760762500317</v>
      </c>
      <c r="AD15" s="24">
        <v>0.70584407527505932</v>
      </c>
      <c r="AE15" s="24">
        <v>2.5858916541711897E-2</v>
      </c>
      <c r="AF15" s="24">
        <v>0.21401129099988608</v>
      </c>
      <c r="AG15" s="24">
        <v>0</v>
      </c>
      <c r="AH15" s="24">
        <v>3286.417407458222</v>
      </c>
      <c r="AI15" s="24">
        <v>393.98869000148142</v>
      </c>
      <c r="AJ15" s="24">
        <v>9.7969476986200181</v>
      </c>
      <c r="AK15" s="24">
        <v>810.67937591215889</v>
      </c>
      <c r="AL15" s="24">
        <v>0</v>
      </c>
      <c r="AM15" s="24">
        <v>0</v>
      </c>
      <c r="AN15" s="24">
        <v>0</v>
      </c>
      <c r="AO15" s="24">
        <v>0</v>
      </c>
      <c r="AP15" s="24">
        <v>0</v>
      </c>
      <c r="AQ15" s="24">
        <v>0</v>
      </c>
      <c r="AR15" s="24">
        <v>0</v>
      </c>
      <c r="AS15" s="24">
        <v>0.68856958883192998</v>
      </c>
      <c r="AT15" s="24">
        <v>1.5382483499475972</v>
      </c>
      <c r="AU15" s="24">
        <v>0.93775707561437183</v>
      </c>
      <c r="AV15" s="24">
        <v>6.3456144915007373</v>
      </c>
      <c r="AW15" s="24">
        <v>1.2602780601991633E-2</v>
      </c>
      <c r="AX15" s="24">
        <v>2.6776701392490523</v>
      </c>
      <c r="AY15" s="24">
        <v>2.1791089643352373</v>
      </c>
      <c r="AZ15" s="24">
        <v>2.7613213360567608E-2</v>
      </c>
      <c r="BA15" s="24">
        <v>0.4572640868012473</v>
      </c>
      <c r="BB15" s="24">
        <v>8.3800457994104502E-2</v>
      </c>
      <c r="BC15" s="24">
        <v>16.431342886291365</v>
      </c>
      <c r="BD15" s="24">
        <v>0</v>
      </c>
      <c r="BE15" s="24">
        <v>0.18566969944241327</v>
      </c>
      <c r="BF15" s="24">
        <v>3.05701932860027</v>
      </c>
      <c r="BG15" s="24">
        <v>68.955188441973391</v>
      </c>
      <c r="BH15" s="24">
        <v>12.171127087261926</v>
      </c>
      <c r="BI15" s="24">
        <v>68.444636243472971</v>
      </c>
      <c r="BJ15" s="24">
        <v>1.4741444889530038E-2</v>
      </c>
      <c r="BK15" s="24">
        <v>1.3496990956986807E-4</v>
      </c>
      <c r="BL15" s="24">
        <v>1.5927997144282535E-3</v>
      </c>
      <c r="BM15" s="24">
        <v>1.4683623883488339</v>
      </c>
      <c r="BN15" s="24">
        <v>62.834960982502444</v>
      </c>
      <c r="BO15" s="24">
        <v>11.123556045205385</v>
      </c>
      <c r="BP15" s="24">
        <v>1.3198060245170402</v>
      </c>
      <c r="BQ15" s="24">
        <v>0</v>
      </c>
      <c r="BR15" s="25">
        <v>159025.04858083717</v>
      </c>
      <c r="BS15" s="26">
        <v>8937945.9345482346</v>
      </c>
      <c r="BT15" s="26">
        <v>652963.31009924226</v>
      </c>
      <c r="BU15" s="26">
        <v>389122.55386219331</v>
      </c>
      <c r="BV15" s="26">
        <v>0</v>
      </c>
      <c r="BW15" s="26">
        <v>0</v>
      </c>
      <c r="BX15" s="27">
        <v>9201786.6907852832</v>
      </c>
      <c r="BY15" s="26">
        <v>7061.224197496439</v>
      </c>
      <c r="BZ15" s="26">
        <v>249246.87072972546</v>
      </c>
      <c r="CA15" s="27">
        <v>256308.09492722189</v>
      </c>
      <c r="CB15" s="26">
        <v>671275.54204401909</v>
      </c>
      <c r="CC15" s="26">
        <v>0</v>
      </c>
      <c r="CD15" s="26">
        <v>832736.41233591805</v>
      </c>
      <c r="CE15" s="27">
        <v>1504011.9543799371</v>
      </c>
      <c r="CF15" s="25">
        <v>10962106.740092441</v>
      </c>
      <c r="CG15" s="26">
        <v>1528552.0310307408</v>
      </c>
      <c r="CH15" s="25">
        <v>9592579.7576425374</v>
      </c>
      <c r="CI15" s="39" t="s">
        <v>114</v>
      </c>
      <c r="CJ15" s="38">
        <v>15</v>
      </c>
      <c r="CK15" s="2"/>
      <c r="CL15" s="2"/>
      <c r="CM15" s="30"/>
    </row>
    <row r="16" spans="1:91" s="31" customFormat="1" ht="32" customHeight="1" x14ac:dyDescent="0.2">
      <c r="A16" s="38">
        <v>16</v>
      </c>
      <c r="B16" s="36" t="s">
        <v>35</v>
      </c>
      <c r="C16" s="24">
        <v>283157.0194103698</v>
      </c>
      <c r="D16" s="24">
        <v>8832.553560475526</v>
      </c>
      <c r="E16" s="24">
        <v>13677.17938792211</v>
      </c>
      <c r="F16" s="24">
        <v>28134.402500855806</v>
      </c>
      <c r="G16" s="289">
        <v>59361.955741557176</v>
      </c>
      <c r="H16" s="24">
        <v>34885.311872347287</v>
      </c>
      <c r="I16" s="24">
        <v>34875.028373394125</v>
      </c>
      <c r="J16" s="24">
        <v>3324.3353714000382</v>
      </c>
      <c r="K16" s="24">
        <v>2701.5578111572913</v>
      </c>
      <c r="L16" s="24">
        <v>1199.0027726073533</v>
      </c>
      <c r="M16" s="24">
        <v>42636.748522351321</v>
      </c>
      <c r="N16" s="24">
        <v>82919.205405493703</v>
      </c>
      <c r="O16" s="24">
        <v>4245.6338299346844</v>
      </c>
      <c r="P16" s="70">
        <v>17744.391515227158</v>
      </c>
      <c r="Q16" s="24">
        <v>18484.291995385618</v>
      </c>
      <c r="R16" s="24">
        <v>35069.682219354334</v>
      </c>
      <c r="S16" s="24">
        <v>5230.1017948059343</v>
      </c>
      <c r="T16" s="24">
        <v>88320.127356111261</v>
      </c>
      <c r="U16" s="24">
        <v>64938.860377243756</v>
      </c>
      <c r="V16" s="24">
        <v>7158.2318124395351</v>
      </c>
      <c r="W16" s="24">
        <v>3155.3495970116978</v>
      </c>
      <c r="X16" s="24">
        <v>17991.805239869758</v>
      </c>
      <c r="Y16" s="24">
        <v>4556.188654576179</v>
      </c>
      <c r="Z16" s="24">
        <v>7246.6934750687069</v>
      </c>
      <c r="AA16" s="24">
        <v>1856.1663802379221</v>
      </c>
      <c r="AB16" s="24">
        <v>940240.47678597632</v>
      </c>
      <c r="AC16" s="24">
        <v>378.04173289727441</v>
      </c>
      <c r="AD16" s="24">
        <v>4.9120580011790391</v>
      </c>
      <c r="AE16" s="24">
        <v>102.8369593798716</v>
      </c>
      <c r="AF16" s="24">
        <v>1045.5892562881552</v>
      </c>
      <c r="AG16" s="24">
        <v>2789568.0280461968</v>
      </c>
      <c r="AH16" s="24">
        <v>189835.24494835379</v>
      </c>
      <c r="AI16" s="24">
        <v>112015.35675814014</v>
      </c>
      <c r="AJ16" s="24">
        <v>2993.5977258180537</v>
      </c>
      <c r="AK16" s="24">
        <v>21407.970784895842</v>
      </c>
      <c r="AL16" s="24">
        <v>0.81586876138631548</v>
      </c>
      <c r="AM16" s="24">
        <v>0.19254126001074942</v>
      </c>
      <c r="AN16" s="24">
        <v>298.80575291081686</v>
      </c>
      <c r="AO16" s="24">
        <v>31.820431885048251</v>
      </c>
      <c r="AP16" s="24">
        <v>2645.2693413825382</v>
      </c>
      <c r="AQ16" s="24">
        <v>342.58575553451141</v>
      </c>
      <c r="AR16" s="24">
        <v>342.58575553451141</v>
      </c>
      <c r="AS16" s="24">
        <v>8960.2227987212409</v>
      </c>
      <c r="AT16" s="24">
        <v>1603.8088253906644</v>
      </c>
      <c r="AU16" s="24">
        <v>595.89606591836525</v>
      </c>
      <c r="AV16" s="24">
        <v>1102.1127079787379</v>
      </c>
      <c r="AW16" s="24">
        <v>21.031266114831809</v>
      </c>
      <c r="AX16" s="24">
        <v>400.01300425798559</v>
      </c>
      <c r="AY16" s="24">
        <v>1246.4364819869202</v>
      </c>
      <c r="AZ16" s="24">
        <v>17.724833874121341</v>
      </c>
      <c r="BA16" s="24">
        <v>831.07390088552847</v>
      </c>
      <c r="BB16" s="24">
        <v>232.40978034706114</v>
      </c>
      <c r="BC16" s="24">
        <v>32592.510323219605</v>
      </c>
      <c r="BD16" s="24">
        <v>145.66801983779064</v>
      </c>
      <c r="BE16" s="24">
        <v>33.496963793397072</v>
      </c>
      <c r="BF16" s="24">
        <v>2823.8052696080081</v>
      </c>
      <c r="BG16" s="24">
        <v>14529.050939263672</v>
      </c>
      <c r="BH16" s="24">
        <v>20043.860906352424</v>
      </c>
      <c r="BI16" s="24">
        <v>55240.427748326067</v>
      </c>
      <c r="BJ16" s="24">
        <v>84.726209776553688</v>
      </c>
      <c r="BK16" s="24">
        <v>5.0937795995657194</v>
      </c>
      <c r="BL16" s="24">
        <v>13.747975030551926</v>
      </c>
      <c r="BM16" s="24">
        <v>1317.6638084386441</v>
      </c>
      <c r="BN16" s="24">
        <v>2696.148766309153</v>
      </c>
      <c r="BO16" s="24">
        <v>541.48749663733884</v>
      </c>
      <c r="BP16" s="24">
        <v>2802.438545088783</v>
      </c>
      <c r="BQ16" s="24">
        <v>0</v>
      </c>
      <c r="BR16" s="25">
        <v>5080836.8118971735</v>
      </c>
      <c r="BS16" s="26">
        <v>6183874.0290080737</v>
      </c>
      <c r="BT16" s="26">
        <v>3948096.3885364835</v>
      </c>
      <c r="BU16" s="26">
        <v>1751680.216943918</v>
      </c>
      <c r="BV16" s="26">
        <v>0</v>
      </c>
      <c r="BW16" s="26">
        <v>0</v>
      </c>
      <c r="BX16" s="27">
        <v>8380290.200600639</v>
      </c>
      <c r="BY16" s="26">
        <v>210241.31526796811</v>
      </c>
      <c r="BZ16" s="26">
        <v>-989752.31017151533</v>
      </c>
      <c r="CA16" s="27">
        <v>-779510.99490354722</v>
      </c>
      <c r="CB16" s="26">
        <v>435848.28665254492</v>
      </c>
      <c r="CC16" s="26">
        <v>0</v>
      </c>
      <c r="CD16" s="26">
        <v>5035081.7133149076</v>
      </c>
      <c r="CE16" s="27">
        <v>5470929.9999674521</v>
      </c>
      <c r="CF16" s="25">
        <v>13071709.205664543</v>
      </c>
      <c r="CG16" s="26">
        <v>11783931.972079461</v>
      </c>
      <c r="CH16" s="25">
        <v>6368614.0454822574</v>
      </c>
      <c r="CI16" s="39" t="s">
        <v>115</v>
      </c>
      <c r="CJ16" s="38">
        <v>16</v>
      </c>
      <c r="CK16" s="2"/>
      <c r="CL16" s="2"/>
      <c r="CM16" s="30"/>
    </row>
    <row r="17" spans="1:91" s="31" customFormat="1" ht="32" customHeight="1" x14ac:dyDescent="0.2">
      <c r="A17" s="38">
        <v>17</v>
      </c>
      <c r="B17" s="36" t="s">
        <v>36</v>
      </c>
      <c r="C17" s="24">
        <v>19541.548864881894</v>
      </c>
      <c r="D17" s="24">
        <v>6799.7686890683508</v>
      </c>
      <c r="E17" s="24">
        <v>13426.346886035681</v>
      </c>
      <c r="F17" s="24">
        <v>84650.138627145352</v>
      </c>
      <c r="G17" s="289">
        <v>178165.16313438214</v>
      </c>
      <c r="H17" s="24">
        <v>9480.270635347124</v>
      </c>
      <c r="I17" s="24">
        <v>5360.8684966683486</v>
      </c>
      <c r="J17" s="24">
        <v>3383.2537898162927</v>
      </c>
      <c r="K17" s="24">
        <v>2243.2195398275621</v>
      </c>
      <c r="L17" s="24">
        <v>928.85433010599945</v>
      </c>
      <c r="M17" s="24">
        <v>115.20554101703517</v>
      </c>
      <c r="N17" s="24">
        <v>1106185.8633739445</v>
      </c>
      <c r="O17" s="24">
        <v>103466.64808547382</v>
      </c>
      <c r="P17" s="70">
        <v>4931.0208704286542</v>
      </c>
      <c r="Q17" s="24">
        <v>6035.5628388610612</v>
      </c>
      <c r="R17" s="24">
        <v>15989.876784949978</v>
      </c>
      <c r="S17" s="24">
        <v>1609.6438313331751</v>
      </c>
      <c r="T17" s="24">
        <v>38659.811056159582</v>
      </c>
      <c r="U17" s="24">
        <v>10128.083311440423</v>
      </c>
      <c r="V17" s="24">
        <v>3611.0758057555181</v>
      </c>
      <c r="W17" s="24">
        <v>3373.4086289295637</v>
      </c>
      <c r="X17" s="24">
        <v>8070.0251439556669</v>
      </c>
      <c r="Y17" s="24">
        <v>3669.7663699421669</v>
      </c>
      <c r="Z17" s="24">
        <v>4660.4292120303408</v>
      </c>
      <c r="AA17" s="24">
        <v>723.02590251229924</v>
      </c>
      <c r="AB17" s="24">
        <v>1455.5557821005555</v>
      </c>
      <c r="AC17" s="24">
        <v>145.88579155553697</v>
      </c>
      <c r="AD17" s="24">
        <v>47.132159709364437</v>
      </c>
      <c r="AE17" s="24">
        <v>678.43123956452382</v>
      </c>
      <c r="AF17" s="24">
        <v>13820.907992106351</v>
      </c>
      <c r="AG17" s="24">
        <v>87923.975966830476</v>
      </c>
      <c r="AH17" s="24">
        <v>387068.49722709501</v>
      </c>
      <c r="AI17" s="24">
        <v>77609.799214170678</v>
      </c>
      <c r="AJ17" s="24">
        <v>2195.1713010112449</v>
      </c>
      <c r="AK17" s="24">
        <v>81254.66066032034</v>
      </c>
      <c r="AL17" s="24">
        <v>29.539395316945669</v>
      </c>
      <c r="AM17" s="24">
        <v>6.9711608820714268</v>
      </c>
      <c r="AN17" s="24">
        <v>396.14053385277896</v>
      </c>
      <c r="AO17" s="24">
        <v>793.1065513964694</v>
      </c>
      <c r="AP17" s="24">
        <v>46285.014444734166</v>
      </c>
      <c r="AQ17" s="24">
        <v>5036.0623277460272</v>
      </c>
      <c r="AR17" s="24">
        <v>5036.0623277460272</v>
      </c>
      <c r="AS17" s="24">
        <v>295562.37222859584</v>
      </c>
      <c r="AT17" s="24">
        <v>51054.931270838628</v>
      </c>
      <c r="AU17" s="24">
        <v>15451.731559323483</v>
      </c>
      <c r="AV17" s="24">
        <v>24645.094717256532</v>
      </c>
      <c r="AW17" s="24">
        <v>556.64270158446732</v>
      </c>
      <c r="AX17" s="24">
        <v>6275.2595212172828</v>
      </c>
      <c r="AY17" s="24">
        <v>16090.744668029192</v>
      </c>
      <c r="AZ17" s="24">
        <v>270.9088825751266</v>
      </c>
      <c r="BA17" s="24">
        <v>11158.279068030884</v>
      </c>
      <c r="BB17" s="24">
        <v>8015.6625152195029</v>
      </c>
      <c r="BC17" s="24">
        <v>43262.259121084178</v>
      </c>
      <c r="BD17" s="24">
        <v>4723.7346365386666</v>
      </c>
      <c r="BE17" s="24">
        <v>609.86284597624172</v>
      </c>
      <c r="BF17" s="24">
        <v>11915.838282928004</v>
      </c>
      <c r="BG17" s="24">
        <v>40809.787290168977</v>
      </c>
      <c r="BH17" s="24">
        <v>105489.65858454599</v>
      </c>
      <c r="BI17" s="24">
        <v>290550.73115207907</v>
      </c>
      <c r="BJ17" s="24">
        <v>671.18895547110696</v>
      </c>
      <c r="BK17" s="24">
        <v>168.66329579659023</v>
      </c>
      <c r="BL17" s="24">
        <v>494.36678921854792</v>
      </c>
      <c r="BM17" s="24">
        <v>9338.9386654508762</v>
      </c>
      <c r="BN17" s="24">
        <v>12874.165630346215</v>
      </c>
      <c r="BO17" s="24">
        <v>4756.3722569599158</v>
      </c>
      <c r="BP17" s="24">
        <v>14963.163366481485</v>
      </c>
      <c r="BQ17" s="24">
        <v>0</v>
      </c>
      <c r="BR17" s="25">
        <v>3314702.1518318681</v>
      </c>
      <c r="BS17" s="26">
        <v>17020749.740104843</v>
      </c>
      <c r="BT17" s="26">
        <v>68.265964533289477</v>
      </c>
      <c r="BU17" s="26">
        <v>74.767287830344159</v>
      </c>
      <c r="BV17" s="26">
        <v>0</v>
      </c>
      <c r="BW17" s="26">
        <v>0</v>
      </c>
      <c r="BX17" s="27">
        <v>17020743.238781545</v>
      </c>
      <c r="BY17" s="26">
        <v>62409.036159793235</v>
      </c>
      <c r="BZ17" s="26">
        <v>1103693.8039636121</v>
      </c>
      <c r="CA17" s="27">
        <v>1166102.8401234052</v>
      </c>
      <c r="CB17" s="26">
        <v>593283.35914028948</v>
      </c>
      <c r="CC17" s="26">
        <v>0</v>
      </c>
      <c r="CD17" s="26">
        <v>87.060870819008755</v>
      </c>
      <c r="CE17" s="27">
        <v>593370.42001110851</v>
      </c>
      <c r="CF17" s="25">
        <v>18780216.498916056</v>
      </c>
      <c r="CG17" s="26">
        <v>3242084.4308970771</v>
      </c>
      <c r="CH17" s="25">
        <v>18852834.219850849</v>
      </c>
      <c r="CI17" s="39" t="s">
        <v>116</v>
      </c>
      <c r="CJ17" s="38">
        <v>17</v>
      </c>
      <c r="CK17" s="2"/>
      <c r="CL17" s="2"/>
      <c r="CM17" s="30"/>
    </row>
    <row r="18" spans="1:91" s="31" customFormat="1" ht="33" customHeight="1" x14ac:dyDescent="0.2">
      <c r="A18" s="35">
        <v>18</v>
      </c>
      <c r="B18" s="36" t="s">
        <v>37</v>
      </c>
      <c r="C18" s="24">
        <v>656563.6452527612</v>
      </c>
      <c r="D18" s="24">
        <v>323010.53396808257</v>
      </c>
      <c r="E18" s="24">
        <v>20618.605224585739</v>
      </c>
      <c r="F18" s="24">
        <v>133063.52882395592</v>
      </c>
      <c r="G18" s="289">
        <v>1440756.5563388788</v>
      </c>
      <c r="H18" s="24">
        <v>109066.49582671776</v>
      </c>
      <c r="I18" s="24">
        <v>28386.264808585962</v>
      </c>
      <c r="J18" s="24">
        <v>46461.027992374104</v>
      </c>
      <c r="K18" s="24">
        <v>39321.435962488482</v>
      </c>
      <c r="L18" s="24">
        <v>7166.822404579967</v>
      </c>
      <c r="M18" s="24">
        <v>2040.7076705956551</v>
      </c>
      <c r="N18" s="24">
        <v>1671689.169452426</v>
      </c>
      <c r="O18" s="24">
        <v>195445.62638600974</v>
      </c>
      <c r="P18" s="70">
        <v>134722.59320381063</v>
      </c>
      <c r="Q18" s="24">
        <v>141731.89342567956</v>
      </c>
      <c r="R18" s="24">
        <v>198488.43225814903</v>
      </c>
      <c r="S18" s="24">
        <v>51321.017730278909</v>
      </c>
      <c r="T18" s="24">
        <v>844630.25082421419</v>
      </c>
      <c r="U18" s="24">
        <v>71808.509144198368</v>
      </c>
      <c r="V18" s="24">
        <v>38898.62397852377</v>
      </c>
      <c r="W18" s="24">
        <v>17184.980176774137</v>
      </c>
      <c r="X18" s="24">
        <v>90825.417864087678</v>
      </c>
      <c r="Y18" s="24">
        <v>97542.291117730376</v>
      </c>
      <c r="Z18" s="24">
        <v>24965.88125386199</v>
      </c>
      <c r="AA18" s="24">
        <v>30776.346672783908</v>
      </c>
      <c r="AB18" s="24">
        <v>15529.319158446473</v>
      </c>
      <c r="AC18" s="24">
        <v>735.15120210360715</v>
      </c>
      <c r="AD18" s="24">
        <v>73.963106728149143</v>
      </c>
      <c r="AE18" s="24">
        <v>1158.9926774994888</v>
      </c>
      <c r="AF18" s="24">
        <v>24164.407281129221</v>
      </c>
      <c r="AG18" s="24">
        <v>161925.26966085625</v>
      </c>
      <c r="AH18" s="24">
        <v>618139.03871231328</v>
      </c>
      <c r="AI18" s="24">
        <v>110152.3300152829</v>
      </c>
      <c r="AJ18" s="24">
        <v>3026.5034628333087</v>
      </c>
      <c r="AK18" s="24">
        <v>133972.80547970484</v>
      </c>
      <c r="AL18" s="24">
        <v>42.239635269851611</v>
      </c>
      <c r="AM18" s="24">
        <v>9.9683588613350391</v>
      </c>
      <c r="AN18" s="24">
        <v>553.03276197362095</v>
      </c>
      <c r="AO18" s="24">
        <v>1133.6343053301707</v>
      </c>
      <c r="AP18" s="24">
        <v>66122.578048307914</v>
      </c>
      <c r="AQ18" s="24">
        <v>7208.9907145792131</v>
      </c>
      <c r="AR18" s="24">
        <v>7208.9907145792131</v>
      </c>
      <c r="AS18" s="24">
        <v>428928.46389204299</v>
      </c>
      <c r="AT18" s="24">
        <v>72836.954449684607</v>
      </c>
      <c r="AU18" s="24">
        <v>22012.04639456356</v>
      </c>
      <c r="AV18" s="24">
        <v>34399.014403212495</v>
      </c>
      <c r="AW18" s="24">
        <v>796.16220603379054</v>
      </c>
      <c r="AX18" s="24">
        <v>8626.8405974883517</v>
      </c>
      <c r="AY18" s="24">
        <v>22974.349525171834</v>
      </c>
      <c r="AZ18" s="24">
        <v>386.97785206703031</v>
      </c>
      <c r="BA18" s="24">
        <v>16208.926830705683</v>
      </c>
      <c r="BB18" s="24">
        <v>11475.485140610039</v>
      </c>
      <c r="BC18" s="24">
        <v>64111.700529563568</v>
      </c>
      <c r="BD18" s="24">
        <v>6760.5580187578926</v>
      </c>
      <c r="BE18" s="24">
        <v>899.0805597647618</v>
      </c>
      <c r="BF18" s="24">
        <v>19230.737129499426</v>
      </c>
      <c r="BG18" s="24">
        <v>60000.385125215609</v>
      </c>
      <c r="BH18" s="24">
        <v>151756.28808129914</v>
      </c>
      <c r="BI18" s="24">
        <v>464204.99764168164</v>
      </c>
      <c r="BJ18" s="24">
        <v>987.17941640071524</v>
      </c>
      <c r="BK18" s="24">
        <v>241.49853712960558</v>
      </c>
      <c r="BL18" s="24">
        <v>708.59038739539255</v>
      </c>
      <c r="BM18" s="24">
        <v>14376.508898943301</v>
      </c>
      <c r="BN18" s="24">
        <v>23373.12974363883</v>
      </c>
      <c r="BO18" s="24">
        <v>7665.0142714648146</v>
      </c>
      <c r="BP18" s="24">
        <v>22787.743785530984</v>
      </c>
      <c r="BQ18" s="24">
        <v>0</v>
      </c>
      <c r="BR18" s="25">
        <v>9023392.5064757969</v>
      </c>
      <c r="BS18" s="26">
        <v>24898397.425375972</v>
      </c>
      <c r="BT18" s="26">
        <v>0</v>
      </c>
      <c r="BU18" s="26">
        <v>0</v>
      </c>
      <c r="BV18" s="26">
        <v>0</v>
      </c>
      <c r="BW18" s="26">
        <v>0</v>
      </c>
      <c r="BX18" s="27">
        <v>24898397.425375972</v>
      </c>
      <c r="BY18" s="26">
        <v>31257.416149098677</v>
      </c>
      <c r="BZ18" s="26">
        <v>1570477.6684656495</v>
      </c>
      <c r="CA18" s="27">
        <v>1601735.0846147481</v>
      </c>
      <c r="CB18" s="26">
        <v>924052.03749276325</v>
      </c>
      <c r="CC18" s="26">
        <v>0</v>
      </c>
      <c r="CD18" s="26">
        <v>0</v>
      </c>
      <c r="CE18" s="27">
        <v>924052.03749276325</v>
      </c>
      <c r="CF18" s="25">
        <v>27424184.547483485</v>
      </c>
      <c r="CG18" s="26">
        <v>4826526.3964962624</v>
      </c>
      <c r="CH18" s="25">
        <v>31621050.657463018</v>
      </c>
      <c r="CI18" s="39" t="s">
        <v>117</v>
      </c>
      <c r="CJ18" s="35">
        <v>18</v>
      </c>
      <c r="CK18" s="2"/>
      <c r="CL18" s="2"/>
      <c r="CM18" s="30"/>
    </row>
    <row r="19" spans="1:91" s="74" customFormat="1" ht="32" customHeight="1" x14ac:dyDescent="0.2">
      <c r="A19" s="68">
        <v>19</v>
      </c>
      <c r="B19" s="69" t="s">
        <v>38</v>
      </c>
      <c r="C19" s="70">
        <v>3523172.2512936774</v>
      </c>
      <c r="D19" s="70">
        <v>884772.54227331723</v>
      </c>
      <c r="E19" s="70">
        <v>475276.07343057147</v>
      </c>
      <c r="F19" s="70">
        <v>720959.57865992631</v>
      </c>
      <c r="G19" s="289">
        <v>5389428.2782380451</v>
      </c>
      <c r="H19" s="70">
        <v>497876.65246457409</v>
      </c>
      <c r="I19" s="70">
        <v>214492.81736846757</v>
      </c>
      <c r="J19" s="70">
        <v>1450175.331980272</v>
      </c>
      <c r="K19" s="70">
        <v>169144.93249617622</v>
      </c>
      <c r="L19" s="70">
        <v>283723.90773840604</v>
      </c>
      <c r="M19" s="70">
        <v>123133.63614566768</v>
      </c>
      <c r="N19" s="70">
        <v>1861843.7191076721</v>
      </c>
      <c r="O19" s="70">
        <v>251194.8912396215</v>
      </c>
      <c r="P19" s="70">
        <v>5215325.9669366805</v>
      </c>
      <c r="Q19" s="70">
        <v>6880342.4522963967</v>
      </c>
      <c r="R19" s="70">
        <v>5580501.0542439139</v>
      </c>
      <c r="S19" s="70">
        <v>3455649.9563743956</v>
      </c>
      <c r="T19" s="70">
        <v>8578122.6717018485</v>
      </c>
      <c r="U19" s="70">
        <v>1018299.0271984431</v>
      </c>
      <c r="V19" s="70">
        <v>251405.86100884306</v>
      </c>
      <c r="W19" s="70">
        <v>246199.59401734054</v>
      </c>
      <c r="X19" s="70">
        <v>964701.18124296423</v>
      </c>
      <c r="Y19" s="70">
        <v>301597.39136423153</v>
      </c>
      <c r="Z19" s="70">
        <v>381450.06537552504</v>
      </c>
      <c r="AA19" s="70">
        <v>84978.839553546801</v>
      </c>
      <c r="AB19" s="70">
        <v>206133.17324475301</v>
      </c>
      <c r="AC19" s="70">
        <v>20343.121959871449</v>
      </c>
      <c r="AD19" s="70">
        <v>902.50280804272404</v>
      </c>
      <c r="AE19" s="70">
        <v>26176159.90139693</v>
      </c>
      <c r="AF19" s="70">
        <v>2081731.5525227627</v>
      </c>
      <c r="AG19" s="70">
        <v>9046098.4433859754</v>
      </c>
      <c r="AH19" s="70">
        <v>32829156.994516969</v>
      </c>
      <c r="AI19" s="70">
        <v>34212287.054683171</v>
      </c>
      <c r="AJ19" s="70">
        <v>246021.59198952108</v>
      </c>
      <c r="AK19" s="70">
        <v>6144718.713802563</v>
      </c>
      <c r="AL19" s="70">
        <v>107218.07891688769</v>
      </c>
      <c r="AM19" s="70">
        <v>25302.971492022287</v>
      </c>
      <c r="AN19" s="70">
        <v>21885.756476123071</v>
      </c>
      <c r="AO19" s="70">
        <v>2243843.0340975062</v>
      </c>
      <c r="AP19" s="70">
        <v>174094.28950188326</v>
      </c>
      <c r="AQ19" s="70">
        <v>8318.584928473123</v>
      </c>
      <c r="AR19" s="70">
        <v>8318.584928473123</v>
      </c>
      <c r="AS19" s="70">
        <v>790210.69212933828</v>
      </c>
      <c r="AT19" s="70">
        <v>55189.839593015204</v>
      </c>
      <c r="AU19" s="70">
        <v>32951.456216330393</v>
      </c>
      <c r="AV19" s="70">
        <v>228490.3265569311</v>
      </c>
      <c r="AW19" s="70">
        <v>5665.0568628244364</v>
      </c>
      <c r="AX19" s="70">
        <v>65675.381167389249</v>
      </c>
      <c r="AY19" s="70">
        <v>45488.941171041239</v>
      </c>
      <c r="AZ19" s="70">
        <v>1126.1316123898305</v>
      </c>
      <c r="BA19" s="70">
        <v>696461.1075059257</v>
      </c>
      <c r="BB19" s="70">
        <v>6595.03558704645</v>
      </c>
      <c r="BC19" s="70">
        <v>1512133.6270477017</v>
      </c>
      <c r="BD19" s="70">
        <v>40753.942741432067</v>
      </c>
      <c r="BE19" s="70">
        <v>33324.508297904678</v>
      </c>
      <c r="BF19" s="70">
        <v>222048.13150166225</v>
      </c>
      <c r="BG19" s="70">
        <v>1460191.4165933912</v>
      </c>
      <c r="BH19" s="70">
        <v>248554.80631820636</v>
      </c>
      <c r="BI19" s="70">
        <v>6785480.3504607379</v>
      </c>
      <c r="BJ19" s="70">
        <v>26991.865903387756</v>
      </c>
      <c r="BK19" s="70">
        <v>319.08970306058944</v>
      </c>
      <c r="BL19" s="70">
        <v>2614.4419843879996</v>
      </c>
      <c r="BM19" s="70">
        <v>540355.53626197542</v>
      </c>
      <c r="BN19" s="70">
        <v>985275.70995774725</v>
      </c>
      <c r="BO19" s="70">
        <v>200611.27073811286</v>
      </c>
      <c r="BP19" s="70">
        <v>468405.09738140769</v>
      </c>
      <c r="BQ19" s="70">
        <v>0</v>
      </c>
      <c r="BR19" s="71">
        <v>176811216.7876958</v>
      </c>
      <c r="BS19" s="71">
        <v>179239992.77646717</v>
      </c>
      <c r="BT19" s="71">
        <v>0</v>
      </c>
      <c r="BU19" s="71">
        <v>0</v>
      </c>
      <c r="BV19" s="71">
        <v>0</v>
      </c>
      <c r="BW19" s="71">
        <v>0</v>
      </c>
      <c r="BX19" s="71">
        <v>179239992.77646717</v>
      </c>
      <c r="BY19" s="71">
        <v>0</v>
      </c>
      <c r="BZ19" s="71">
        <v>7364738.7610557117</v>
      </c>
      <c r="CA19" s="71">
        <v>7364738.7610557117</v>
      </c>
      <c r="CB19" s="71">
        <v>9315738.3658309169</v>
      </c>
      <c r="CC19" s="71">
        <v>0</v>
      </c>
      <c r="CD19" s="71">
        <v>0</v>
      </c>
      <c r="CE19" s="71">
        <v>9315738.3658309169</v>
      </c>
      <c r="CF19" s="71">
        <v>195920469.90335381</v>
      </c>
      <c r="CG19" s="71">
        <v>54578130.369007677</v>
      </c>
      <c r="CH19" s="71">
        <v>318153556.32204187</v>
      </c>
      <c r="CI19" s="72" t="s">
        <v>118</v>
      </c>
      <c r="CJ19" s="68">
        <v>19</v>
      </c>
      <c r="CK19" s="66"/>
      <c r="CL19" s="66"/>
      <c r="CM19" s="73"/>
    </row>
    <row r="20" spans="1:91" s="31" customFormat="1" ht="32" customHeight="1" x14ac:dyDescent="0.2">
      <c r="A20" s="35">
        <v>20</v>
      </c>
      <c r="B20" s="36" t="s">
        <v>39</v>
      </c>
      <c r="C20" s="24">
        <v>5213866.5861516083</v>
      </c>
      <c r="D20" s="24">
        <v>120868.95209989784</v>
      </c>
      <c r="E20" s="24">
        <v>146161.80592577506</v>
      </c>
      <c r="F20" s="24">
        <v>208852.8086131195</v>
      </c>
      <c r="G20" s="289">
        <v>515387.97353112977</v>
      </c>
      <c r="H20" s="24">
        <v>219983.45850146981</v>
      </c>
      <c r="I20" s="24">
        <v>191470.27047147878</v>
      </c>
      <c r="J20" s="24">
        <v>1178354.5770387352</v>
      </c>
      <c r="K20" s="24">
        <v>139167.38392426615</v>
      </c>
      <c r="L20" s="24">
        <v>210886.23560837298</v>
      </c>
      <c r="M20" s="24">
        <v>92320.000364454158</v>
      </c>
      <c r="N20" s="24">
        <v>1255184.62498712</v>
      </c>
      <c r="O20" s="24">
        <v>146457.28968318307</v>
      </c>
      <c r="P20" s="70">
        <v>3457627.4983252883</v>
      </c>
      <c r="Q20" s="24">
        <v>5127066.4950045329</v>
      </c>
      <c r="R20" s="24">
        <v>4399995.2756115813</v>
      </c>
      <c r="S20" s="24">
        <v>2758558.3247969267</v>
      </c>
      <c r="T20" s="24">
        <v>2008338.815617397</v>
      </c>
      <c r="U20" s="24">
        <v>424128.12910258054</v>
      </c>
      <c r="V20" s="24">
        <v>141396.96201190478</v>
      </c>
      <c r="W20" s="24">
        <v>176633.76013339357</v>
      </c>
      <c r="X20" s="24">
        <v>641783.60317607911</v>
      </c>
      <c r="Y20" s="24">
        <v>105660.93243791365</v>
      </c>
      <c r="Z20" s="24">
        <v>259400.56742322398</v>
      </c>
      <c r="AA20" s="24">
        <v>23382.708864416767</v>
      </c>
      <c r="AB20" s="24">
        <v>151005.72168805695</v>
      </c>
      <c r="AC20" s="24">
        <v>14366.236222289366</v>
      </c>
      <c r="AD20" s="24">
        <v>332.71844222266719</v>
      </c>
      <c r="AE20" s="24">
        <v>109536.75213233946</v>
      </c>
      <c r="AF20" s="24">
        <v>269731.24157154746</v>
      </c>
      <c r="AG20" s="24">
        <v>234561.37563731105</v>
      </c>
      <c r="AH20" s="24">
        <v>668273.01852495107</v>
      </c>
      <c r="AI20" s="24">
        <v>165884.10443187642</v>
      </c>
      <c r="AJ20" s="24">
        <v>2377.1788595122434</v>
      </c>
      <c r="AK20" s="24">
        <v>866287.30133813818</v>
      </c>
      <c r="AL20" s="24">
        <v>416.17491609574466</v>
      </c>
      <c r="AM20" s="24">
        <v>98.215358305648252</v>
      </c>
      <c r="AN20" s="24">
        <v>230.42373448939952</v>
      </c>
      <c r="AO20" s="24">
        <v>8744.4913078631471</v>
      </c>
      <c r="AP20" s="24">
        <v>9571.2717672523249</v>
      </c>
      <c r="AQ20" s="24">
        <v>1052.9818302868935</v>
      </c>
      <c r="AR20" s="24">
        <v>1052.9818302868935</v>
      </c>
      <c r="AS20" s="24">
        <v>473975.86592074344</v>
      </c>
      <c r="AT20" s="24">
        <v>9898.1092349536048</v>
      </c>
      <c r="AU20" s="24">
        <v>3198.2426180972075</v>
      </c>
      <c r="AV20" s="24">
        <v>9315.9880028464049</v>
      </c>
      <c r="AW20" s="24">
        <v>131.6803309971346</v>
      </c>
      <c r="AX20" s="24">
        <v>3088.8122741270658</v>
      </c>
      <c r="AY20" s="24">
        <v>5291.0490586440555</v>
      </c>
      <c r="AZ20" s="24">
        <v>81.728192301103491</v>
      </c>
      <c r="BA20" s="24">
        <v>12140.03892046798</v>
      </c>
      <c r="BB20" s="24">
        <v>2760.1164359009617</v>
      </c>
      <c r="BC20" s="24">
        <v>268321.44446563406</v>
      </c>
      <c r="BD20" s="24">
        <v>1047.6868336796397</v>
      </c>
      <c r="BE20" s="24">
        <v>3117.0734925973766</v>
      </c>
      <c r="BF20" s="24">
        <v>104261.82451732153</v>
      </c>
      <c r="BG20" s="24">
        <v>115884.49905698989</v>
      </c>
      <c r="BH20" s="24">
        <v>100505.51592890233</v>
      </c>
      <c r="BI20" s="24">
        <v>3467929.8901213887</v>
      </c>
      <c r="BJ20" s="24">
        <v>1269.8851470808941</v>
      </c>
      <c r="BK20" s="24">
        <v>42.039947045386313</v>
      </c>
      <c r="BL20" s="24">
        <v>209.06610134203495</v>
      </c>
      <c r="BM20" s="24">
        <v>78297.464295795347</v>
      </c>
      <c r="BN20" s="24">
        <v>321692.04418299167</v>
      </c>
      <c r="BO20" s="24">
        <v>52999.771423376944</v>
      </c>
      <c r="BP20" s="24">
        <v>47544.665735856492</v>
      </c>
      <c r="BQ20" s="24">
        <v>0</v>
      </c>
      <c r="BR20" s="25">
        <v>36749461.731237769</v>
      </c>
      <c r="BS20" s="26">
        <v>43764451.457276449</v>
      </c>
      <c r="BT20" s="26">
        <v>8546.0909854134934</v>
      </c>
      <c r="BU20" s="26">
        <v>3817.1145955305296</v>
      </c>
      <c r="BV20" s="26">
        <v>0</v>
      </c>
      <c r="BW20" s="26">
        <v>0</v>
      </c>
      <c r="BX20" s="27">
        <v>43769180.433666326</v>
      </c>
      <c r="BY20" s="26">
        <v>112082.35203427574</v>
      </c>
      <c r="BZ20" s="26">
        <v>1971043.6917472095</v>
      </c>
      <c r="CA20" s="27">
        <v>2083126.0437814852</v>
      </c>
      <c r="CB20" s="26">
        <v>10288992.618226502</v>
      </c>
      <c r="CC20" s="26">
        <v>0</v>
      </c>
      <c r="CD20" s="26">
        <v>10898.990856940984</v>
      </c>
      <c r="CE20" s="27">
        <v>10299891.609083444</v>
      </c>
      <c r="CF20" s="25">
        <v>56152198.086531252</v>
      </c>
      <c r="CG20" s="26">
        <v>23885591.831437651</v>
      </c>
      <c r="CH20" s="25">
        <v>69016067.986331373</v>
      </c>
      <c r="CI20" s="39" t="s">
        <v>119</v>
      </c>
      <c r="CJ20" s="35">
        <v>20</v>
      </c>
      <c r="CK20" s="2"/>
      <c r="CL20" s="2"/>
      <c r="CM20" s="30"/>
    </row>
    <row r="21" spans="1:91" s="41" customFormat="1" ht="32" customHeight="1" x14ac:dyDescent="0.2">
      <c r="A21" s="22">
        <v>21</v>
      </c>
      <c r="B21" s="40" t="s">
        <v>40</v>
      </c>
      <c r="C21" s="24">
        <v>75177.972581141192</v>
      </c>
      <c r="D21" s="24">
        <v>37425.142545911032</v>
      </c>
      <c r="E21" s="24">
        <v>203.09060187971551</v>
      </c>
      <c r="F21" s="24">
        <v>367.15830937709478</v>
      </c>
      <c r="G21" s="289">
        <v>140772.17138523521</v>
      </c>
      <c r="H21" s="24">
        <v>10063.509927655632</v>
      </c>
      <c r="I21" s="24">
        <v>1015.0130890011555</v>
      </c>
      <c r="J21" s="24">
        <v>4395.3892950562431</v>
      </c>
      <c r="K21" s="24">
        <v>4229.3450744205747</v>
      </c>
      <c r="L21" s="24">
        <v>566.85918214850335</v>
      </c>
      <c r="M21" s="24">
        <v>182.39053179047175</v>
      </c>
      <c r="N21" s="24">
        <v>10234.759947043261</v>
      </c>
      <c r="O21" s="24">
        <v>5625.6058596580133</v>
      </c>
      <c r="P21" s="70">
        <v>13716.496285719059</v>
      </c>
      <c r="Q21" s="24">
        <v>12908.231238847298</v>
      </c>
      <c r="R21" s="24">
        <v>17924.1052654222</v>
      </c>
      <c r="S21" s="24">
        <v>4627.6267649059064</v>
      </c>
      <c r="T21" s="24">
        <v>91649.191128600534</v>
      </c>
      <c r="U21" s="24">
        <v>8017.0100508580308</v>
      </c>
      <c r="V21" s="24">
        <v>4133.1975314680012</v>
      </c>
      <c r="W21" s="24">
        <v>1634.031891255388</v>
      </c>
      <c r="X21" s="24">
        <v>9358.8202730353569</v>
      </c>
      <c r="Y21" s="24">
        <v>11073.892548077625</v>
      </c>
      <c r="Z21" s="24">
        <v>2414.0834999025005</v>
      </c>
      <c r="AA21" s="24">
        <v>3551.3049920834369</v>
      </c>
      <c r="AB21" s="24">
        <v>1544.6347355993598</v>
      </c>
      <c r="AC21" s="24">
        <v>75.282298797720401</v>
      </c>
      <c r="AD21" s="24">
        <v>0.68670355735474164</v>
      </c>
      <c r="AE21" s="24">
        <v>14.528276001951328</v>
      </c>
      <c r="AF21" s="24">
        <v>58182.02035671132</v>
      </c>
      <c r="AG21" s="24">
        <v>620.25653616875979</v>
      </c>
      <c r="AH21" s="24">
        <v>6314.06273325643</v>
      </c>
      <c r="AI21" s="24">
        <v>2410.4794412630954</v>
      </c>
      <c r="AJ21" s="24">
        <v>0.76645230759211125</v>
      </c>
      <c r="AK21" s="24">
        <v>15747.822135501568</v>
      </c>
      <c r="AL21" s="24">
        <v>0</v>
      </c>
      <c r="AM21" s="24">
        <v>0</v>
      </c>
      <c r="AN21" s="24">
        <v>0</v>
      </c>
      <c r="AO21" s="24">
        <v>0</v>
      </c>
      <c r="AP21" s="24">
        <v>1.8199853901378394E-2</v>
      </c>
      <c r="AQ21" s="24">
        <v>0.22044672233541709</v>
      </c>
      <c r="AR21" s="24">
        <v>0.22044672233541709</v>
      </c>
      <c r="AS21" s="24">
        <v>580.49647107372539</v>
      </c>
      <c r="AT21" s="24">
        <v>6.8439818367900553</v>
      </c>
      <c r="AU21" s="24">
        <v>4.4562508463291302</v>
      </c>
      <c r="AV21" s="24">
        <v>26.132423337574139</v>
      </c>
      <c r="AW21" s="24">
        <v>7.8714595037663621E-2</v>
      </c>
      <c r="AX21" s="24">
        <v>11.170445392327462</v>
      </c>
      <c r="AY21" s="24">
        <v>12.630566237004881</v>
      </c>
      <c r="AZ21" s="24">
        <v>0.16049386582097425</v>
      </c>
      <c r="BA21" s="24">
        <v>791.76615332229107</v>
      </c>
      <c r="BB21" s="24">
        <v>144.63115962060911</v>
      </c>
      <c r="BC21" s="24">
        <v>28353.943015275927</v>
      </c>
      <c r="BD21" s="24">
        <v>8.455847070309741E-2</v>
      </c>
      <c r="BE21" s="24">
        <v>320.40403707400236</v>
      </c>
      <c r="BF21" s="24">
        <v>5367.2873310430723</v>
      </c>
      <c r="BG21" s="24">
        <v>313708.75789315748</v>
      </c>
      <c r="BH21" s="24">
        <v>495104.13405250985</v>
      </c>
      <c r="BI21" s="24">
        <v>4488845.6227525733</v>
      </c>
      <c r="BJ21" s="24">
        <v>45.285997459270718</v>
      </c>
      <c r="BK21" s="24">
        <v>1.7142077869527809E-2</v>
      </c>
      <c r="BL21" s="24">
        <v>0.17374196671682729</v>
      </c>
      <c r="BM21" s="24">
        <v>51626.200795442543</v>
      </c>
      <c r="BN21" s="24">
        <v>59970.78903877845</v>
      </c>
      <c r="BO21" s="24">
        <v>10827.171128356686</v>
      </c>
      <c r="BP21" s="24">
        <v>4657.217291162423</v>
      </c>
      <c r="BQ21" s="24">
        <v>0</v>
      </c>
      <c r="BR21" s="25">
        <v>6016582.8539984338</v>
      </c>
      <c r="BS21" s="26">
        <v>39893913.35933876</v>
      </c>
      <c r="BT21" s="26">
        <v>0</v>
      </c>
      <c r="BU21" s="26">
        <v>0</v>
      </c>
      <c r="BV21" s="26">
        <v>0</v>
      </c>
      <c r="BW21" s="26">
        <v>0</v>
      </c>
      <c r="BX21" s="27">
        <v>39893913.35933876</v>
      </c>
      <c r="BY21" s="26">
        <v>28847.911315713529</v>
      </c>
      <c r="BZ21" s="26">
        <v>200246.82954953882</v>
      </c>
      <c r="CA21" s="27">
        <v>229094.74086525233</v>
      </c>
      <c r="CB21" s="26">
        <v>1824609.1124750278</v>
      </c>
      <c r="CC21" s="26">
        <v>0</v>
      </c>
      <c r="CD21" s="26">
        <v>0</v>
      </c>
      <c r="CE21" s="27">
        <v>1824609.1124750278</v>
      </c>
      <c r="CF21" s="25">
        <v>41947617.212679043</v>
      </c>
      <c r="CG21" s="26">
        <v>14820871.660335271</v>
      </c>
      <c r="CH21" s="25">
        <v>33143328.406342208</v>
      </c>
      <c r="CI21" s="39" t="s">
        <v>120</v>
      </c>
      <c r="CJ21" s="22">
        <v>21</v>
      </c>
      <c r="CK21" s="2"/>
      <c r="CL21" s="2"/>
      <c r="CM21" s="30"/>
    </row>
    <row r="22" spans="1:91" ht="32" customHeight="1" x14ac:dyDescent="0.2">
      <c r="A22" s="35">
        <v>22</v>
      </c>
      <c r="B22" s="36" t="s">
        <v>41</v>
      </c>
      <c r="C22" s="24">
        <v>45873.970004406598</v>
      </c>
      <c r="D22" s="24">
        <v>8796.8009736862969</v>
      </c>
      <c r="E22" s="24">
        <v>5819.4599095972899</v>
      </c>
      <c r="F22" s="24">
        <v>353405.70422574383</v>
      </c>
      <c r="G22" s="289">
        <v>340907.69416588405</v>
      </c>
      <c r="H22" s="24">
        <v>448221.48154609202</v>
      </c>
      <c r="I22" s="24">
        <v>487001.22310794785</v>
      </c>
      <c r="J22" s="24">
        <v>52128.192902709714</v>
      </c>
      <c r="K22" s="24">
        <v>25508.367090198306</v>
      </c>
      <c r="L22" s="24">
        <v>17538.109250132682</v>
      </c>
      <c r="M22" s="24">
        <v>2001.5461184735432</v>
      </c>
      <c r="N22" s="24">
        <v>39583.902500607575</v>
      </c>
      <c r="O22" s="24">
        <v>3618.8747372829666</v>
      </c>
      <c r="P22" s="70">
        <v>97530.305953300194</v>
      </c>
      <c r="Q22" s="24">
        <v>303814.60121252667</v>
      </c>
      <c r="R22" s="24">
        <v>494749.78460235684</v>
      </c>
      <c r="S22" s="24">
        <v>67356.320463444092</v>
      </c>
      <c r="T22" s="24">
        <v>740589.61562214256</v>
      </c>
      <c r="U22" s="24">
        <v>66082.518778389654</v>
      </c>
      <c r="V22" s="24">
        <v>25967.4623919681</v>
      </c>
      <c r="W22" s="24">
        <v>24553.709187944889</v>
      </c>
      <c r="X22" s="24">
        <v>94220.33869720668</v>
      </c>
      <c r="Y22" s="24">
        <v>12739.405906671776</v>
      </c>
      <c r="Z22" s="24">
        <v>21899.381279530386</v>
      </c>
      <c r="AA22" s="24">
        <v>1324.8182211251499</v>
      </c>
      <c r="AB22" s="24">
        <v>8876.2126185957077</v>
      </c>
      <c r="AC22" s="24">
        <v>952.46897517164518</v>
      </c>
      <c r="AD22" s="24">
        <v>25.967645720536055</v>
      </c>
      <c r="AE22" s="24">
        <v>1368.3789826703594</v>
      </c>
      <c r="AF22" s="24">
        <v>14877.23697947566</v>
      </c>
      <c r="AG22" s="24">
        <v>1681911.3136787144</v>
      </c>
      <c r="AH22" s="24">
        <v>2233992.1004669317</v>
      </c>
      <c r="AI22" s="24">
        <v>64321.200864567341</v>
      </c>
      <c r="AJ22" s="24">
        <v>789.26268232400298</v>
      </c>
      <c r="AK22" s="24">
        <v>186569.79997045119</v>
      </c>
      <c r="AL22" s="24">
        <v>0</v>
      </c>
      <c r="AM22" s="24">
        <v>0</v>
      </c>
      <c r="AN22" s="24">
        <v>3.2978571985858656</v>
      </c>
      <c r="AO22" s="24">
        <v>0.11358996820206357</v>
      </c>
      <c r="AP22" s="24">
        <v>61.505079163284492</v>
      </c>
      <c r="AQ22" s="24">
        <v>557.63831238764215</v>
      </c>
      <c r="AR22" s="24">
        <v>557.63831238764215</v>
      </c>
      <c r="AS22" s="24">
        <v>54989.02467779479</v>
      </c>
      <c r="AT22" s="24">
        <v>2125.9892142564186</v>
      </c>
      <c r="AU22" s="24">
        <v>2011.9862540855606</v>
      </c>
      <c r="AV22" s="24">
        <v>3474.6365002145894</v>
      </c>
      <c r="AW22" s="24">
        <v>74.500729793284791</v>
      </c>
      <c r="AX22" s="24">
        <v>1827.733709904554</v>
      </c>
      <c r="AY22" s="24">
        <v>10411.71178844956</v>
      </c>
      <c r="AZ22" s="24">
        <v>133.04927252936855</v>
      </c>
      <c r="BA22" s="24">
        <v>7245.713801005063</v>
      </c>
      <c r="BB22" s="24">
        <v>138.47881124632477</v>
      </c>
      <c r="BC22" s="24">
        <v>14844.202645853155</v>
      </c>
      <c r="BD22" s="24">
        <v>213.17759965992929</v>
      </c>
      <c r="BE22" s="24">
        <v>197.94476418633201</v>
      </c>
      <c r="BF22" s="24">
        <v>35469.202124875621</v>
      </c>
      <c r="BG22" s="24">
        <v>6797.1389307917489</v>
      </c>
      <c r="BH22" s="24">
        <v>4687.4835803303913</v>
      </c>
      <c r="BI22" s="24">
        <v>176222.91226317253</v>
      </c>
      <c r="BJ22" s="24">
        <v>455.8280558135545</v>
      </c>
      <c r="BK22" s="24">
        <v>6.3194039250533152</v>
      </c>
      <c r="BL22" s="24">
        <v>2.6142303868495991</v>
      </c>
      <c r="BM22" s="24">
        <v>2277.9536588257188</v>
      </c>
      <c r="BN22" s="24">
        <v>26017.840244342813</v>
      </c>
      <c r="BO22" s="24">
        <v>4934.6759441446775</v>
      </c>
      <c r="BP22" s="24">
        <v>34312.4235088555</v>
      </c>
      <c r="BQ22" s="24">
        <v>0</v>
      </c>
      <c r="BR22" s="25">
        <v>8364970.2665795423</v>
      </c>
      <c r="BS22" s="26">
        <v>13825814.29703954</v>
      </c>
      <c r="BT22" s="26">
        <v>10895.039394272459</v>
      </c>
      <c r="BU22" s="26">
        <v>5761.960100772103</v>
      </c>
      <c r="BV22" s="26">
        <v>0</v>
      </c>
      <c r="BW22" s="26">
        <v>0</v>
      </c>
      <c r="BX22" s="27">
        <v>13830947.376333041</v>
      </c>
      <c r="BY22" s="26">
        <v>197992.1882136137</v>
      </c>
      <c r="BZ22" s="26">
        <v>-272955.45757598325</v>
      </c>
      <c r="CA22" s="27">
        <v>-74963.269362369552</v>
      </c>
      <c r="CB22" s="26">
        <v>3027097.6846628408</v>
      </c>
      <c r="CC22" s="26">
        <v>0</v>
      </c>
      <c r="CD22" s="26">
        <v>13894.64902103918</v>
      </c>
      <c r="CE22" s="27">
        <v>3040992.33368388</v>
      </c>
      <c r="CF22" s="25">
        <v>16796976.440654553</v>
      </c>
      <c r="CG22" s="26">
        <v>7496325.2108471496</v>
      </c>
      <c r="CH22" s="25">
        <v>17665621.496386945</v>
      </c>
      <c r="CI22" s="39" t="s">
        <v>121</v>
      </c>
      <c r="CJ22" s="35">
        <v>22</v>
      </c>
      <c r="CM22" s="30"/>
    </row>
    <row r="23" spans="1:91" ht="32" customHeight="1" x14ac:dyDescent="0.2">
      <c r="A23" s="35">
        <v>23</v>
      </c>
      <c r="B23" s="36" t="s">
        <v>42</v>
      </c>
      <c r="C23" s="24">
        <v>101903.56109882535</v>
      </c>
      <c r="D23" s="24">
        <v>43927.619878822014</v>
      </c>
      <c r="E23" s="24">
        <v>14219.001649726533</v>
      </c>
      <c r="F23" s="24">
        <v>32886.608906259768</v>
      </c>
      <c r="G23" s="289">
        <v>167789.7769416213</v>
      </c>
      <c r="H23" s="24">
        <v>54996.226055592968</v>
      </c>
      <c r="I23" s="24">
        <v>5808.442763657964</v>
      </c>
      <c r="J23" s="24">
        <v>40842.915357597238</v>
      </c>
      <c r="K23" s="24">
        <v>6571.1336006189267</v>
      </c>
      <c r="L23" s="24">
        <v>2918.3961935062525</v>
      </c>
      <c r="M23" s="24">
        <v>3214.0271194117522</v>
      </c>
      <c r="N23" s="24">
        <v>38377.385307891571</v>
      </c>
      <c r="O23" s="24">
        <v>8591.8681299308173</v>
      </c>
      <c r="P23" s="70">
        <v>580539.005593815</v>
      </c>
      <c r="Q23" s="24">
        <v>181660.98782626278</v>
      </c>
      <c r="R23" s="24">
        <v>157114.18590646109</v>
      </c>
      <c r="S23" s="24">
        <v>99528.155244669208</v>
      </c>
      <c r="T23" s="24">
        <v>3261524.2936842963</v>
      </c>
      <c r="U23" s="24">
        <v>568904.37166544388</v>
      </c>
      <c r="V23" s="24">
        <v>27319.302950003068</v>
      </c>
      <c r="W23" s="24">
        <v>42200.81087658216</v>
      </c>
      <c r="X23" s="24">
        <v>169293.15097056178</v>
      </c>
      <c r="Y23" s="24">
        <v>38233.220458190335</v>
      </c>
      <c r="Z23" s="24">
        <v>143042.34565131579</v>
      </c>
      <c r="AA23" s="24">
        <v>7156.0552488011308</v>
      </c>
      <c r="AB23" s="24">
        <v>18310.84510042096</v>
      </c>
      <c r="AC23" s="24">
        <v>3087.8193179247651</v>
      </c>
      <c r="AD23" s="24">
        <v>127.33152485654028</v>
      </c>
      <c r="AE23" s="24">
        <v>196.98984806319035</v>
      </c>
      <c r="AF23" s="24">
        <v>5864.4605926432605</v>
      </c>
      <c r="AG23" s="24">
        <v>12838034.046505697</v>
      </c>
      <c r="AH23" s="24">
        <v>173752.58875572259</v>
      </c>
      <c r="AI23" s="24">
        <v>29196.96682874555</v>
      </c>
      <c r="AJ23" s="24">
        <v>129.24182878808963</v>
      </c>
      <c r="AK23" s="24">
        <v>242826.25634786597</v>
      </c>
      <c r="AL23" s="24">
        <v>0</v>
      </c>
      <c r="AM23" s="24">
        <v>0</v>
      </c>
      <c r="AN23" s="24">
        <v>5.2782839469688474</v>
      </c>
      <c r="AO23" s="24">
        <v>0.18180293129573585</v>
      </c>
      <c r="AP23" s="24">
        <v>25.299407413295729</v>
      </c>
      <c r="AQ23" s="24">
        <v>6.5906732394812018</v>
      </c>
      <c r="AR23" s="24">
        <v>6.5906732394812018</v>
      </c>
      <c r="AS23" s="24">
        <v>6313948.976412002</v>
      </c>
      <c r="AT23" s="24">
        <v>26816.18586382021</v>
      </c>
      <c r="AU23" s="24">
        <v>16356.031539446722</v>
      </c>
      <c r="AV23" s="24">
        <v>110573.24929304809</v>
      </c>
      <c r="AW23" s="24">
        <v>220.31053852038136</v>
      </c>
      <c r="AX23" s="24">
        <v>46662.670579913283</v>
      </c>
      <c r="AY23" s="24">
        <v>38034.405152878026</v>
      </c>
      <c r="AZ23" s="24">
        <v>482.03840827047725</v>
      </c>
      <c r="BA23" s="24">
        <v>8311.9435604909268</v>
      </c>
      <c r="BB23" s="24">
        <v>1505.1347712025333</v>
      </c>
      <c r="BC23" s="24">
        <v>294965.09591721796</v>
      </c>
      <c r="BD23" s="24">
        <v>2.7371734648908617</v>
      </c>
      <c r="BE23" s="24">
        <v>3334.1673670755872</v>
      </c>
      <c r="BF23" s="24">
        <v>55700.290025915943</v>
      </c>
      <c r="BG23" s="24">
        <v>435310.37870170211</v>
      </c>
      <c r="BH23" s="24">
        <v>249896.39152049692</v>
      </c>
      <c r="BI23" s="24">
        <v>2025171.7654766801</v>
      </c>
      <c r="BJ23" s="24">
        <v>89.453041365593123</v>
      </c>
      <c r="BK23" s="24">
        <v>0.90167811837051492</v>
      </c>
      <c r="BL23" s="24">
        <v>9.6419039099467714</v>
      </c>
      <c r="BM23" s="24">
        <v>34277.374182452069</v>
      </c>
      <c r="BN23" s="24">
        <v>193427.8245209092</v>
      </c>
      <c r="BO23" s="24">
        <v>26599.927712671346</v>
      </c>
      <c r="BP23" s="24">
        <v>64758.565711546165</v>
      </c>
      <c r="BQ23" s="24">
        <v>0</v>
      </c>
      <c r="BR23" s="25">
        <v>29056588.79762448</v>
      </c>
      <c r="BS23" s="26">
        <v>31781847.823027659</v>
      </c>
      <c r="BT23" s="26">
        <v>0</v>
      </c>
      <c r="BU23" s="26">
        <v>0</v>
      </c>
      <c r="BV23" s="26">
        <v>0</v>
      </c>
      <c r="BW23" s="26">
        <v>0</v>
      </c>
      <c r="BX23" s="27">
        <v>31781847.823027659</v>
      </c>
      <c r="BY23" s="26">
        <v>519701.71860492317</v>
      </c>
      <c r="BZ23" s="26">
        <v>935210.7266843227</v>
      </c>
      <c r="CA23" s="27">
        <v>1454912.4452892458</v>
      </c>
      <c r="CB23" s="26">
        <v>5714889.4281636719</v>
      </c>
      <c r="CC23" s="26">
        <v>0</v>
      </c>
      <c r="CD23" s="26">
        <v>0</v>
      </c>
      <c r="CE23" s="27">
        <v>5714889.4281636719</v>
      </c>
      <c r="CF23" s="25">
        <v>38951649.69648058</v>
      </c>
      <c r="CG23" s="26">
        <v>3388705.1783000622</v>
      </c>
      <c r="CH23" s="25">
        <v>64619533.315804996</v>
      </c>
      <c r="CI23" s="39" t="s">
        <v>122</v>
      </c>
      <c r="CJ23" s="35">
        <v>23</v>
      </c>
      <c r="CM23" s="30"/>
    </row>
    <row r="24" spans="1:91" s="41" customFormat="1" x14ac:dyDescent="0.2">
      <c r="A24" s="22">
        <v>24</v>
      </c>
      <c r="B24" s="40" t="s">
        <v>43</v>
      </c>
      <c r="C24" s="24">
        <v>2162632.7527924883</v>
      </c>
      <c r="D24" s="24">
        <v>493110.69711431849</v>
      </c>
      <c r="E24" s="24">
        <v>1680832.4335556435</v>
      </c>
      <c r="F24" s="24">
        <v>693759.70177523757</v>
      </c>
      <c r="G24" s="289">
        <v>1883522.6398553895</v>
      </c>
      <c r="H24" s="24">
        <v>279928.27380170696</v>
      </c>
      <c r="I24" s="24">
        <v>435012.55031326594</v>
      </c>
      <c r="J24" s="24">
        <v>101142.49128177974</v>
      </c>
      <c r="K24" s="24">
        <v>70828.13997174862</v>
      </c>
      <c r="L24" s="24">
        <v>37095.588072386461</v>
      </c>
      <c r="M24" s="24">
        <v>27892.638784237457</v>
      </c>
      <c r="N24" s="24">
        <v>596392.7084840188</v>
      </c>
      <c r="O24" s="24">
        <v>150341.24101558403</v>
      </c>
      <c r="P24" s="70">
        <v>3387452.1646843837</v>
      </c>
      <c r="Q24" s="24">
        <v>563298.04099446815</v>
      </c>
      <c r="R24" s="24">
        <v>818118.86227117851</v>
      </c>
      <c r="S24" s="24">
        <v>989559.13932201092</v>
      </c>
      <c r="T24" s="24">
        <v>2790867.0997145874</v>
      </c>
      <c r="U24" s="24">
        <v>49570926.1632668</v>
      </c>
      <c r="V24" s="24">
        <v>7333755.1266223341</v>
      </c>
      <c r="W24" s="24">
        <v>3614548.7393234703</v>
      </c>
      <c r="X24" s="24">
        <v>12160762.119826714</v>
      </c>
      <c r="Y24" s="24">
        <v>3555137.8132485603</v>
      </c>
      <c r="Z24" s="24">
        <v>11756516.708765419</v>
      </c>
      <c r="AA24" s="24">
        <v>195035.68948089913</v>
      </c>
      <c r="AB24" s="24">
        <v>417448.45641780709</v>
      </c>
      <c r="AC24" s="24">
        <v>523363.2696847443</v>
      </c>
      <c r="AD24" s="24">
        <v>2474.58445516552</v>
      </c>
      <c r="AE24" s="24">
        <v>3887.2123976810822</v>
      </c>
      <c r="AF24" s="24">
        <v>920272.67798986868</v>
      </c>
      <c r="AG24" s="24">
        <v>30032896.002687551</v>
      </c>
      <c r="AH24" s="24">
        <v>4723771.4628985021</v>
      </c>
      <c r="AI24" s="24">
        <v>7729834.6694285329</v>
      </c>
      <c r="AJ24" s="24">
        <v>38671.163796273409</v>
      </c>
      <c r="AK24" s="24">
        <v>635027.69414137257</v>
      </c>
      <c r="AL24" s="24">
        <v>0.51486348616753863</v>
      </c>
      <c r="AM24" s="24">
        <v>0.12150540509944285</v>
      </c>
      <c r="AN24" s="24">
        <v>2727.5843600712419</v>
      </c>
      <c r="AO24" s="24">
        <v>107.53354496883668</v>
      </c>
      <c r="AP24" s="24">
        <v>13694.647419173378</v>
      </c>
      <c r="AQ24" s="24">
        <v>1636.4166210925771</v>
      </c>
      <c r="AR24" s="24">
        <v>1636.4166210925771</v>
      </c>
      <c r="AS24" s="24">
        <v>871644.65477181342</v>
      </c>
      <c r="AT24" s="24">
        <v>571389.67180992267</v>
      </c>
      <c r="AU24" s="24">
        <v>348200.50780347403</v>
      </c>
      <c r="AV24" s="24">
        <v>2353268.4614525251</v>
      </c>
      <c r="AW24" s="24">
        <v>4693.1377647724748</v>
      </c>
      <c r="AX24" s="24">
        <v>993203.50435984461</v>
      </c>
      <c r="AY24" s="24">
        <v>808395.83864424459</v>
      </c>
      <c r="AZ24" s="24">
        <v>10247.628451294147</v>
      </c>
      <c r="BA24" s="24">
        <v>144846.40703247281</v>
      </c>
      <c r="BB24" s="24">
        <v>26238.170653217156</v>
      </c>
      <c r="BC24" s="24">
        <v>5115021.0985393059</v>
      </c>
      <c r="BD24" s="24">
        <v>135.75524549226284</v>
      </c>
      <c r="BE24" s="24">
        <v>57837.502323217566</v>
      </c>
      <c r="BF24" s="24">
        <v>951789.85344804125</v>
      </c>
      <c r="BG24" s="24">
        <v>612220.99148167856</v>
      </c>
      <c r="BH24" s="24">
        <v>354767.29416333145</v>
      </c>
      <c r="BI24" s="24">
        <v>883953.40390770347</v>
      </c>
      <c r="BJ24" s="24">
        <v>2910.4132481087631</v>
      </c>
      <c r="BK24" s="24">
        <v>32.107187209720728</v>
      </c>
      <c r="BL24" s="24">
        <v>335.83882191106972</v>
      </c>
      <c r="BM24" s="24">
        <v>67854.478095053128</v>
      </c>
      <c r="BN24" s="24">
        <v>554425.32134604186</v>
      </c>
      <c r="BO24" s="24">
        <v>72267.806174630663</v>
      </c>
      <c r="BP24" s="24">
        <v>315373.39859182847</v>
      </c>
      <c r="BQ24" s="24">
        <v>0</v>
      </c>
      <c r="BR24" s="25">
        <v>165516973.19848853</v>
      </c>
      <c r="BS24" s="26">
        <v>10667494.20782074</v>
      </c>
      <c r="BT24" s="26">
        <v>428182.68788349949</v>
      </c>
      <c r="BU24" s="26">
        <v>468960.75500910217</v>
      </c>
      <c r="BV24" s="26">
        <v>0</v>
      </c>
      <c r="BW24" s="26">
        <v>0</v>
      </c>
      <c r="BX24" s="27">
        <v>10626716.140695138</v>
      </c>
      <c r="BY24" s="26">
        <v>4454756.4199300092</v>
      </c>
      <c r="BZ24" s="26">
        <v>-254869.54638621281</v>
      </c>
      <c r="CA24" s="27">
        <v>4199886.8735437961</v>
      </c>
      <c r="CB24" s="26">
        <v>22657164.97368373</v>
      </c>
      <c r="CC24" s="26">
        <v>0</v>
      </c>
      <c r="CD24" s="26">
        <v>546069.44956564601</v>
      </c>
      <c r="CE24" s="27">
        <v>23203234.423249375</v>
      </c>
      <c r="CF24" s="25">
        <v>38029837.43748831</v>
      </c>
      <c r="CG24" s="26">
        <v>32988496.667753998</v>
      </c>
      <c r="CH24" s="25">
        <v>170558313.96822286</v>
      </c>
      <c r="CI24" s="39" t="s">
        <v>123</v>
      </c>
      <c r="CJ24" s="22">
        <v>24</v>
      </c>
      <c r="CK24" s="2"/>
      <c r="CL24" s="2"/>
      <c r="CM24" s="30"/>
    </row>
    <row r="25" spans="1:91" ht="32" customHeight="1" x14ac:dyDescent="0.2">
      <c r="A25" s="35">
        <v>25</v>
      </c>
      <c r="B25" s="36" t="s">
        <v>44</v>
      </c>
      <c r="C25" s="24">
        <v>288917.46923445794</v>
      </c>
      <c r="D25" s="24">
        <v>77301.203331878292</v>
      </c>
      <c r="E25" s="24">
        <v>117133.98185380423</v>
      </c>
      <c r="F25" s="24">
        <v>75219.313408675604</v>
      </c>
      <c r="G25" s="289">
        <v>301221.08804018027</v>
      </c>
      <c r="H25" s="24">
        <v>45474.942016475361</v>
      </c>
      <c r="I25" s="24">
        <v>37489.728750229093</v>
      </c>
      <c r="J25" s="24">
        <v>14959.000368951289</v>
      </c>
      <c r="K25" s="24">
        <v>11254.119818482368</v>
      </c>
      <c r="L25" s="24">
        <v>5441.8089996788694</v>
      </c>
      <c r="M25" s="24">
        <v>2885.5735727619708</v>
      </c>
      <c r="N25" s="24">
        <v>53427.717842231606</v>
      </c>
      <c r="O25" s="24">
        <v>19031.608908065122</v>
      </c>
      <c r="P25" s="70">
        <v>289852.18121305911</v>
      </c>
      <c r="Q25" s="24">
        <v>86160.705194991766</v>
      </c>
      <c r="R25" s="24">
        <v>114905.95832520259</v>
      </c>
      <c r="S25" s="24">
        <v>84010.426869746152</v>
      </c>
      <c r="T25" s="24">
        <v>345657.32626212284</v>
      </c>
      <c r="U25" s="24">
        <v>2961052.2944238274</v>
      </c>
      <c r="V25" s="24">
        <v>492176.85461331753</v>
      </c>
      <c r="W25" s="24">
        <v>224649.02624110141</v>
      </c>
      <c r="X25" s="24">
        <v>827731.76132665656</v>
      </c>
      <c r="Y25" s="24">
        <v>233924.12369116434</v>
      </c>
      <c r="Z25" s="24">
        <v>882606.27846030041</v>
      </c>
      <c r="AA25" s="24">
        <v>20886.162205039731</v>
      </c>
      <c r="AB25" s="24">
        <v>32450.993192727085</v>
      </c>
      <c r="AC25" s="24">
        <v>34800.304198628517</v>
      </c>
      <c r="AD25" s="24">
        <v>178.72829061283514</v>
      </c>
      <c r="AE25" s="24">
        <v>649.16561878315156</v>
      </c>
      <c r="AF25" s="24">
        <v>57494.859107387194</v>
      </c>
      <c r="AG25" s="24">
        <v>2215819.4659345555</v>
      </c>
      <c r="AH25" s="24">
        <v>409324.15611027164</v>
      </c>
      <c r="AI25" s="24">
        <v>1086745.9007407511</v>
      </c>
      <c r="AJ25" s="24">
        <v>217887.75448215698</v>
      </c>
      <c r="AK25" s="24">
        <v>88387.962243817441</v>
      </c>
      <c r="AL25" s="24">
        <v>0</v>
      </c>
      <c r="AM25" s="24">
        <v>0</v>
      </c>
      <c r="AN25" s="24">
        <v>21726.144222315666</v>
      </c>
      <c r="AO25" s="24">
        <v>748.3259227914773</v>
      </c>
      <c r="AP25" s="24">
        <v>102918.01682003244</v>
      </c>
      <c r="AQ25" s="24">
        <v>12377.074272706719</v>
      </c>
      <c r="AR25" s="24">
        <v>12377.074272706719</v>
      </c>
      <c r="AS25" s="24">
        <v>97171.845248468104</v>
      </c>
      <c r="AT25" s="24">
        <v>40624.489947456925</v>
      </c>
      <c r="AU25" s="24">
        <v>24805.2315310905</v>
      </c>
      <c r="AV25" s="24">
        <v>167376.83557075859</v>
      </c>
      <c r="AW25" s="24">
        <v>335.6418271724915</v>
      </c>
      <c r="AX25" s="24">
        <v>72386.918791552205</v>
      </c>
      <c r="AY25" s="24">
        <v>57665.492575713659</v>
      </c>
      <c r="AZ25" s="24">
        <v>731.2557907630304</v>
      </c>
      <c r="BA25" s="24">
        <v>11182.344445298768</v>
      </c>
      <c r="BB25" s="24">
        <v>1948.9373724923837</v>
      </c>
      <c r="BC25" s="24">
        <v>381350.30818816856</v>
      </c>
      <c r="BD25" s="24">
        <v>14.063425002016178</v>
      </c>
      <c r="BE25" s="24">
        <v>4316.7268939693513</v>
      </c>
      <c r="BF25" s="24">
        <v>71513.270600497854</v>
      </c>
      <c r="BG25" s="24">
        <v>64086.247520556382</v>
      </c>
      <c r="BH25" s="24">
        <v>119887.392619141</v>
      </c>
      <c r="BI25" s="24">
        <v>152629.65768634531</v>
      </c>
      <c r="BJ25" s="24">
        <v>246.3099875796951</v>
      </c>
      <c r="BK25" s="24">
        <v>2.2312421578531092</v>
      </c>
      <c r="BL25" s="24">
        <v>28.467976257046026</v>
      </c>
      <c r="BM25" s="24">
        <v>8049.0546924591554</v>
      </c>
      <c r="BN25" s="24">
        <v>98264.737444089231</v>
      </c>
      <c r="BO25" s="24">
        <v>13110.269908649254</v>
      </c>
      <c r="BP25" s="24">
        <v>23799.980248191627</v>
      </c>
      <c r="BQ25" s="24">
        <v>0</v>
      </c>
      <c r="BR25" s="25">
        <v>13318784.29193648</v>
      </c>
      <c r="BS25" s="26">
        <v>10702441.396797853</v>
      </c>
      <c r="BT25" s="26">
        <v>26824.894797321864</v>
      </c>
      <c r="BU25" s="26">
        <v>28396.213609365961</v>
      </c>
      <c r="BV25" s="26">
        <v>0</v>
      </c>
      <c r="BW25" s="26">
        <v>0</v>
      </c>
      <c r="BX25" s="27">
        <v>10700870.077985808</v>
      </c>
      <c r="BY25" s="26">
        <v>14654231.297968527</v>
      </c>
      <c r="BZ25" s="26">
        <v>-1325483.8071955778</v>
      </c>
      <c r="CA25" s="27">
        <v>13328747.49077295</v>
      </c>
      <c r="CB25" s="26">
        <v>2657781.6946325065</v>
      </c>
      <c r="CC25" s="26">
        <v>0</v>
      </c>
      <c r="CD25" s="26">
        <v>34210.293762776855</v>
      </c>
      <c r="CE25" s="27">
        <v>2691991.9883952835</v>
      </c>
      <c r="CF25" s="25">
        <v>26721609.557154041</v>
      </c>
      <c r="CG25" s="26">
        <v>10822884.100808194</v>
      </c>
      <c r="CH25" s="25">
        <v>29217509.748282321</v>
      </c>
      <c r="CI25" s="39" t="s">
        <v>124</v>
      </c>
      <c r="CJ25" s="35">
        <v>25</v>
      </c>
      <c r="CM25" s="30"/>
    </row>
    <row r="26" spans="1:91" s="41" customFormat="1" ht="32" customHeight="1" x14ac:dyDescent="0.2">
      <c r="A26" s="22">
        <v>26</v>
      </c>
      <c r="B26" s="40" t="s">
        <v>45</v>
      </c>
      <c r="C26" s="24">
        <v>13607.121319193257</v>
      </c>
      <c r="D26" s="24">
        <v>6198.0226197863367</v>
      </c>
      <c r="E26" s="24">
        <v>5735.6930541597394</v>
      </c>
      <c r="F26" s="24">
        <v>8008.4723859218411</v>
      </c>
      <c r="G26" s="289">
        <v>26834.545533021443</v>
      </c>
      <c r="H26" s="24">
        <v>3801.4758925881115</v>
      </c>
      <c r="I26" s="24">
        <v>3473.8586701760441</v>
      </c>
      <c r="J26" s="24">
        <v>1228.3371896221593</v>
      </c>
      <c r="K26" s="24">
        <v>977.07529646502428</v>
      </c>
      <c r="L26" s="24">
        <v>222.19105767758788</v>
      </c>
      <c r="M26" s="24">
        <v>64.543643363825979</v>
      </c>
      <c r="N26" s="24">
        <v>2599.5442117273433</v>
      </c>
      <c r="O26" s="24">
        <v>1175.6135429620012</v>
      </c>
      <c r="P26" s="70">
        <v>21276.712811784586</v>
      </c>
      <c r="Q26" s="24">
        <v>3740.4352570009155</v>
      </c>
      <c r="R26" s="24">
        <v>5282.2979085649986</v>
      </c>
      <c r="S26" s="24">
        <v>1816.4184047585625</v>
      </c>
      <c r="T26" s="24">
        <v>21228.667779800435</v>
      </c>
      <c r="U26" s="24">
        <v>8602.8105096260806</v>
      </c>
      <c r="V26" s="24">
        <v>2830.4534677081283</v>
      </c>
      <c r="W26" s="24">
        <v>173409.17599675703</v>
      </c>
      <c r="X26" s="24">
        <v>56101.275753654656</v>
      </c>
      <c r="Y26" s="24">
        <v>26183.474982801305</v>
      </c>
      <c r="Z26" s="24">
        <v>7219.4554539286328</v>
      </c>
      <c r="AA26" s="24">
        <v>768.15054413651706</v>
      </c>
      <c r="AB26" s="24">
        <v>944.865829281885</v>
      </c>
      <c r="AC26" s="24">
        <v>1095.5182044553135</v>
      </c>
      <c r="AD26" s="24">
        <v>7.6276269544940183</v>
      </c>
      <c r="AE26" s="24">
        <v>4712.4265812922531</v>
      </c>
      <c r="AF26" s="24">
        <v>2882.9934649153483</v>
      </c>
      <c r="AG26" s="24">
        <v>42705.501995795537</v>
      </c>
      <c r="AH26" s="24">
        <v>65092.679116725281</v>
      </c>
      <c r="AI26" s="24">
        <v>35058.597011564954</v>
      </c>
      <c r="AJ26" s="24">
        <v>5944.9167720210689</v>
      </c>
      <c r="AK26" s="24">
        <v>18081.603884799013</v>
      </c>
      <c r="AL26" s="24">
        <v>0</v>
      </c>
      <c r="AM26" s="24">
        <v>0</v>
      </c>
      <c r="AN26" s="24">
        <v>540.40606818607057</v>
      </c>
      <c r="AO26" s="24">
        <v>18.61351307988107</v>
      </c>
      <c r="AP26" s="24">
        <v>2560.0279527744592</v>
      </c>
      <c r="AQ26" s="24">
        <v>308.98539795009378</v>
      </c>
      <c r="AR26" s="24">
        <v>308.98539795009378</v>
      </c>
      <c r="AS26" s="24">
        <v>5750.2831964958596</v>
      </c>
      <c r="AT26" s="24">
        <v>17078.651238267717</v>
      </c>
      <c r="AU26" s="24">
        <v>10427.443978586341</v>
      </c>
      <c r="AV26" s="24">
        <v>70379.639546152233</v>
      </c>
      <c r="AW26" s="24">
        <v>141.01122108584838</v>
      </c>
      <c r="AX26" s="24">
        <v>29746.949408727782</v>
      </c>
      <c r="AY26" s="24">
        <v>24205.675714229041</v>
      </c>
      <c r="AZ26" s="24">
        <v>306.99843194202197</v>
      </c>
      <c r="BA26" s="24">
        <v>2242.7777063579679</v>
      </c>
      <c r="BB26" s="24">
        <v>366.55170818972397</v>
      </c>
      <c r="BC26" s="24">
        <v>72097.785537309173</v>
      </c>
      <c r="BD26" s="24">
        <v>5.9228491878193301</v>
      </c>
      <c r="BE26" s="24">
        <v>812.1407590798683</v>
      </c>
      <c r="BF26" s="24">
        <v>13395.392517016569</v>
      </c>
      <c r="BG26" s="24">
        <v>25959.232658528439</v>
      </c>
      <c r="BH26" s="24">
        <v>37173.561273972547</v>
      </c>
      <c r="BI26" s="24">
        <v>141555.74284486813</v>
      </c>
      <c r="BJ26" s="24">
        <v>851.76867680126838</v>
      </c>
      <c r="BK26" s="24">
        <v>6.557096877882727</v>
      </c>
      <c r="BL26" s="24">
        <v>94.223676086788572</v>
      </c>
      <c r="BM26" s="24">
        <v>24841.882493751807</v>
      </c>
      <c r="BN26" s="24">
        <v>1021421.0043563617</v>
      </c>
      <c r="BO26" s="24">
        <v>171237.23670924752</v>
      </c>
      <c r="BP26" s="24">
        <v>8087.3403995399103</v>
      </c>
      <c r="BQ26" s="24">
        <v>0</v>
      </c>
      <c r="BR26" s="25">
        <v>2260835.346103596</v>
      </c>
      <c r="BS26" s="26">
        <v>13958747.958424456</v>
      </c>
      <c r="BT26" s="26">
        <v>0</v>
      </c>
      <c r="BU26" s="26">
        <v>0</v>
      </c>
      <c r="BV26" s="26">
        <v>0</v>
      </c>
      <c r="BW26" s="26">
        <v>0</v>
      </c>
      <c r="BX26" s="27">
        <v>13958747.958424456</v>
      </c>
      <c r="BY26" s="26">
        <v>5287320.9111003671</v>
      </c>
      <c r="BZ26" s="26">
        <v>-777281.16739730083</v>
      </c>
      <c r="CA26" s="27">
        <v>4510039.7437030664</v>
      </c>
      <c r="CB26" s="26">
        <v>3097118.561712719</v>
      </c>
      <c r="CC26" s="26">
        <v>0</v>
      </c>
      <c r="CD26" s="26">
        <v>0</v>
      </c>
      <c r="CE26" s="27">
        <v>3097118.561712719</v>
      </c>
      <c r="CF26" s="25">
        <v>21565906.263840243</v>
      </c>
      <c r="CG26" s="26">
        <v>15674627.430628721</v>
      </c>
      <c r="CH26" s="25">
        <v>8152114.17931512</v>
      </c>
      <c r="CI26" s="39" t="s">
        <v>125</v>
      </c>
      <c r="CJ26" s="22">
        <v>26</v>
      </c>
      <c r="CK26" s="2"/>
      <c r="CL26" s="2"/>
      <c r="CM26" s="30"/>
    </row>
    <row r="27" spans="1:91" ht="32" customHeight="1" x14ac:dyDescent="0.2">
      <c r="A27" s="35">
        <v>27</v>
      </c>
      <c r="B27" s="36" t="s">
        <v>46</v>
      </c>
      <c r="C27" s="24">
        <v>1560363.3546129456</v>
      </c>
      <c r="D27" s="24">
        <v>38998.417329352153</v>
      </c>
      <c r="E27" s="24">
        <v>21851.761590736016</v>
      </c>
      <c r="F27" s="24">
        <v>69176.657635913711</v>
      </c>
      <c r="G27" s="289">
        <v>166840.27368729602</v>
      </c>
      <c r="H27" s="24">
        <v>14775.434409187972</v>
      </c>
      <c r="I27" s="24">
        <v>7109.5338786556795</v>
      </c>
      <c r="J27" s="24">
        <v>4615.3076431381323</v>
      </c>
      <c r="K27" s="24">
        <v>4735.557030507669</v>
      </c>
      <c r="L27" s="24">
        <v>726.25238873886167</v>
      </c>
      <c r="M27" s="24">
        <v>364.74212050091404</v>
      </c>
      <c r="N27" s="24">
        <v>15050.35900995355</v>
      </c>
      <c r="O27" s="24">
        <v>6391.6830214097863</v>
      </c>
      <c r="P27" s="70">
        <v>51464.084153610253</v>
      </c>
      <c r="Q27" s="24">
        <v>14168.860731524917</v>
      </c>
      <c r="R27" s="24">
        <v>22959.260179346249</v>
      </c>
      <c r="S27" s="24">
        <v>7455.0885911524874</v>
      </c>
      <c r="T27" s="24">
        <v>126550.8973987888</v>
      </c>
      <c r="U27" s="24">
        <v>176848.24562805757</v>
      </c>
      <c r="V27" s="24">
        <v>31684.01710564888</v>
      </c>
      <c r="W27" s="24">
        <v>86084.275986222347</v>
      </c>
      <c r="X27" s="24">
        <v>742828.12376103573</v>
      </c>
      <c r="Y27" s="24">
        <v>52506.393409311269</v>
      </c>
      <c r="Z27" s="24">
        <v>81641.692190709073</v>
      </c>
      <c r="AA27" s="24">
        <v>6683.9378749749922</v>
      </c>
      <c r="AB27" s="24">
        <v>6995.1491397023829</v>
      </c>
      <c r="AC27" s="24">
        <v>2489.4844110228337</v>
      </c>
      <c r="AD27" s="24">
        <v>24.994188258353109</v>
      </c>
      <c r="AE27" s="24">
        <v>2677.5438437466973</v>
      </c>
      <c r="AF27" s="24">
        <v>25272.388622643375</v>
      </c>
      <c r="AG27" s="24">
        <v>328434.35506439279</v>
      </c>
      <c r="AH27" s="24">
        <v>125503.06622789387</v>
      </c>
      <c r="AI27" s="24">
        <v>454867.22466502595</v>
      </c>
      <c r="AJ27" s="24">
        <v>2965.5924556941336</v>
      </c>
      <c r="AK27" s="24">
        <v>25993.543356242226</v>
      </c>
      <c r="AL27" s="24">
        <v>0</v>
      </c>
      <c r="AM27" s="24">
        <v>0</v>
      </c>
      <c r="AN27" s="24">
        <v>230.9609414769846</v>
      </c>
      <c r="AO27" s="24">
        <v>7.9551188600703986</v>
      </c>
      <c r="AP27" s="24">
        <v>1094.3164818748976</v>
      </c>
      <c r="AQ27" s="24">
        <v>134.49408221496256</v>
      </c>
      <c r="AR27" s="24">
        <v>134.49408221496256</v>
      </c>
      <c r="AS27" s="24">
        <v>54981.666691975443</v>
      </c>
      <c r="AT27" s="24">
        <v>15713.665955984638</v>
      </c>
      <c r="AU27" s="24">
        <v>9677.4378488868606</v>
      </c>
      <c r="AV27" s="24">
        <v>64389.011307240711</v>
      </c>
      <c r="AW27" s="24">
        <v>135.37388229004836</v>
      </c>
      <c r="AX27" s="24">
        <v>27220.686649703497</v>
      </c>
      <c r="AY27" s="24">
        <v>22257.797548585258</v>
      </c>
      <c r="AZ27" s="24">
        <v>283.83146466778737</v>
      </c>
      <c r="BA27" s="24">
        <v>5661.8348836958758</v>
      </c>
      <c r="BB27" s="24">
        <v>753.6629439726355</v>
      </c>
      <c r="BC27" s="24">
        <v>145939.02197614213</v>
      </c>
      <c r="BD27" s="24">
        <v>37.218697952947046</v>
      </c>
      <c r="BE27" s="24">
        <v>1671.03798332361</v>
      </c>
      <c r="BF27" s="24">
        <v>27330.212714652567</v>
      </c>
      <c r="BG27" s="24">
        <v>160115.73520305319</v>
      </c>
      <c r="BH27" s="24">
        <v>30061.412597095121</v>
      </c>
      <c r="BI27" s="24">
        <v>137823.69139435948</v>
      </c>
      <c r="BJ27" s="24">
        <v>319.9247724092499</v>
      </c>
      <c r="BK27" s="24">
        <v>4.5456351125544483</v>
      </c>
      <c r="BL27" s="24">
        <v>42.834527630352568</v>
      </c>
      <c r="BM27" s="24">
        <v>12841.093362909996</v>
      </c>
      <c r="BN27" s="24">
        <v>198690.01218771032</v>
      </c>
      <c r="BO27" s="24">
        <v>32214.921487374173</v>
      </c>
      <c r="BP27" s="24">
        <v>20926.919233120843</v>
      </c>
      <c r="BQ27" s="24">
        <v>0</v>
      </c>
      <c r="BR27" s="25">
        <v>5257793.3249998316</v>
      </c>
      <c r="BS27" s="26">
        <v>25785891.567434914</v>
      </c>
      <c r="BT27" s="26">
        <v>16885.881382114316</v>
      </c>
      <c r="BU27" s="26">
        <v>8564.5167493345198</v>
      </c>
      <c r="BV27" s="26">
        <v>0</v>
      </c>
      <c r="BW27" s="26">
        <v>0</v>
      </c>
      <c r="BX27" s="27">
        <v>25794212.932067696</v>
      </c>
      <c r="BY27" s="26">
        <v>25060772.839107256</v>
      </c>
      <c r="BZ27" s="26">
        <v>-3387874.7032668823</v>
      </c>
      <c r="CA27" s="27">
        <v>21672898.135840375</v>
      </c>
      <c r="CB27" s="26">
        <v>6838868.9888068242</v>
      </c>
      <c r="CC27" s="26">
        <v>0</v>
      </c>
      <c r="CD27" s="26">
        <v>21534.882686034191</v>
      </c>
      <c r="CE27" s="27">
        <v>6860403.871492858</v>
      </c>
      <c r="CF27" s="25">
        <v>54327514.939400926</v>
      </c>
      <c r="CG27" s="26">
        <v>28975974.194414034</v>
      </c>
      <c r="CH27" s="25">
        <v>30609334.069986723</v>
      </c>
      <c r="CI27" s="39" t="s">
        <v>126</v>
      </c>
      <c r="CJ27" s="35">
        <v>27</v>
      </c>
      <c r="CM27" s="30"/>
    </row>
    <row r="28" spans="1:91" ht="32" customHeight="1" x14ac:dyDescent="0.2">
      <c r="A28" s="35">
        <v>28</v>
      </c>
      <c r="B28" s="36" t="s">
        <v>47</v>
      </c>
      <c r="C28" s="24">
        <v>278287.38690765435</v>
      </c>
      <c r="D28" s="24">
        <v>54328.017558288935</v>
      </c>
      <c r="E28" s="24">
        <v>40212.255244912689</v>
      </c>
      <c r="F28" s="24">
        <v>516419.20215308567</v>
      </c>
      <c r="G28" s="289">
        <v>442641.48473427887</v>
      </c>
      <c r="H28" s="24">
        <v>34144.984106948184</v>
      </c>
      <c r="I28" s="24">
        <v>26944.39244218812</v>
      </c>
      <c r="J28" s="24">
        <v>16214.624524868013</v>
      </c>
      <c r="K28" s="24">
        <v>8506.7238265967317</v>
      </c>
      <c r="L28" s="24">
        <v>1074.9284538504521</v>
      </c>
      <c r="M28" s="24">
        <v>640.21487409150336</v>
      </c>
      <c r="N28" s="24">
        <v>21744.857674933766</v>
      </c>
      <c r="O28" s="24">
        <v>8458.6562616235497</v>
      </c>
      <c r="P28" s="70">
        <v>37788.356113835944</v>
      </c>
      <c r="Q28" s="24">
        <v>28904.469763095265</v>
      </c>
      <c r="R28" s="24">
        <v>47458.301786402968</v>
      </c>
      <c r="S28" s="24">
        <v>7209.1542584253384</v>
      </c>
      <c r="T28" s="24">
        <v>280584.90606418054</v>
      </c>
      <c r="U28" s="24">
        <v>53043.961486111795</v>
      </c>
      <c r="V28" s="24">
        <v>16442.568177415444</v>
      </c>
      <c r="W28" s="24">
        <v>9505.0168624479647</v>
      </c>
      <c r="X28" s="24">
        <v>25508.035017105958</v>
      </c>
      <c r="Y28" s="24">
        <v>18776.262259356095</v>
      </c>
      <c r="Z28" s="24">
        <v>25231.403519852029</v>
      </c>
      <c r="AA28" s="24">
        <v>6023.3382847398507</v>
      </c>
      <c r="AB28" s="24">
        <v>5378.7969112040228</v>
      </c>
      <c r="AC28" s="24">
        <v>403.09722354589991</v>
      </c>
      <c r="AD28" s="24">
        <v>93.926276203463289</v>
      </c>
      <c r="AE28" s="24">
        <v>25377.747027070949</v>
      </c>
      <c r="AF28" s="24">
        <v>140643.37280293307</v>
      </c>
      <c r="AG28" s="24">
        <v>2531134.8918764074</v>
      </c>
      <c r="AH28" s="24">
        <v>420151.02460562624</v>
      </c>
      <c r="AI28" s="24">
        <v>836475.23914902052</v>
      </c>
      <c r="AJ28" s="24">
        <v>12922.264006894218</v>
      </c>
      <c r="AK28" s="24">
        <v>179954.63808647566</v>
      </c>
      <c r="AL28" s="24">
        <v>7.7675963699480849E-2</v>
      </c>
      <c r="AM28" s="24">
        <v>1.8331168726002565E-2</v>
      </c>
      <c r="AN28" s="24">
        <v>819.82128823861649</v>
      </c>
      <c r="AO28" s="24">
        <v>30.287221692503238</v>
      </c>
      <c r="AP28" s="24">
        <v>4000.6080011334097</v>
      </c>
      <c r="AQ28" s="24">
        <v>483.21813656613239</v>
      </c>
      <c r="AR28" s="24">
        <v>483.21813656613239</v>
      </c>
      <c r="AS28" s="24">
        <v>398181.06096060335</v>
      </c>
      <c r="AT28" s="24">
        <v>2523.907213626891</v>
      </c>
      <c r="AU28" s="24">
        <v>2696.1088166655213</v>
      </c>
      <c r="AV28" s="24">
        <v>4752.6495945947572</v>
      </c>
      <c r="AW28" s="24">
        <v>101.66114164563952</v>
      </c>
      <c r="AX28" s="24">
        <v>2441.5075844339085</v>
      </c>
      <c r="AY28" s="24">
        <v>2937.805550127498</v>
      </c>
      <c r="AZ28" s="24">
        <v>59.986651522363985</v>
      </c>
      <c r="BA28" s="24">
        <v>20518.9821971192</v>
      </c>
      <c r="BB28" s="24">
        <v>246.99043904572804</v>
      </c>
      <c r="BC28" s="24">
        <v>18480.700602763667</v>
      </c>
      <c r="BD28" s="24">
        <v>471.44581143360949</v>
      </c>
      <c r="BE28" s="24">
        <v>524.23644824047642</v>
      </c>
      <c r="BF28" s="24">
        <v>4382.58198474853</v>
      </c>
      <c r="BG28" s="24">
        <v>393876.87617971294</v>
      </c>
      <c r="BH28" s="24">
        <v>84188.995778458659</v>
      </c>
      <c r="BI28" s="24">
        <v>741027.00737970357</v>
      </c>
      <c r="BJ28" s="24">
        <v>251.93843321497641</v>
      </c>
      <c r="BK28" s="24">
        <v>25.883712154552764</v>
      </c>
      <c r="BL28" s="24">
        <v>148.04240876803789</v>
      </c>
      <c r="BM28" s="24">
        <v>54577.778941960445</v>
      </c>
      <c r="BN28" s="24">
        <v>94727.533070592253</v>
      </c>
      <c r="BO28" s="24">
        <v>18849.571183682769</v>
      </c>
      <c r="BP28" s="24">
        <v>18528.529329198871</v>
      </c>
      <c r="BQ28" s="24">
        <v>0</v>
      </c>
      <c r="BR28" s="25">
        <v>8028967.5305270161</v>
      </c>
      <c r="BS28" s="26">
        <v>3857762.3838117644</v>
      </c>
      <c r="BT28" s="26">
        <v>30.080395281343741</v>
      </c>
      <c r="BU28" s="26">
        <v>32.945107967441494</v>
      </c>
      <c r="BV28" s="26">
        <v>0</v>
      </c>
      <c r="BW28" s="26">
        <v>0</v>
      </c>
      <c r="BX28" s="27">
        <v>3857759.5190990781</v>
      </c>
      <c r="BY28" s="26">
        <v>22880657.379325274</v>
      </c>
      <c r="BZ28" s="26">
        <v>-7211625.8279219568</v>
      </c>
      <c r="CA28" s="27">
        <v>15669031.551403318</v>
      </c>
      <c r="CB28" s="26">
        <v>541228.24069480144</v>
      </c>
      <c r="CC28" s="26">
        <v>0</v>
      </c>
      <c r="CD28" s="26">
        <v>38.362094869350798</v>
      </c>
      <c r="CE28" s="27">
        <v>541266.60278967081</v>
      </c>
      <c r="CF28" s="25">
        <v>20068057.673292067</v>
      </c>
      <c r="CG28" s="26">
        <v>16907958.913154688</v>
      </c>
      <c r="CH28" s="25">
        <v>11189066.290664393</v>
      </c>
      <c r="CI28" s="39" t="s">
        <v>127</v>
      </c>
      <c r="CJ28" s="35">
        <v>28</v>
      </c>
      <c r="CM28" s="30"/>
    </row>
    <row r="29" spans="1:91" x14ac:dyDescent="0.2">
      <c r="A29" s="35">
        <v>29</v>
      </c>
      <c r="B29" s="36" t="s">
        <v>48</v>
      </c>
      <c r="C29" s="24">
        <v>303022.11763932311</v>
      </c>
      <c r="D29" s="24">
        <v>126651.89120333668</v>
      </c>
      <c r="E29" s="24">
        <v>33130.52585517674</v>
      </c>
      <c r="F29" s="24">
        <v>65292.041791155745</v>
      </c>
      <c r="G29" s="289">
        <v>504059.96696579718</v>
      </c>
      <c r="H29" s="24">
        <v>35772.893459659652</v>
      </c>
      <c r="I29" s="24">
        <v>5033.5623401308503</v>
      </c>
      <c r="J29" s="24">
        <v>11765.179750683761</v>
      </c>
      <c r="K29" s="24">
        <v>14578.257373855242</v>
      </c>
      <c r="L29" s="24">
        <v>1103.9272774631588</v>
      </c>
      <c r="M29" s="24">
        <v>1262.7907431958613</v>
      </c>
      <c r="N29" s="24">
        <v>33241.879210571948</v>
      </c>
      <c r="O29" s="24">
        <v>18801.299826436793</v>
      </c>
      <c r="P29" s="70">
        <v>78102.335298609192</v>
      </c>
      <c r="Q29" s="24">
        <v>22938.082452015733</v>
      </c>
      <c r="R29" s="24">
        <v>45777.276154353836</v>
      </c>
      <c r="S29" s="24">
        <v>5180.6810238951166</v>
      </c>
      <c r="T29" s="24">
        <v>334929.75212309719</v>
      </c>
      <c r="U29" s="24">
        <v>34232.064109386214</v>
      </c>
      <c r="V29" s="24">
        <v>15980.57231898924</v>
      </c>
      <c r="W29" s="24">
        <v>6605.8968549651654</v>
      </c>
      <c r="X29" s="24">
        <v>54986.153481436166</v>
      </c>
      <c r="Y29" s="24">
        <v>40110.246394710215</v>
      </c>
      <c r="Z29" s="24">
        <v>732856.23292352248</v>
      </c>
      <c r="AA29" s="24">
        <v>18939.472241547584</v>
      </c>
      <c r="AB29" s="24">
        <v>24126.50159333599</v>
      </c>
      <c r="AC29" s="24">
        <v>320.33636139593125</v>
      </c>
      <c r="AD29" s="24">
        <v>412.12977768110034</v>
      </c>
      <c r="AE29" s="24">
        <v>3005.5698735504657</v>
      </c>
      <c r="AF29" s="24">
        <v>18545.57705236016</v>
      </c>
      <c r="AG29" s="24">
        <v>358265.81361358269</v>
      </c>
      <c r="AH29" s="24">
        <v>547652.21036400448</v>
      </c>
      <c r="AI29" s="24">
        <v>941918.29703641334</v>
      </c>
      <c r="AJ29" s="24">
        <v>3442.1901870050033</v>
      </c>
      <c r="AK29" s="24">
        <v>37818.132097143993</v>
      </c>
      <c r="AL29" s="24">
        <v>0</v>
      </c>
      <c r="AM29" s="24">
        <v>0</v>
      </c>
      <c r="AN29" s="24">
        <v>244.17435197466688</v>
      </c>
      <c r="AO29" s="24">
        <v>8.4102358611692143</v>
      </c>
      <c r="AP29" s="24">
        <v>1156.6767452671077</v>
      </c>
      <c r="AQ29" s="24">
        <v>139.20618566886725</v>
      </c>
      <c r="AR29" s="24">
        <v>139.20618566886725</v>
      </c>
      <c r="AS29" s="24">
        <v>49230.717176951766</v>
      </c>
      <c r="AT29" s="24">
        <v>2029.6039364758419</v>
      </c>
      <c r="AU29" s="24">
        <v>1378.8701391031527</v>
      </c>
      <c r="AV29" s="24">
        <v>7762.9512366889094</v>
      </c>
      <c r="AW29" s="24">
        <v>26.145916046383583</v>
      </c>
      <c r="AX29" s="24">
        <v>3340.3000507084353</v>
      </c>
      <c r="AY29" s="24">
        <v>2813.8890188611645</v>
      </c>
      <c r="AZ29" s="24">
        <v>38.329729430973799</v>
      </c>
      <c r="BA29" s="24">
        <v>3880.2379076819298</v>
      </c>
      <c r="BB29" s="24">
        <v>293.89521852550786</v>
      </c>
      <c r="BC29" s="24">
        <v>55151.287435500381</v>
      </c>
      <c r="BD29" s="24">
        <v>54.240176488679481</v>
      </c>
      <c r="BE29" s="24">
        <v>653.82354928206553</v>
      </c>
      <c r="BF29" s="24">
        <v>10247.620469433965</v>
      </c>
      <c r="BG29" s="24">
        <v>52019.44753733425</v>
      </c>
      <c r="BH29" s="24">
        <v>12441.354839777392</v>
      </c>
      <c r="BI29" s="24">
        <v>121813.05855784714</v>
      </c>
      <c r="BJ29" s="24">
        <v>112.73032604389434</v>
      </c>
      <c r="BK29" s="24">
        <v>3.0209641910204401</v>
      </c>
      <c r="BL29" s="24">
        <v>26.257434821689003</v>
      </c>
      <c r="BM29" s="24">
        <v>8334.8112689369063</v>
      </c>
      <c r="BN29" s="24">
        <v>108761.97194093876</v>
      </c>
      <c r="BO29" s="24">
        <v>19732.610272319587</v>
      </c>
      <c r="BP29" s="24">
        <v>34084.190915240695</v>
      </c>
      <c r="BQ29" s="24">
        <v>0</v>
      </c>
      <c r="BR29" s="25">
        <v>4975780.8964928584</v>
      </c>
      <c r="BS29" s="26">
        <v>34726023.779677033</v>
      </c>
      <c r="BT29" s="26">
        <v>80204.66798563271</v>
      </c>
      <c r="BU29" s="26">
        <v>35585.888103501107</v>
      </c>
      <c r="BV29" s="26">
        <v>0</v>
      </c>
      <c r="BW29" s="26">
        <v>0</v>
      </c>
      <c r="BX29" s="27">
        <v>34770642.559559166</v>
      </c>
      <c r="BY29" s="26">
        <v>22142428.628986996</v>
      </c>
      <c r="BZ29" s="26">
        <v>-1901171.5629820216</v>
      </c>
      <c r="CA29" s="27">
        <v>20241257.066004973</v>
      </c>
      <c r="CB29" s="26">
        <v>1038079.7804355382</v>
      </c>
      <c r="CC29" s="26">
        <v>0</v>
      </c>
      <c r="CD29" s="26">
        <v>102286.52427775472</v>
      </c>
      <c r="CE29" s="27">
        <v>1140366.304713293</v>
      </c>
      <c r="CF29" s="25">
        <v>56152265.930277437</v>
      </c>
      <c r="CG29" s="26">
        <v>35906188.038428195</v>
      </c>
      <c r="CH29" s="25">
        <v>25221858.788342103</v>
      </c>
      <c r="CI29" s="39" t="s">
        <v>128</v>
      </c>
      <c r="CJ29" s="35">
        <v>29</v>
      </c>
      <c r="CM29" s="30"/>
    </row>
    <row r="30" spans="1:91" ht="32" customHeight="1" x14ac:dyDescent="0.2">
      <c r="A30" s="35">
        <v>30</v>
      </c>
      <c r="B30" s="36" t="s">
        <v>49</v>
      </c>
      <c r="C30" s="24">
        <v>87206.703115949102</v>
      </c>
      <c r="D30" s="24">
        <v>41947.528029938061</v>
      </c>
      <c r="E30" s="24">
        <v>896.23717381769802</v>
      </c>
      <c r="F30" s="24">
        <v>342.89981728425994</v>
      </c>
      <c r="G30" s="289">
        <v>157659.22187489292</v>
      </c>
      <c r="H30" s="24">
        <v>10976.08065279434</v>
      </c>
      <c r="I30" s="24">
        <v>718.77336186319667</v>
      </c>
      <c r="J30" s="24">
        <v>3274.824263385226</v>
      </c>
      <c r="K30" s="24">
        <v>4640.997965980021</v>
      </c>
      <c r="L30" s="24">
        <v>334.32818044833493</v>
      </c>
      <c r="M30" s="24">
        <v>181.90223071536559</v>
      </c>
      <c r="N30" s="24">
        <v>10096.576286713289</v>
      </c>
      <c r="O30" s="24">
        <v>6175.0720683612717</v>
      </c>
      <c r="P30" s="70">
        <v>11935.015906722323</v>
      </c>
      <c r="Q30" s="24">
        <v>6610.6443157619942</v>
      </c>
      <c r="R30" s="24">
        <v>13862.604764468471</v>
      </c>
      <c r="S30" s="24">
        <v>1266.3567385129713</v>
      </c>
      <c r="T30" s="24">
        <v>101091.84309492508</v>
      </c>
      <c r="U30" s="24">
        <v>9008.7054111518937</v>
      </c>
      <c r="V30" s="24">
        <v>5182.5107164385454</v>
      </c>
      <c r="W30" s="24">
        <v>1687.1373714611357</v>
      </c>
      <c r="X30" s="24">
        <v>10785.563368101042</v>
      </c>
      <c r="Y30" s="24">
        <v>12478.201187601704</v>
      </c>
      <c r="Z30" s="24">
        <v>21370.463938540452</v>
      </c>
      <c r="AA30" s="24">
        <v>4182.3288256296828</v>
      </c>
      <c r="AB30" s="24">
        <v>3948.9478084646344</v>
      </c>
      <c r="AC30" s="24">
        <v>113.86872013459924</v>
      </c>
      <c r="AD30" s="24">
        <v>9.8649932924808841</v>
      </c>
      <c r="AE30" s="24">
        <v>1.4764567031611301E-4</v>
      </c>
      <c r="AF30" s="24">
        <v>44.872267163119425</v>
      </c>
      <c r="AG30" s="24">
        <v>12585.464089011592</v>
      </c>
      <c r="AH30" s="24">
        <v>12623.353335983846</v>
      </c>
      <c r="AI30" s="24">
        <v>27357.500664150939</v>
      </c>
      <c r="AJ30" s="24">
        <v>2853.2342099541897</v>
      </c>
      <c r="AK30" s="24">
        <v>924.72627640162091</v>
      </c>
      <c r="AL30" s="24">
        <v>0</v>
      </c>
      <c r="AM30" s="24">
        <v>0</v>
      </c>
      <c r="AN30" s="24">
        <v>284.49908285391183</v>
      </c>
      <c r="AO30" s="24">
        <v>9.7991634655222271</v>
      </c>
      <c r="AP30" s="24">
        <v>1347.6783811799926</v>
      </c>
      <c r="AQ30" s="24">
        <v>161.94877984977174</v>
      </c>
      <c r="AR30" s="24">
        <v>161.94877984977174</v>
      </c>
      <c r="AS30" s="24">
        <v>993.15960056284405</v>
      </c>
      <c r="AT30" s="24">
        <v>122.96351360013989</v>
      </c>
      <c r="AU30" s="24">
        <v>74.961825848773401</v>
      </c>
      <c r="AV30" s="24">
        <v>507.25167613765092</v>
      </c>
      <c r="AW30" s="24">
        <v>1.0074330221159467</v>
      </c>
      <c r="AX30" s="24">
        <v>236.88022798240121</v>
      </c>
      <c r="AY30" s="24">
        <v>174.19221985926441</v>
      </c>
      <c r="AZ30" s="24">
        <v>2.2073274037455564</v>
      </c>
      <c r="BA30" s="24">
        <v>60.300786611941163</v>
      </c>
      <c r="BB30" s="24">
        <v>11.051017740830979</v>
      </c>
      <c r="BC30" s="24">
        <v>2242.4444202963077</v>
      </c>
      <c r="BD30" s="24">
        <v>0</v>
      </c>
      <c r="BE30" s="24">
        <v>24.484820149994963</v>
      </c>
      <c r="BF30" s="24">
        <v>403.13830786940912</v>
      </c>
      <c r="BG30" s="24">
        <v>553.81430411819667</v>
      </c>
      <c r="BH30" s="24">
        <v>1384.5167482671955</v>
      </c>
      <c r="BI30" s="24">
        <v>2197.8884575316333</v>
      </c>
      <c r="BJ30" s="24">
        <v>2.8013369530930303</v>
      </c>
      <c r="BK30" s="24">
        <v>6.3286165634984613E-5</v>
      </c>
      <c r="BL30" s="24">
        <v>0.29269732947505039</v>
      </c>
      <c r="BM30" s="24">
        <v>89.879448811938474</v>
      </c>
      <c r="BN30" s="24">
        <v>3063.0270322428969</v>
      </c>
      <c r="BO30" s="24">
        <v>511.16255397989266</v>
      </c>
      <c r="BP30" s="24">
        <v>783.67209568776275</v>
      </c>
      <c r="BQ30" s="24">
        <v>0</v>
      </c>
      <c r="BR30" s="25">
        <v>599781.32527615363</v>
      </c>
      <c r="BS30" s="26">
        <v>970873.08740127401</v>
      </c>
      <c r="BT30" s="26">
        <v>9908.1995001805208</v>
      </c>
      <c r="BU30" s="26">
        <v>4395.9196566670971</v>
      </c>
      <c r="BV30" s="26">
        <v>0</v>
      </c>
      <c r="BW30" s="26">
        <v>0</v>
      </c>
      <c r="BX30" s="27">
        <v>976385.36724478751</v>
      </c>
      <c r="BY30" s="26">
        <v>641086.58508695394</v>
      </c>
      <c r="BZ30" s="26">
        <v>-43211.830440651582</v>
      </c>
      <c r="CA30" s="27">
        <v>597874.75464630232</v>
      </c>
      <c r="CB30" s="26">
        <v>35065.285635042688</v>
      </c>
      <c r="CC30" s="26">
        <v>0</v>
      </c>
      <c r="CD30" s="26">
        <v>12636.113510320856</v>
      </c>
      <c r="CE30" s="27">
        <v>47701.399145363546</v>
      </c>
      <c r="CF30" s="25">
        <v>1621961.5210364533</v>
      </c>
      <c r="CG30" s="26">
        <v>915944.59387401829</v>
      </c>
      <c r="CH30" s="25">
        <v>1305798.2524385885</v>
      </c>
      <c r="CI30" s="39" t="s">
        <v>129</v>
      </c>
      <c r="CJ30" s="35">
        <v>30</v>
      </c>
      <c r="CM30" s="30"/>
    </row>
    <row r="31" spans="1:91" ht="32" customHeight="1" x14ac:dyDescent="0.2">
      <c r="A31" s="35">
        <v>31</v>
      </c>
      <c r="B31" s="36" t="s">
        <v>50</v>
      </c>
      <c r="C31" s="24">
        <v>30067.236213494496</v>
      </c>
      <c r="D31" s="24">
        <v>13627.457351516987</v>
      </c>
      <c r="E31" s="24">
        <v>356.27678713815777</v>
      </c>
      <c r="F31" s="24">
        <v>2447.1851185214678</v>
      </c>
      <c r="G31" s="289">
        <v>53212.941055018324</v>
      </c>
      <c r="H31" s="24">
        <v>6858.0743003286088</v>
      </c>
      <c r="I31" s="24">
        <v>3369.844153441788</v>
      </c>
      <c r="J31" s="24">
        <v>1661.4937174512047</v>
      </c>
      <c r="K31" s="24">
        <v>2955.4974143984336</v>
      </c>
      <c r="L31" s="24">
        <v>289.48884434519499</v>
      </c>
      <c r="M31" s="24">
        <v>510.79620430172935</v>
      </c>
      <c r="N31" s="24">
        <v>4104.2990448876017</v>
      </c>
      <c r="O31" s="24">
        <v>2166.1233384534617</v>
      </c>
      <c r="P31" s="70">
        <v>6254.0100729622882</v>
      </c>
      <c r="Q31" s="24">
        <v>4092.9186015205096</v>
      </c>
      <c r="R31" s="24">
        <v>7768.2180229253909</v>
      </c>
      <c r="S31" s="24">
        <v>628.24657231075787</v>
      </c>
      <c r="T31" s="24">
        <v>38081.29740671067</v>
      </c>
      <c r="U31" s="24">
        <v>4459.9987879173059</v>
      </c>
      <c r="V31" s="24">
        <v>2015.9029884225065</v>
      </c>
      <c r="W31" s="24">
        <v>818.5673678540544</v>
      </c>
      <c r="X31" s="24">
        <v>4209.9734329158618</v>
      </c>
      <c r="Y31" s="24">
        <v>4141.6604983212746</v>
      </c>
      <c r="Z31" s="24">
        <v>1466.2743173886868</v>
      </c>
      <c r="AA31" s="24">
        <v>1315.0545960265849</v>
      </c>
      <c r="AB31" s="24">
        <v>10437.843898737068</v>
      </c>
      <c r="AC31" s="24">
        <v>53.860596456819735</v>
      </c>
      <c r="AD31" s="24">
        <v>2.0390614086757295</v>
      </c>
      <c r="AE31" s="24">
        <v>7.6371236989866542</v>
      </c>
      <c r="AF31" s="24">
        <v>170.49465987847512</v>
      </c>
      <c r="AG31" s="24">
        <v>40825.885548100523</v>
      </c>
      <c r="AH31" s="24">
        <v>26303.915954297925</v>
      </c>
      <c r="AI31" s="24">
        <v>23642.860838252051</v>
      </c>
      <c r="AJ31" s="24">
        <v>596.81583859188333</v>
      </c>
      <c r="AK31" s="24">
        <v>31835.396079786427</v>
      </c>
      <c r="AL31" s="24">
        <v>0</v>
      </c>
      <c r="AM31" s="24">
        <v>0</v>
      </c>
      <c r="AN31" s="24">
        <v>57.684157526374229</v>
      </c>
      <c r="AO31" s="24">
        <v>1.9868481940313685</v>
      </c>
      <c r="AP31" s="24">
        <v>273.54836261851352</v>
      </c>
      <c r="AQ31" s="24">
        <v>36.436645388445953</v>
      </c>
      <c r="AR31" s="24">
        <v>36.436645388445953</v>
      </c>
      <c r="AS31" s="24">
        <v>1253.8979573584172</v>
      </c>
      <c r="AT31" s="24">
        <v>834.96603059861116</v>
      </c>
      <c r="AU31" s="24">
        <v>513.65550063300441</v>
      </c>
      <c r="AV31" s="24">
        <v>3410.1131457156362</v>
      </c>
      <c r="AW31" s="24">
        <v>7.2106295668850553</v>
      </c>
      <c r="AX31" s="24">
        <v>1445.9417137490057</v>
      </c>
      <c r="AY31" s="24">
        <v>1230.7669032155816</v>
      </c>
      <c r="AZ31" s="24">
        <v>15.603239372737489</v>
      </c>
      <c r="BA31" s="24">
        <v>290.71984041714848</v>
      </c>
      <c r="BB31" s="24">
        <v>45.573363445368763</v>
      </c>
      <c r="BC31" s="24">
        <v>9173.2603668382089</v>
      </c>
      <c r="BD31" s="24">
        <v>1.3810372764367158</v>
      </c>
      <c r="BE31" s="24">
        <v>100.26780309722902</v>
      </c>
      <c r="BF31" s="24">
        <v>1852.6429947811273</v>
      </c>
      <c r="BG31" s="24">
        <v>33056.615378930976</v>
      </c>
      <c r="BH31" s="24">
        <v>6575.8979668759466</v>
      </c>
      <c r="BI31" s="24">
        <v>37278.763688392108</v>
      </c>
      <c r="BJ31" s="24">
        <v>11.048134803772623</v>
      </c>
      <c r="BK31" s="24">
        <v>0.11018461788128012</v>
      </c>
      <c r="BL31" s="24">
        <v>0.85216682558832824</v>
      </c>
      <c r="BM31" s="24">
        <v>793.76641295188062</v>
      </c>
      <c r="BN31" s="24">
        <v>33167.499093394807</v>
      </c>
      <c r="BO31" s="24">
        <v>5866.1648229179609</v>
      </c>
      <c r="BP31" s="24">
        <v>921.04631316421273</v>
      </c>
      <c r="BQ31" s="24">
        <v>0</v>
      </c>
      <c r="BR31" s="25">
        <v>469009.44315583829</v>
      </c>
      <c r="BS31" s="26">
        <v>14393374.595424075</v>
      </c>
      <c r="BT31" s="26">
        <v>41605.711037283632</v>
      </c>
      <c r="BU31" s="26">
        <v>18458.990755593291</v>
      </c>
      <c r="BV31" s="26">
        <v>0</v>
      </c>
      <c r="BW31" s="26">
        <v>0</v>
      </c>
      <c r="BX31" s="27">
        <v>14416521.315705765</v>
      </c>
      <c r="BY31" s="26">
        <v>3728853.8519197856</v>
      </c>
      <c r="BZ31" s="26">
        <v>1013192.3389624205</v>
      </c>
      <c r="CA31" s="27">
        <v>4742046.190882206</v>
      </c>
      <c r="CB31" s="26">
        <v>3014151.5154808769</v>
      </c>
      <c r="CC31" s="26">
        <v>0</v>
      </c>
      <c r="CD31" s="26">
        <v>53060.54720992918</v>
      </c>
      <c r="CE31" s="27">
        <v>3067212.0626908061</v>
      </c>
      <c r="CF31" s="25">
        <v>22225779.569278777</v>
      </c>
      <c r="CG31" s="26">
        <v>2313737.1557538658</v>
      </c>
      <c r="CH31" s="25">
        <v>20381051.856680751</v>
      </c>
      <c r="CI31" s="39" t="s">
        <v>130</v>
      </c>
      <c r="CJ31" s="35">
        <v>31</v>
      </c>
      <c r="CM31" s="30"/>
    </row>
    <row r="32" spans="1:91" ht="32" customHeight="1" x14ac:dyDescent="0.2">
      <c r="A32" s="35">
        <v>32</v>
      </c>
      <c r="B32" s="36" t="s">
        <v>51</v>
      </c>
      <c r="C32" s="24">
        <v>19447.420651840876</v>
      </c>
      <c r="D32" s="24">
        <v>6308.9591507085452</v>
      </c>
      <c r="E32" s="24">
        <v>15778.237595689288</v>
      </c>
      <c r="F32" s="24">
        <v>14224.815390348218</v>
      </c>
      <c r="G32" s="289">
        <v>14447698.366696941</v>
      </c>
      <c r="H32" s="24">
        <v>15587.173234411399</v>
      </c>
      <c r="I32" s="24">
        <v>15594.08006405923</v>
      </c>
      <c r="J32" s="24">
        <v>1685.6930506987933</v>
      </c>
      <c r="K32" s="24">
        <v>1588.1321506232439</v>
      </c>
      <c r="L32" s="24">
        <v>556.45952882202812</v>
      </c>
      <c r="M32" s="24">
        <v>85.013537276000335</v>
      </c>
      <c r="N32" s="24">
        <v>27864.840436967701</v>
      </c>
      <c r="O32" s="24">
        <v>3438.8431025163636</v>
      </c>
      <c r="P32" s="70">
        <v>9934.9663882649693</v>
      </c>
      <c r="Q32" s="24">
        <v>9180.3228858226739</v>
      </c>
      <c r="R32" s="24">
        <v>17033.125015872232</v>
      </c>
      <c r="S32" s="24">
        <v>2794.2837446583703</v>
      </c>
      <c r="T32" s="24">
        <v>39547.99992420325</v>
      </c>
      <c r="U32" s="24">
        <v>96156.719404613264</v>
      </c>
      <c r="V32" s="24">
        <v>16015.206572508725</v>
      </c>
      <c r="W32" s="24">
        <v>48380.109365672724</v>
      </c>
      <c r="X32" s="24">
        <v>38022.538573584061</v>
      </c>
      <c r="Y32" s="24">
        <v>9320.5151713434789</v>
      </c>
      <c r="Z32" s="24">
        <v>29544.74002370274</v>
      </c>
      <c r="AA32" s="24">
        <v>966.51145827925291</v>
      </c>
      <c r="AB32" s="24">
        <v>1258.1856837225346</v>
      </c>
      <c r="AC32" s="24">
        <v>2090.9861033099787</v>
      </c>
      <c r="AD32" s="24">
        <v>9.2398653390175554</v>
      </c>
      <c r="AE32" s="24">
        <v>58.735306126505492</v>
      </c>
      <c r="AF32" s="24">
        <v>10105.725495531706</v>
      </c>
      <c r="AG32" s="24">
        <v>164604.39605357812</v>
      </c>
      <c r="AH32" s="24">
        <v>92041.590803987681</v>
      </c>
      <c r="AI32" s="24">
        <v>30337.522399110629</v>
      </c>
      <c r="AJ32" s="24">
        <v>3134.7052307203817</v>
      </c>
      <c r="AK32" s="24">
        <v>14486.102990010984</v>
      </c>
      <c r="AL32" s="24">
        <v>0.66438894460594267</v>
      </c>
      <c r="AM32" s="24">
        <v>0.15679272278335063</v>
      </c>
      <c r="AN32" s="24">
        <v>313.10644838088643</v>
      </c>
      <c r="AO32" s="24">
        <v>28.315869992746975</v>
      </c>
      <c r="AP32" s="24">
        <v>2483.389887749915</v>
      </c>
      <c r="AQ32" s="24">
        <v>303.13163539719505</v>
      </c>
      <c r="AR32" s="24">
        <v>303.13163539719505</v>
      </c>
      <c r="AS32" s="24">
        <v>8971.1528527874543</v>
      </c>
      <c r="AT32" s="24">
        <v>4168.3049244785989</v>
      </c>
      <c r="AU32" s="24">
        <v>2210.1188157132251</v>
      </c>
      <c r="AV32" s="24">
        <v>12853.327542964598</v>
      </c>
      <c r="AW32" s="24">
        <v>38.97782792064703</v>
      </c>
      <c r="AX32" s="24">
        <v>5366.2513806078587</v>
      </c>
      <c r="AY32" s="24">
        <v>4862.4608248229251</v>
      </c>
      <c r="AZ32" s="24">
        <v>63.156741929568284</v>
      </c>
      <c r="BA32" s="24">
        <v>1281.5570760154271</v>
      </c>
      <c r="BB32" s="24">
        <v>333.41365797794714</v>
      </c>
      <c r="BC32" s="24">
        <v>32347.543026930834</v>
      </c>
      <c r="BD32" s="24">
        <v>112.65058663125781</v>
      </c>
      <c r="BE32" s="24">
        <v>349.71899921983663</v>
      </c>
      <c r="BF32" s="24">
        <v>6736.0722202059951</v>
      </c>
      <c r="BG32" s="24">
        <v>443885.14159382036</v>
      </c>
      <c r="BH32" s="24">
        <v>4102249.6603520396</v>
      </c>
      <c r="BI32" s="24">
        <v>687433.40319782798</v>
      </c>
      <c r="BJ32" s="24">
        <v>60.642625308631224</v>
      </c>
      <c r="BK32" s="24">
        <v>4.0332353786970474</v>
      </c>
      <c r="BL32" s="24">
        <v>14.631581770085118</v>
      </c>
      <c r="BM32" s="24">
        <v>568129.13671610516</v>
      </c>
      <c r="BN32" s="24">
        <v>11725.224625131095</v>
      </c>
      <c r="BO32" s="24">
        <v>1784.3890145519767</v>
      </c>
      <c r="BP32" s="24">
        <v>5279.5214020297653</v>
      </c>
      <c r="BQ32" s="24">
        <v>0</v>
      </c>
      <c r="BR32" s="25">
        <v>21108574.65053162</v>
      </c>
      <c r="BS32" s="26">
        <v>5923764.2400418697</v>
      </c>
      <c r="BT32" s="26">
        <v>815.95781375332047</v>
      </c>
      <c r="BU32" s="26">
        <v>893.66572545185682</v>
      </c>
      <c r="BV32" s="26">
        <v>0</v>
      </c>
      <c r="BW32" s="26">
        <v>0</v>
      </c>
      <c r="BX32" s="27">
        <v>5923686.5321301715</v>
      </c>
      <c r="BY32" s="26">
        <v>1553343.857420756</v>
      </c>
      <c r="BZ32" s="26">
        <v>376897.44763825793</v>
      </c>
      <c r="CA32" s="27">
        <v>1930241.3050590139</v>
      </c>
      <c r="CB32" s="26">
        <v>668169.02160886349</v>
      </c>
      <c r="CC32" s="26">
        <v>0</v>
      </c>
      <c r="CD32" s="26">
        <v>1040.6063739463814</v>
      </c>
      <c r="CE32" s="27">
        <v>669209.62798280991</v>
      </c>
      <c r="CF32" s="25">
        <v>8523137.4651719946</v>
      </c>
      <c r="CG32" s="26">
        <v>4528124.9879254987</v>
      </c>
      <c r="CH32" s="25">
        <v>25103587.127778113</v>
      </c>
      <c r="CI32" s="39" t="s">
        <v>131</v>
      </c>
      <c r="CJ32" s="35">
        <v>32</v>
      </c>
      <c r="CM32" s="30"/>
    </row>
    <row r="33" spans="1:91" x14ac:dyDescent="0.2">
      <c r="A33" s="35">
        <v>33</v>
      </c>
      <c r="B33" s="36" t="s">
        <v>52</v>
      </c>
      <c r="C33" s="24">
        <v>4511170.6804473586</v>
      </c>
      <c r="D33" s="24">
        <v>2262912.5894576423</v>
      </c>
      <c r="E33" s="24">
        <v>0</v>
      </c>
      <c r="F33" s="24">
        <v>0</v>
      </c>
      <c r="G33" s="289">
        <v>8505126.6375020687</v>
      </c>
      <c r="H33" s="24">
        <v>584989.07002618047</v>
      </c>
      <c r="I33" s="24">
        <v>37250.816756118242</v>
      </c>
      <c r="J33" s="24">
        <v>173563.64247484587</v>
      </c>
      <c r="K33" s="24">
        <v>249080.29872635385</v>
      </c>
      <c r="L33" s="24">
        <v>16188.889156897683</v>
      </c>
      <c r="M33" s="24">
        <v>3129.2911116979103</v>
      </c>
      <c r="N33" s="24">
        <v>531410.73528720811</v>
      </c>
      <c r="O33" s="24">
        <v>330648.79040462122</v>
      </c>
      <c r="P33" s="70">
        <v>534130.60149562394</v>
      </c>
      <c r="Q33" s="24">
        <v>327243.9481286091</v>
      </c>
      <c r="R33" s="24">
        <v>720409.46429184254</v>
      </c>
      <c r="S33" s="24">
        <v>52740.746784509691</v>
      </c>
      <c r="T33" s="24">
        <v>5384995.6703436207</v>
      </c>
      <c r="U33" s="24">
        <v>454027.20468372561</v>
      </c>
      <c r="V33" s="24">
        <v>239188.37475100838</v>
      </c>
      <c r="W33" s="24">
        <v>83892.187777310726</v>
      </c>
      <c r="X33" s="24">
        <v>512045.28631331807</v>
      </c>
      <c r="Y33" s="24">
        <v>663743.47036745213</v>
      </c>
      <c r="Z33" s="24">
        <v>124604.67151410102</v>
      </c>
      <c r="AA33" s="24">
        <v>213705.45183639062</v>
      </c>
      <c r="AB33" s="24">
        <v>81943.027444854437</v>
      </c>
      <c r="AC33" s="24">
        <v>3331.0872079973215</v>
      </c>
      <c r="AD33" s="24">
        <v>12.899878851363017</v>
      </c>
      <c r="AE33" s="24">
        <v>0</v>
      </c>
      <c r="AF33" s="24">
        <v>0</v>
      </c>
      <c r="AG33" s="24">
        <v>0</v>
      </c>
      <c r="AH33" s="24">
        <v>0</v>
      </c>
      <c r="AI33" s="24">
        <v>0</v>
      </c>
      <c r="AJ33" s="24">
        <v>0</v>
      </c>
      <c r="AK33" s="24">
        <v>0</v>
      </c>
      <c r="AL33" s="24">
        <v>0</v>
      </c>
      <c r="AM33" s="24">
        <v>0</v>
      </c>
      <c r="AN33" s="24">
        <v>0</v>
      </c>
      <c r="AO33" s="24">
        <v>0</v>
      </c>
      <c r="AP33" s="24">
        <v>0</v>
      </c>
      <c r="AQ33" s="24">
        <v>0</v>
      </c>
      <c r="AR33" s="24">
        <v>0</v>
      </c>
      <c r="AS33" s="24">
        <v>0</v>
      </c>
      <c r="AT33" s="24">
        <v>0</v>
      </c>
      <c r="AU33" s="24">
        <v>0</v>
      </c>
      <c r="AV33" s="24">
        <v>0</v>
      </c>
      <c r="AW33" s="24">
        <v>0</v>
      </c>
      <c r="AX33" s="24">
        <v>0</v>
      </c>
      <c r="AY33" s="24">
        <v>0</v>
      </c>
      <c r="AZ33" s="24">
        <v>0</v>
      </c>
      <c r="BA33" s="24">
        <v>0</v>
      </c>
      <c r="BB33" s="24">
        <v>0</v>
      </c>
      <c r="BC33" s="24">
        <v>0</v>
      </c>
      <c r="BD33" s="24">
        <v>0</v>
      </c>
      <c r="BE33" s="24">
        <v>0</v>
      </c>
      <c r="BF33" s="24">
        <v>0</v>
      </c>
      <c r="BG33" s="24">
        <v>11183.394715175389</v>
      </c>
      <c r="BH33" s="24">
        <v>869.32684218255645</v>
      </c>
      <c r="BI33" s="24">
        <v>0</v>
      </c>
      <c r="BJ33" s="24">
        <v>0</v>
      </c>
      <c r="BK33" s="24">
        <v>0</v>
      </c>
      <c r="BL33" s="24">
        <v>0</v>
      </c>
      <c r="BM33" s="24">
        <v>0</v>
      </c>
      <c r="BN33" s="24">
        <v>0</v>
      </c>
      <c r="BO33" s="24">
        <v>0</v>
      </c>
      <c r="BP33" s="24">
        <v>0</v>
      </c>
      <c r="BQ33" s="24">
        <v>0</v>
      </c>
      <c r="BR33" s="25">
        <v>26613538.255727563</v>
      </c>
      <c r="BS33" s="26">
        <v>2942103.3800513465</v>
      </c>
      <c r="BT33" s="26">
        <v>0</v>
      </c>
      <c r="BU33" s="26">
        <v>0</v>
      </c>
      <c r="BV33" s="26">
        <v>0</v>
      </c>
      <c r="BW33" s="26">
        <v>0</v>
      </c>
      <c r="BX33" s="27">
        <v>2942103.3800513465</v>
      </c>
      <c r="BY33" s="26">
        <v>0</v>
      </c>
      <c r="BZ33" s="26">
        <v>0</v>
      </c>
      <c r="CA33" s="27">
        <v>0</v>
      </c>
      <c r="CB33" s="26">
        <v>0</v>
      </c>
      <c r="CC33" s="26">
        <v>0</v>
      </c>
      <c r="CD33" s="26">
        <v>0</v>
      </c>
      <c r="CE33" s="27">
        <v>0</v>
      </c>
      <c r="CF33" s="25">
        <v>2942103.3800513465</v>
      </c>
      <c r="CG33" s="26">
        <v>0</v>
      </c>
      <c r="CH33" s="25">
        <v>29555641.635778911</v>
      </c>
      <c r="CI33" s="39" t="s">
        <v>132</v>
      </c>
      <c r="CJ33" s="35">
        <v>33</v>
      </c>
      <c r="CM33" s="30"/>
    </row>
    <row r="34" spans="1:91" ht="32" customHeight="1" x14ac:dyDescent="0.2">
      <c r="A34" s="35">
        <v>35</v>
      </c>
      <c r="B34" s="36" t="s">
        <v>53</v>
      </c>
      <c r="C34" s="24">
        <v>57260.632111479048</v>
      </c>
      <c r="D34" s="24">
        <v>910.62062220081805</v>
      </c>
      <c r="E34" s="24">
        <v>21183.144251959853</v>
      </c>
      <c r="F34" s="24">
        <v>97091.77578443852</v>
      </c>
      <c r="G34" s="289">
        <v>2546350.6749372282</v>
      </c>
      <c r="H34" s="24">
        <v>92159.433740049193</v>
      </c>
      <c r="I34" s="24">
        <v>43485.272658754511</v>
      </c>
      <c r="J34" s="24">
        <v>130281.00202482103</v>
      </c>
      <c r="K34" s="24">
        <v>23832.708900701655</v>
      </c>
      <c r="L34" s="24">
        <v>7964.8835024086566</v>
      </c>
      <c r="M34" s="24">
        <v>4971.7855104246701</v>
      </c>
      <c r="N34" s="24">
        <v>473261.73607308173</v>
      </c>
      <c r="O34" s="24">
        <v>146743.81939911708</v>
      </c>
      <c r="P34" s="70">
        <v>691453.37523967831</v>
      </c>
      <c r="Q34" s="24">
        <v>655409.92479574913</v>
      </c>
      <c r="R34" s="24">
        <v>195234.86356265523</v>
      </c>
      <c r="S34" s="24">
        <v>72573.949305031056</v>
      </c>
      <c r="T34" s="24">
        <v>3015135.5853212094</v>
      </c>
      <c r="U34" s="24">
        <v>1012497.1360732345</v>
      </c>
      <c r="V34" s="24">
        <v>59184.353450291826</v>
      </c>
      <c r="W34" s="24">
        <v>5032.1623742033935</v>
      </c>
      <c r="X34" s="24">
        <v>172119.85810145584</v>
      </c>
      <c r="Y34" s="24">
        <v>23073.013950162327</v>
      </c>
      <c r="Z34" s="24">
        <v>51700.507758593732</v>
      </c>
      <c r="AA34" s="24">
        <v>2649.2524709053728</v>
      </c>
      <c r="AB34" s="24">
        <v>12848.946472167067</v>
      </c>
      <c r="AC34" s="24">
        <v>3245.7535740338844</v>
      </c>
      <c r="AD34" s="24">
        <v>138.83517749043119</v>
      </c>
      <c r="AE34" s="24">
        <v>1829213.5950958841</v>
      </c>
      <c r="AF34" s="24">
        <v>1572540.2133116478</v>
      </c>
      <c r="AG34" s="24">
        <v>679968.56683574349</v>
      </c>
      <c r="AH34" s="24">
        <v>1983349.728276416</v>
      </c>
      <c r="AI34" s="24">
        <v>421292.5795156309</v>
      </c>
      <c r="AJ34" s="24">
        <v>46846.284008895316</v>
      </c>
      <c r="AK34" s="24">
        <v>831551.66371448687</v>
      </c>
      <c r="AL34" s="24">
        <v>74799.051208636607</v>
      </c>
      <c r="AM34" s="24">
        <v>17652.230663725757</v>
      </c>
      <c r="AN34" s="24">
        <v>36195.959182748542</v>
      </c>
      <c r="AO34" s="24">
        <v>1565790.7013913211</v>
      </c>
      <c r="AP34" s="24">
        <v>170937.78203889058</v>
      </c>
      <c r="AQ34" s="24">
        <v>15884.875329900369</v>
      </c>
      <c r="AR34" s="24">
        <v>15884.875329900369</v>
      </c>
      <c r="AS34" s="24">
        <v>112562.12416646662</v>
      </c>
      <c r="AT34" s="24">
        <v>32017.498157427559</v>
      </c>
      <c r="AU34" s="24">
        <v>7860.6553625511824</v>
      </c>
      <c r="AV34" s="24">
        <v>12363.29596195285</v>
      </c>
      <c r="AW34" s="24">
        <v>1024.42800914537</v>
      </c>
      <c r="AX34" s="24">
        <v>14987.280666272552</v>
      </c>
      <c r="AY34" s="24">
        <v>15565.532494951929</v>
      </c>
      <c r="AZ34" s="24">
        <v>604.07609747789274</v>
      </c>
      <c r="BA34" s="24">
        <v>78825.293029972076</v>
      </c>
      <c r="BB34" s="24">
        <v>4404.3633012143382</v>
      </c>
      <c r="BC34" s="24">
        <v>157910.04765774275</v>
      </c>
      <c r="BD34" s="24">
        <v>8252.5206221761546</v>
      </c>
      <c r="BE34" s="24">
        <v>1595.0491555938511</v>
      </c>
      <c r="BF34" s="24">
        <v>13174.042579056939</v>
      </c>
      <c r="BG34" s="24">
        <v>3863620.6265670238</v>
      </c>
      <c r="BH34" s="24">
        <v>608317.48647440632</v>
      </c>
      <c r="BI34" s="24">
        <v>1746913.7527981917</v>
      </c>
      <c r="BJ34" s="24">
        <v>4641.1923087114883</v>
      </c>
      <c r="BK34" s="24">
        <v>217.34514750118893</v>
      </c>
      <c r="BL34" s="24">
        <v>6230.8283304536671</v>
      </c>
      <c r="BM34" s="24">
        <v>1478849.9140238212</v>
      </c>
      <c r="BN34" s="24">
        <v>411218.00595378329</v>
      </c>
      <c r="BO34" s="24">
        <v>98482.635778706594</v>
      </c>
      <c r="BP34" s="24">
        <v>235452.90978240204</v>
      </c>
      <c r="BQ34" s="24">
        <v>0</v>
      </c>
      <c r="BR34" s="25">
        <v>27794794.017474357</v>
      </c>
      <c r="BS34" s="26">
        <v>89052860.715670571</v>
      </c>
      <c r="BT34" s="26">
        <v>0</v>
      </c>
      <c r="BU34" s="26">
        <v>0</v>
      </c>
      <c r="BV34" s="26">
        <v>0</v>
      </c>
      <c r="BW34" s="26">
        <v>0</v>
      </c>
      <c r="BX34" s="27">
        <v>89052860.715670571</v>
      </c>
      <c r="BY34" s="26">
        <v>0</v>
      </c>
      <c r="BZ34" s="26">
        <v>0</v>
      </c>
      <c r="CA34" s="27">
        <v>0</v>
      </c>
      <c r="CB34" s="26">
        <v>116074.87936529338</v>
      </c>
      <c r="CC34" s="26">
        <v>0</v>
      </c>
      <c r="CD34" s="26">
        <v>0</v>
      </c>
      <c r="CE34" s="27">
        <v>116074.87936529338</v>
      </c>
      <c r="CF34" s="25">
        <v>89168935.595035866</v>
      </c>
      <c r="CG34" s="26">
        <v>217.5415950687119</v>
      </c>
      <c r="CH34" s="25">
        <v>116963512.07091515</v>
      </c>
      <c r="CI34" s="39" t="s">
        <v>133</v>
      </c>
      <c r="CJ34" s="35">
        <v>35</v>
      </c>
      <c r="CM34" s="30"/>
    </row>
    <row r="35" spans="1:91" s="41" customFormat="1" ht="32" customHeight="1" x14ac:dyDescent="0.2">
      <c r="A35" s="22" t="s">
        <v>9</v>
      </c>
      <c r="B35" s="40" t="s">
        <v>54</v>
      </c>
      <c r="C35" s="24">
        <v>8617.9483295796927</v>
      </c>
      <c r="D35" s="24">
        <v>363.31616156690302</v>
      </c>
      <c r="E35" s="24">
        <v>4249.1750141401671</v>
      </c>
      <c r="F35" s="24">
        <v>22462.72085211354</v>
      </c>
      <c r="G35" s="289">
        <v>274141.01608040847</v>
      </c>
      <c r="H35" s="24">
        <v>17004.153743131523</v>
      </c>
      <c r="I35" s="24">
        <v>14124.670552180442</v>
      </c>
      <c r="J35" s="24">
        <v>25082.119860142098</v>
      </c>
      <c r="K35" s="24">
        <v>5793.4223938383111</v>
      </c>
      <c r="L35" s="24">
        <v>1817.1882266675987</v>
      </c>
      <c r="M35" s="24">
        <v>1349.0419850329931</v>
      </c>
      <c r="N35" s="24">
        <v>50730.740125833552</v>
      </c>
      <c r="O35" s="24">
        <v>2088.0347586707639</v>
      </c>
      <c r="P35" s="70">
        <v>107759.4885014528</v>
      </c>
      <c r="Q35" s="24">
        <v>133241.9400865694</v>
      </c>
      <c r="R35" s="24">
        <v>47608.663965278407</v>
      </c>
      <c r="S35" s="24">
        <v>17930.211479683814</v>
      </c>
      <c r="T35" s="24">
        <v>431204.38174567092</v>
      </c>
      <c r="U35" s="24">
        <v>139019.35764852283</v>
      </c>
      <c r="V35" s="24">
        <v>15472.930738292271</v>
      </c>
      <c r="W35" s="24">
        <v>1154.1621237508748</v>
      </c>
      <c r="X35" s="24">
        <v>46981.274459585984</v>
      </c>
      <c r="Y35" s="24">
        <v>6119.0874458443732</v>
      </c>
      <c r="Z35" s="24">
        <v>13730.827999242134</v>
      </c>
      <c r="AA35" s="24">
        <v>774.74742119420216</v>
      </c>
      <c r="AB35" s="24">
        <v>2949.6566872412823</v>
      </c>
      <c r="AC35" s="24">
        <v>822.03328169526037</v>
      </c>
      <c r="AD35" s="24">
        <v>38.122693966860624</v>
      </c>
      <c r="AE35" s="24">
        <v>123307.19514439983</v>
      </c>
      <c r="AF35" s="24">
        <v>232129.74796022763</v>
      </c>
      <c r="AG35" s="24">
        <v>581397.95586201013</v>
      </c>
      <c r="AH35" s="24">
        <v>64491.228612490791</v>
      </c>
      <c r="AI35" s="24">
        <v>13476.354923668694</v>
      </c>
      <c r="AJ35" s="24">
        <v>102.93302446835631</v>
      </c>
      <c r="AK35" s="24">
        <v>28257.325532183044</v>
      </c>
      <c r="AL35" s="24">
        <v>123.01338942565667</v>
      </c>
      <c r="AM35" s="24">
        <v>29.030591829454757</v>
      </c>
      <c r="AN35" s="24">
        <v>0</v>
      </c>
      <c r="AO35" s="24">
        <v>2573.8340504558437</v>
      </c>
      <c r="AP35" s="24">
        <v>32355.514807274798</v>
      </c>
      <c r="AQ35" s="24">
        <v>2530.7815859950038</v>
      </c>
      <c r="AR35" s="24">
        <v>2530.7815859950038</v>
      </c>
      <c r="AS35" s="24">
        <v>80323.137485152751</v>
      </c>
      <c r="AT35" s="24">
        <v>61.299004588143703</v>
      </c>
      <c r="AU35" s="24">
        <v>15.049594030289946</v>
      </c>
      <c r="AV35" s="24">
        <v>23.670111017731575</v>
      </c>
      <c r="AW35" s="24">
        <v>1.9613155570138561</v>
      </c>
      <c r="AX35" s="24">
        <v>24.905269219415896</v>
      </c>
      <c r="AY35" s="24">
        <v>29.800943319601867</v>
      </c>
      <c r="AZ35" s="24">
        <v>1.1565320715820877</v>
      </c>
      <c r="BA35" s="24">
        <v>150.91472717037075</v>
      </c>
      <c r="BB35" s="24">
        <v>8.4323604824306972</v>
      </c>
      <c r="BC35" s="24">
        <v>302.32620576072134</v>
      </c>
      <c r="BD35" s="24">
        <v>15.799838481920041</v>
      </c>
      <c r="BE35" s="24">
        <v>3.0537965529446058</v>
      </c>
      <c r="BF35" s="24">
        <v>25.222323509704715</v>
      </c>
      <c r="BG35" s="24">
        <v>1140481.882812541</v>
      </c>
      <c r="BH35" s="24">
        <v>216194.53670582024</v>
      </c>
      <c r="BI35" s="24">
        <v>320940.49814201478</v>
      </c>
      <c r="BJ35" s="24">
        <v>8.8857807448694697</v>
      </c>
      <c r="BK35" s="24">
        <v>0.41611749701297013</v>
      </c>
      <c r="BL35" s="24">
        <v>11.929213598714917</v>
      </c>
      <c r="BM35" s="24">
        <v>525016.13866913214</v>
      </c>
      <c r="BN35" s="24">
        <v>787.23879907082278</v>
      </c>
      <c r="BO35" s="24">
        <v>188.54963347756001</v>
      </c>
      <c r="BP35" s="24">
        <v>20500.400771663109</v>
      </c>
      <c r="BQ35" s="24">
        <v>0</v>
      </c>
      <c r="BR35" s="25">
        <v>4781053.3375841994</v>
      </c>
      <c r="BS35" s="26">
        <v>12939320.610706359</v>
      </c>
      <c r="BT35" s="26">
        <v>0</v>
      </c>
      <c r="BU35" s="26">
        <v>0</v>
      </c>
      <c r="BV35" s="26">
        <v>1584602.3211173725</v>
      </c>
      <c r="BW35" s="26">
        <v>0</v>
      </c>
      <c r="BX35" s="27">
        <v>14523922.931823732</v>
      </c>
      <c r="BY35" s="26">
        <v>0</v>
      </c>
      <c r="BZ35" s="26">
        <v>769.63877693218637</v>
      </c>
      <c r="CA35" s="27">
        <v>769.63877693218637</v>
      </c>
      <c r="CB35" s="26">
        <v>2071.9667197817944</v>
      </c>
      <c r="CC35" s="26">
        <v>0</v>
      </c>
      <c r="CD35" s="26">
        <v>0</v>
      </c>
      <c r="CE35" s="27">
        <v>2071.9667197817944</v>
      </c>
      <c r="CF35" s="25">
        <v>14526764.537320446</v>
      </c>
      <c r="CG35" s="26">
        <v>1156.8702605869687</v>
      </c>
      <c r="CH35" s="25">
        <v>19306661.004644059</v>
      </c>
      <c r="CI35" s="39" t="s">
        <v>134</v>
      </c>
      <c r="CJ35" s="22" t="s">
        <v>9</v>
      </c>
      <c r="CK35" s="2"/>
      <c r="CL35" s="2"/>
      <c r="CM35" s="30"/>
    </row>
    <row r="36" spans="1:91" ht="32" customHeight="1" x14ac:dyDescent="0.2">
      <c r="A36" s="35" t="s">
        <v>10</v>
      </c>
      <c r="B36" s="36" t="s">
        <v>55</v>
      </c>
      <c r="C36" s="24">
        <v>7817.2558086575764</v>
      </c>
      <c r="D36" s="24">
        <v>0</v>
      </c>
      <c r="E36" s="24">
        <v>621.53897732896633</v>
      </c>
      <c r="F36" s="24">
        <v>85082.539137125888</v>
      </c>
      <c r="G36" s="289">
        <v>27906.575368478836</v>
      </c>
      <c r="H36" s="24">
        <v>16512.371310609731</v>
      </c>
      <c r="I36" s="24">
        <v>0.83396644490897931</v>
      </c>
      <c r="J36" s="24">
        <v>282.44669845677447</v>
      </c>
      <c r="K36" s="24">
        <v>95.072304211648586</v>
      </c>
      <c r="L36" s="24">
        <v>119.53066608257353</v>
      </c>
      <c r="M36" s="24">
        <v>26.407752710649554</v>
      </c>
      <c r="N36" s="24">
        <v>3373.411382772726</v>
      </c>
      <c r="O36" s="24">
        <v>527.60171666981034</v>
      </c>
      <c r="P36" s="70">
        <v>19016.375696249812</v>
      </c>
      <c r="Q36" s="24">
        <v>2387.6415626280632</v>
      </c>
      <c r="R36" s="24">
        <v>2006.1915137097799</v>
      </c>
      <c r="S36" s="24">
        <v>545.44851538927173</v>
      </c>
      <c r="T36" s="24">
        <v>7689.3834240420711</v>
      </c>
      <c r="U36" s="24">
        <v>176.48955136524273</v>
      </c>
      <c r="V36" s="24">
        <v>1178.3757683350686</v>
      </c>
      <c r="W36" s="24">
        <v>496.88123513286939</v>
      </c>
      <c r="X36" s="24">
        <v>6214.7795335311648</v>
      </c>
      <c r="Y36" s="24">
        <v>817.43382821807995</v>
      </c>
      <c r="Z36" s="24">
        <v>2180.9336755503209</v>
      </c>
      <c r="AA36" s="24">
        <v>115.20272516484167</v>
      </c>
      <c r="AB36" s="24">
        <v>787.27038433785856</v>
      </c>
      <c r="AC36" s="24">
        <v>80.019078127558075</v>
      </c>
      <c r="AD36" s="24">
        <v>5.7797268520236926</v>
      </c>
      <c r="AE36" s="24">
        <v>0</v>
      </c>
      <c r="AF36" s="24">
        <v>93973.204217199323</v>
      </c>
      <c r="AG36" s="24">
        <v>20056.928314748817</v>
      </c>
      <c r="AH36" s="24">
        <v>236028.12672831755</v>
      </c>
      <c r="AI36" s="24">
        <v>414952.65022894362</v>
      </c>
      <c r="AJ36" s="24">
        <v>16.554558306495291</v>
      </c>
      <c r="AK36" s="24">
        <v>371828.78965092916</v>
      </c>
      <c r="AL36" s="24">
        <v>0</v>
      </c>
      <c r="AM36" s="24">
        <v>0</v>
      </c>
      <c r="AN36" s="24">
        <v>0</v>
      </c>
      <c r="AO36" s="24">
        <v>0</v>
      </c>
      <c r="AP36" s="24">
        <v>6240.1161535506535</v>
      </c>
      <c r="AQ36" s="24">
        <v>0</v>
      </c>
      <c r="AR36" s="24">
        <v>0</v>
      </c>
      <c r="AS36" s="24">
        <v>5172262.3581392197</v>
      </c>
      <c r="AT36" s="24">
        <v>1237.3346170977723</v>
      </c>
      <c r="AU36" s="24">
        <v>754.31206679048876</v>
      </c>
      <c r="AV36" s="24">
        <v>5104.2788229602829</v>
      </c>
      <c r="AW36" s="24">
        <v>10.137411628664328</v>
      </c>
      <c r="AX36" s="24">
        <v>2153.8615377515098</v>
      </c>
      <c r="AY36" s="24">
        <v>1752.8294154139069</v>
      </c>
      <c r="AZ36" s="24">
        <v>22.211488009397765</v>
      </c>
      <c r="BA36" s="24">
        <v>280.34444955306748</v>
      </c>
      <c r="BB36" s="24">
        <v>51.377298035792748</v>
      </c>
      <c r="BC36" s="24">
        <v>10073.906763811348</v>
      </c>
      <c r="BD36" s="24">
        <v>0</v>
      </c>
      <c r="BE36" s="24">
        <v>113.83240274343142</v>
      </c>
      <c r="BF36" s="24">
        <v>1874.2307250602983</v>
      </c>
      <c r="BG36" s="24">
        <v>295132.17675481847</v>
      </c>
      <c r="BH36" s="24">
        <v>8637.626880055941</v>
      </c>
      <c r="BI36" s="24">
        <v>152399.28755973835</v>
      </c>
      <c r="BJ36" s="24">
        <v>194.92272598918959</v>
      </c>
      <c r="BK36" s="24">
        <v>0</v>
      </c>
      <c r="BL36" s="24">
        <v>21.061223280200171</v>
      </c>
      <c r="BM36" s="24">
        <v>3546.1504768450591</v>
      </c>
      <c r="BN36" s="24">
        <v>11090.77020111513</v>
      </c>
      <c r="BO36" s="24">
        <v>1383.1666879190122</v>
      </c>
      <c r="BP36" s="24">
        <v>73574.14795030492</v>
      </c>
      <c r="BQ36" s="24">
        <v>0</v>
      </c>
      <c r="BR36" s="25">
        <v>7070830.4867583215</v>
      </c>
      <c r="BS36" s="26">
        <v>23725116.396170184</v>
      </c>
      <c r="BT36" s="26">
        <v>0</v>
      </c>
      <c r="BU36" s="26">
        <v>0</v>
      </c>
      <c r="BV36" s="26">
        <v>0</v>
      </c>
      <c r="BW36" s="26">
        <v>0</v>
      </c>
      <c r="BX36" s="27">
        <v>23725116.396170184</v>
      </c>
      <c r="BY36" s="26">
        <v>185098504.20261836</v>
      </c>
      <c r="BZ36" s="26">
        <v>88230989.251170546</v>
      </c>
      <c r="CA36" s="27">
        <v>273329493.45378888</v>
      </c>
      <c r="CB36" s="26">
        <v>0</v>
      </c>
      <c r="CC36" s="26">
        <v>7500491.2545287749</v>
      </c>
      <c r="CD36" s="26">
        <v>0</v>
      </c>
      <c r="CE36" s="27">
        <v>7500491.2545287749</v>
      </c>
      <c r="CF36" s="25">
        <v>304555101.10448784</v>
      </c>
      <c r="CG36" s="26">
        <v>4203160.4403961878</v>
      </c>
      <c r="CH36" s="25">
        <v>307422771.15084994</v>
      </c>
      <c r="CI36" s="39" t="s">
        <v>135</v>
      </c>
      <c r="CJ36" s="35" t="s">
        <v>10</v>
      </c>
      <c r="CM36" s="30"/>
    </row>
    <row r="37" spans="1:91" s="41" customFormat="1" ht="32" customHeight="1" x14ac:dyDescent="0.2">
      <c r="A37" s="22" t="s">
        <v>11</v>
      </c>
      <c r="B37" s="40" t="s">
        <v>56</v>
      </c>
      <c r="C37" s="24">
        <v>22557631.230723657</v>
      </c>
      <c r="D37" s="24">
        <v>73148.628892177279</v>
      </c>
      <c r="E37" s="24">
        <v>630361.49553024373</v>
      </c>
      <c r="F37" s="24">
        <v>712308.06669055868</v>
      </c>
      <c r="G37" s="289">
        <v>28141190.033138335</v>
      </c>
      <c r="H37" s="24">
        <v>2397226.7725183005</v>
      </c>
      <c r="I37" s="24">
        <v>1685930.4194246223</v>
      </c>
      <c r="J37" s="24">
        <v>3935985.0423059114</v>
      </c>
      <c r="K37" s="24">
        <v>1419103.4309481911</v>
      </c>
      <c r="L37" s="24">
        <v>1158564.4225397063</v>
      </c>
      <c r="M37" s="24">
        <v>115757.09857744414</v>
      </c>
      <c r="N37" s="24">
        <v>2475828.9293997567</v>
      </c>
      <c r="O37" s="24">
        <v>216093.95221564648</v>
      </c>
      <c r="P37" s="70">
        <v>2954754.8055119785</v>
      </c>
      <c r="Q37" s="24">
        <v>4056083.6121748895</v>
      </c>
      <c r="R37" s="24">
        <v>3366996.5591529938</v>
      </c>
      <c r="S37" s="24">
        <v>1921190.4217811381</v>
      </c>
      <c r="T37" s="24">
        <v>3569575.9910828834</v>
      </c>
      <c r="U37" s="24">
        <v>9922088.3854111303</v>
      </c>
      <c r="V37" s="24">
        <v>1829983.1126044141</v>
      </c>
      <c r="W37" s="24">
        <v>618743.06794955058</v>
      </c>
      <c r="X37" s="24">
        <v>2015112.1506369386</v>
      </c>
      <c r="Y37" s="24">
        <v>765292.73361312901</v>
      </c>
      <c r="Z37" s="24">
        <v>1730900.906383029</v>
      </c>
      <c r="AA37" s="24">
        <v>31873.668592071921</v>
      </c>
      <c r="AB37" s="24">
        <v>1481431.1993015716</v>
      </c>
      <c r="AC37" s="24">
        <v>63384.733143830941</v>
      </c>
      <c r="AD37" s="24">
        <v>882.72847072643606</v>
      </c>
      <c r="AE37" s="24">
        <v>1276467.609139761</v>
      </c>
      <c r="AF37" s="24">
        <v>534435.93634945084</v>
      </c>
      <c r="AG37" s="24">
        <v>17527806.982012</v>
      </c>
      <c r="AH37" s="24">
        <v>5244688.8483543219</v>
      </c>
      <c r="AI37" s="24">
        <v>6476501.94828388</v>
      </c>
      <c r="AJ37" s="24">
        <v>243002.70442457357</v>
      </c>
      <c r="AK37" s="24">
        <v>6026250.963285164</v>
      </c>
      <c r="AL37" s="24">
        <v>278275.4303871356</v>
      </c>
      <c r="AM37" s="24">
        <v>65671.716497308764</v>
      </c>
      <c r="AN37" s="24">
        <v>17723.522018736832</v>
      </c>
      <c r="AO37" s="24">
        <v>5832801.8148863213</v>
      </c>
      <c r="AP37" s="24">
        <v>641112.07740519149</v>
      </c>
      <c r="AQ37" s="24">
        <v>51171.248602839296</v>
      </c>
      <c r="AR37" s="24">
        <v>51171.248602839296</v>
      </c>
      <c r="AS37" s="24">
        <v>4345126.0072597302</v>
      </c>
      <c r="AT37" s="24">
        <v>167372.84034368434</v>
      </c>
      <c r="AU37" s="24">
        <v>76834.082452868359</v>
      </c>
      <c r="AV37" s="24">
        <v>483866.73974933324</v>
      </c>
      <c r="AW37" s="24">
        <v>2036.6410455917285</v>
      </c>
      <c r="AX37" s="24">
        <v>202976.9471982547</v>
      </c>
      <c r="AY37" s="24">
        <v>216606.17088666116</v>
      </c>
      <c r="AZ37" s="24">
        <v>2465.8353271681385</v>
      </c>
      <c r="BA37" s="24">
        <v>116922.68962878011</v>
      </c>
      <c r="BB37" s="24">
        <v>16807.467587515741</v>
      </c>
      <c r="BC37" s="24">
        <v>1925284.956195323</v>
      </c>
      <c r="BD37" s="24">
        <v>11993.08488263136</v>
      </c>
      <c r="BE37" s="24">
        <v>16185.233739252988</v>
      </c>
      <c r="BF37" s="24">
        <v>297030.26267155522</v>
      </c>
      <c r="BG37" s="24">
        <v>4766948.1852596467</v>
      </c>
      <c r="BH37" s="24">
        <v>1583872.7636384452</v>
      </c>
      <c r="BI37" s="24">
        <v>10435606.088944718</v>
      </c>
      <c r="BJ37" s="24">
        <v>4939.8990351979683</v>
      </c>
      <c r="BK37" s="24">
        <v>371.9771225264073</v>
      </c>
      <c r="BL37" s="24">
        <v>2201.2831910273962</v>
      </c>
      <c r="BM37" s="24">
        <v>555623.64552236861</v>
      </c>
      <c r="BN37" s="24">
        <v>1456694.8173347453</v>
      </c>
      <c r="BO37" s="24">
        <v>211163.59034547221</v>
      </c>
      <c r="BP37" s="24">
        <v>233238.13744492849</v>
      </c>
      <c r="BQ37" s="24">
        <v>0</v>
      </c>
      <c r="BR37" s="25">
        <v>171246674.99577174</v>
      </c>
      <c r="BS37" s="26">
        <v>376782798.29030442</v>
      </c>
      <c r="BT37" s="26">
        <v>0</v>
      </c>
      <c r="BU37" s="26">
        <v>4907260.4704325404</v>
      </c>
      <c r="BV37" s="26">
        <v>0</v>
      </c>
      <c r="BW37" s="26">
        <v>0</v>
      </c>
      <c r="BX37" s="27">
        <v>371875537.8198719</v>
      </c>
      <c r="BY37" s="26">
        <v>26526774.549664065</v>
      </c>
      <c r="BZ37" s="26">
        <v>5251551.8927129041</v>
      </c>
      <c r="CA37" s="27">
        <v>31778326.442376971</v>
      </c>
      <c r="CB37" s="26">
        <v>0</v>
      </c>
      <c r="CC37" s="26">
        <v>0</v>
      </c>
      <c r="CD37" s="26">
        <v>0</v>
      </c>
      <c r="CE37" s="27">
        <v>0</v>
      </c>
      <c r="CF37" s="25">
        <v>403653864.26224887</v>
      </c>
      <c r="CG37" s="26">
        <v>0</v>
      </c>
      <c r="CH37" s="25">
        <v>574900539.25802064</v>
      </c>
      <c r="CI37" s="39" t="s">
        <v>136</v>
      </c>
      <c r="CJ37" s="22" t="s">
        <v>11</v>
      </c>
      <c r="CK37" s="2"/>
      <c r="CL37" s="2"/>
      <c r="CM37" s="30"/>
    </row>
    <row r="38" spans="1:91" s="41" customFormat="1" ht="32" customHeight="1" x14ac:dyDescent="0.2">
      <c r="A38" s="22" t="s">
        <v>12</v>
      </c>
      <c r="B38" s="40" t="s">
        <v>57</v>
      </c>
      <c r="C38" s="24">
        <v>5347983.9243050441</v>
      </c>
      <c r="D38" s="24">
        <v>8354.0613967547615</v>
      </c>
      <c r="E38" s="24">
        <v>94437.871809289078</v>
      </c>
      <c r="F38" s="24">
        <v>135374.91817480308</v>
      </c>
      <c r="G38" s="289">
        <v>4015054.3295069924</v>
      </c>
      <c r="H38" s="24">
        <v>278459.89935947477</v>
      </c>
      <c r="I38" s="24">
        <v>55387.106086216911</v>
      </c>
      <c r="J38" s="24">
        <v>222179.68891150062</v>
      </c>
      <c r="K38" s="24">
        <v>50333.391334321954</v>
      </c>
      <c r="L38" s="24">
        <v>28701.760454228879</v>
      </c>
      <c r="M38" s="24">
        <v>4727.1525071386659</v>
      </c>
      <c r="N38" s="24">
        <v>97882.387199804711</v>
      </c>
      <c r="O38" s="24">
        <v>14319.931313611876</v>
      </c>
      <c r="P38" s="70">
        <v>167431.2282004701</v>
      </c>
      <c r="Q38" s="24">
        <v>193807.52326862019</v>
      </c>
      <c r="R38" s="24">
        <v>148893.32420884111</v>
      </c>
      <c r="S38" s="24">
        <v>82409.903586673405</v>
      </c>
      <c r="T38" s="24">
        <v>274942.73881332733</v>
      </c>
      <c r="U38" s="24">
        <v>366596.18461189809</v>
      </c>
      <c r="V38" s="24">
        <v>45062.104540171567</v>
      </c>
      <c r="W38" s="24">
        <v>62778.684944466455</v>
      </c>
      <c r="X38" s="24">
        <v>219455.58636415619</v>
      </c>
      <c r="Y38" s="24">
        <v>37770.747307610458</v>
      </c>
      <c r="Z38" s="24">
        <v>199316.75803569224</v>
      </c>
      <c r="AA38" s="24">
        <v>6831.8377374730344</v>
      </c>
      <c r="AB38" s="24">
        <v>101872.39629757449</v>
      </c>
      <c r="AC38" s="24">
        <v>5440.3265006873125</v>
      </c>
      <c r="AD38" s="24">
        <v>267.51796471687948</v>
      </c>
      <c r="AE38" s="24">
        <v>471403.83934018342</v>
      </c>
      <c r="AF38" s="24">
        <v>71560.215640080976</v>
      </c>
      <c r="AG38" s="24">
        <v>2532534.8352313256</v>
      </c>
      <c r="AH38" s="24">
        <v>2722924.0501779132</v>
      </c>
      <c r="AI38" s="24">
        <v>1240535.1028197615</v>
      </c>
      <c r="AJ38" s="24">
        <v>13655.379143241196</v>
      </c>
      <c r="AK38" s="24">
        <v>299273.64970387513</v>
      </c>
      <c r="AL38" s="24">
        <v>53206.001469309034</v>
      </c>
      <c r="AM38" s="24">
        <v>12556.370641802065</v>
      </c>
      <c r="AN38" s="24">
        <v>18907.670775899784</v>
      </c>
      <c r="AO38" s="24">
        <v>1123925.5174185766</v>
      </c>
      <c r="AP38" s="24">
        <v>498726.0198675461</v>
      </c>
      <c r="AQ38" s="24">
        <v>38852.200517546531</v>
      </c>
      <c r="AR38" s="24">
        <v>38852.200517546531</v>
      </c>
      <c r="AS38" s="24">
        <v>493021.67239345692</v>
      </c>
      <c r="AT38" s="24">
        <v>25715.903914579627</v>
      </c>
      <c r="AU38" s="24">
        <v>9264.9377141381028</v>
      </c>
      <c r="AV38" s="24">
        <v>62531.220602914356</v>
      </c>
      <c r="AW38" s="24">
        <v>606.0956315686592</v>
      </c>
      <c r="AX38" s="24">
        <v>24577.084704076089</v>
      </c>
      <c r="AY38" s="24">
        <v>20438.760395764704</v>
      </c>
      <c r="AZ38" s="24">
        <v>362.38848892179078</v>
      </c>
      <c r="BA38" s="24">
        <v>13283.458857607233</v>
      </c>
      <c r="BB38" s="24">
        <v>1897.3393777023373</v>
      </c>
      <c r="BC38" s="24">
        <v>1963048.0119134118</v>
      </c>
      <c r="BD38" s="24">
        <v>1452.2500148964864</v>
      </c>
      <c r="BE38" s="24">
        <v>2288.0790255409734</v>
      </c>
      <c r="BF38" s="24">
        <v>31647.789698544217</v>
      </c>
      <c r="BG38" s="24">
        <v>1578384.6193737881</v>
      </c>
      <c r="BH38" s="24">
        <v>1779687.2771057186</v>
      </c>
      <c r="BI38" s="24">
        <v>1221973.4868908478</v>
      </c>
      <c r="BJ38" s="24">
        <v>2098.3654475211856</v>
      </c>
      <c r="BK38" s="24">
        <v>50.324073938231805</v>
      </c>
      <c r="BL38" s="24">
        <v>227.54211715525005</v>
      </c>
      <c r="BM38" s="24">
        <v>518631.90292680182</v>
      </c>
      <c r="BN38" s="24">
        <v>104351.17899230562</v>
      </c>
      <c r="BO38" s="24">
        <v>15015.973081628006</v>
      </c>
      <c r="BP38" s="24">
        <v>74932.173687353119</v>
      </c>
      <c r="BQ38" s="24">
        <v>0</v>
      </c>
      <c r="BR38" s="25">
        <v>29348474.174436349</v>
      </c>
      <c r="BS38" s="26">
        <v>150286426.47552559</v>
      </c>
      <c r="BT38" s="26">
        <v>5482892.9611619236</v>
      </c>
      <c r="BU38" s="26">
        <v>4931942.345057888</v>
      </c>
      <c r="BV38" s="26">
        <v>0</v>
      </c>
      <c r="BW38" s="26">
        <v>0</v>
      </c>
      <c r="BX38" s="27">
        <v>150837377.09162962</v>
      </c>
      <c r="BY38" s="26">
        <v>1744808.1100463897</v>
      </c>
      <c r="BZ38" s="26">
        <v>748556.34368663782</v>
      </c>
      <c r="CA38" s="27">
        <v>2493364.4537330274</v>
      </c>
      <c r="CB38" s="26">
        <v>0</v>
      </c>
      <c r="CC38" s="26">
        <v>44772242.01846198</v>
      </c>
      <c r="CD38" s="26">
        <v>4448706.015213008</v>
      </c>
      <c r="CE38" s="27">
        <v>49220948.033674985</v>
      </c>
      <c r="CF38" s="25">
        <v>202551689.57903764</v>
      </c>
      <c r="CG38" s="26">
        <v>14257171.561163789</v>
      </c>
      <c r="CH38" s="25">
        <v>217642992.19231021</v>
      </c>
      <c r="CI38" s="39" t="s">
        <v>137</v>
      </c>
      <c r="CJ38" s="22" t="s">
        <v>12</v>
      </c>
      <c r="CK38" s="2"/>
      <c r="CL38" s="2"/>
      <c r="CM38" s="30"/>
    </row>
    <row r="39" spans="1:91" s="41" customFormat="1" ht="32" customHeight="1" x14ac:dyDescent="0.2">
      <c r="A39" s="22">
        <v>52</v>
      </c>
      <c r="B39" s="40" t="s">
        <v>58</v>
      </c>
      <c r="C39" s="24">
        <v>465485.63483092404</v>
      </c>
      <c r="D39" s="24">
        <v>3.8784828535661724E-2</v>
      </c>
      <c r="E39" s="24">
        <v>6981.4543743995173</v>
      </c>
      <c r="F39" s="24">
        <v>347687.75855863851</v>
      </c>
      <c r="G39" s="289">
        <v>18.640417676579148</v>
      </c>
      <c r="H39" s="24">
        <v>386609.54385097418</v>
      </c>
      <c r="I39" s="24">
        <v>118467.06749927042</v>
      </c>
      <c r="J39" s="24">
        <v>406752.7095464624</v>
      </c>
      <c r="K39" s="24">
        <v>93618.204243144733</v>
      </c>
      <c r="L39" s="24">
        <v>44686.829752992744</v>
      </c>
      <c r="M39" s="24">
        <v>9778.2320850563628</v>
      </c>
      <c r="N39" s="24">
        <v>196935.7328170604</v>
      </c>
      <c r="O39" s="24">
        <v>21759.475788758387</v>
      </c>
      <c r="P39" s="70">
        <v>977396.75632480346</v>
      </c>
      <c r="Q39" s="24">
        <v>368345.45618128486</v>
      </c>
      <c r="R39" s="24">
        <v>231895.65637200073</v>
      </c>
      <c r="S39" s="24">
        <v>102742.32365710927</v>
      </c>
      <c r="T39" s="24">
        <v>489036.27506403776</v>
      </c>
      <c r="U39" s="24">
        <v>420144.89004176029</v>
      </c>
      <c r="V39" s="24">
        <v>91658.858164184829</v>
      </c>
      <c r="W39" s="24">
        <v>22912.126409988854</v>
      </c>
      <c r="X39" s="24">
        <v>91891.417714179581</v>
      </c>
      <c r="Y39" s="24">
        <v>34975.106133954949</v>
      </c>
      <c r="Z39" s="24">
        <v>65285.104177395631</v>
      </c>
      <c r="AA39" s="24">
        <v>1297.4367010179108</v>
      </c>
      <c r="AB39" s="24">
        <v>69933.576032178273</v>
      </c>
      <c r="AC39" s="24">
        <v>5484.6307835556299</v>
      </c>
      <c r="AD39" s="24">
        <v>103.05986885097484</v>
      </c>
      <c r="AE39" s="24">
        <v>22826.992579523823</v>
      </c>
      <c r="AF39" s="24">
        <v>31589.970653061275</v>
      </c>
      <c r="AG39" s="24">
        <v>11.75762598335626</v>
      </c>
      <c r="AH39" s="24">
        <v>648702.92624727252</v>
      </c>
      <c r="AI39" s="24">
        <v>1194631.3404973312</v>
      </c>
      <c r="AJ39" s="24">
        <v>49315.955858133355</v>
      </c>
      <c r="AK39" s="24">
        <v>633287.00090558711</v>
      </c>
      <c r="AL39" s="24">
        <v>0.2470158580420467</v>
      </c>
      <c r="AM39" s="24">
        <v>5.8294601780361548E-2</v>
      </c>
      <c r="AN39" s="24">
        <v>8.7781347804899615E-2</v>
      </c>
      <c r="AO39" s="24">
        <v>5.2179720030388976</v>
      </c>
      <c r="AP39" s="24">
        <v>1.1387111142668984</v>
      </c>
      <c r="AQ39" s="24">
        <v>0.12252679650702902</v>
      </c>
      <c r="AR39" s="24">
        <v>0.12252679650702902</v>
      </c>
      <c r="AS39" s="24">
        <v>14818.594128075178</v>
      </c>
      <c r="AT39" s="24">
        <v>22133.553023281172</v>
      </c>
      <c r="AU39" s="24">
        <v>13543.595297269947</v>
      </c>
      <c r="AV39" s="24">
        <v>93094.374952940052</v>
      </c>
      <c r="AW39" s="24">
        <v>191.29363703514181</v>
      </c>
      <c r="AX39" s="24">
        <v>39095.974088632975</v>
      </c>
      <c r="AY39" s="24">
        <v>32201.326829894089</v>
      </c>
      <c r="AZ39" s="24">
        <v>405.82113651019404</v>
      </c>
      <c r="BA39" s="24">
        <v>12371.557225197515</v>
      </c>
      <c r="BB39" s="24">
        <v>1509.9319626678491</v>
      </c>
      <c r="BC39" s="24">
        <v>213198.93040247212</v>
      </c>
      <c r="BD39" s="24">
        <v>6.7422616549780989E-3</v>
      </c>
      <c r="BE39" s="24">
        <v>3274.5756560639466</v>
      </c>
      <c r="BF39" s="24">
        <v>53337.272306325838</v>
      </c>
      <c r="BG39" s="24">
        <v>6.9268803737295324</v>
      </c>
      <c r="BH39" s="24">
        <v>12300.013173035633</v>
      </c>
      <c r="BI39" s="24">
        <v>1073596.0899575399</v>
      </c>
      <c r="BJ39" s="24">
        <v>2128.1883363996935</v>
      </c>
      <c r="BK39" s="24">
        <v>23.455810578493548</v>
      </c>
      <c r="BL39" s="24">
        <v>234.92526526578044</v>
      </c>
      <c r="BM39" s="24">
        <v>37014.675264928926</v>
      </c>
      <c r="BN39" s="24">
        <v>97077.138238106971</v>
      </c>
      <c r="BO39" s="24">
        <v>13897.350571272887</v>
      </c>
      <c r="BP39" s="24">
        <v>54473.805481646952</v>
      </c>
      <c r="BQ39" s="24">
        <v>0</v>
      </c>
      <c r="BR39" s="25">
        <v>9442186.3117396776</v>
      </c>
      <c r="BS39" s="26">
        <v>25219496.092895105</v>
      </c>
      <c r="BT39" s="26">
        <v>900481.72899057064</v>
      </c>
      <c r="BU39" s="26">
        <v>555745.05775306688</v>
      </c>
      <c r="BV39" s="26">
        <v>0</v>
      </c>
      <c r="BW39" s="26">
        <v>0</v>
      </c>
      <c r="BX39" s="27">
        <v>25564232.764132608</v>
      </c>
      <c r="BY39" s="26">
        <v>8.1005010810752811</v>
      </c>
      <c r="BZ39" s="26">
        <v>3.4752712555411907</v>
      </c>
      <c r="CA39" s="27">
        <v>11.575772336616472</v>
      </c>
      <c r="CB39" s="26">
        <v>0</v>
      </c>
      <c r="CC39" s="26">
        <v>46418428.927696735</v>
      </c>
      <c r="CD39" s="26">
        <v>510368.72345934995</v>
      </c>
      <c r="CE39" s="27">
        <v>46928797.651156083</v>
      </c>
      <c r="CF39" s="25">
        <v>72493041.991061032</v>
      </c>
      <c r="CG39" s="26">
        <v>900481.72898871358</v>
      </c>
      <c r="CH39" s="25">
        <v>81034746.573812008</v>
      </c>
      <c r="CI39" s="39" t="s">
        <v>138</v>
      </c>
      <c r="CJ39" s="22">
        <v>52</v>
      </c>
      <c r="CK39" s="2"/>
      <c r="CL39" s="2"/>
      <c r="CM39" s="30"/>
    </row>
    <row r="40" spans="1:91" s="41" customFormat="1" ht="32" customHeight="1" x14ac:dyDescent="0.2">
      <c r="A40" s="22" t="s">
        <v>13</v>
      </c>
      <c r="B40" s="40" t="s">
        <v>59</v>
      </c>
      <c r="C40" s="24">
        <v>263.77673682357448</v>
      </c>
      <c r="D40" s="24">
        <v>0</v>
      </c>
      <c r="E40" s="24">
        <v>113594.11128557796</v>
      </c>
      <c r="F40" s="24">
        <v>218782.31583396348</v>
      </c>
      <c r="G40" s="289">
        <v>2.4898633486584849</v>
      </c>
      <c r="H40" s="24">
        <v>18738.265378621065</v>
      </c>
      <c r="I40" s="24">
        <v>9716.5768490974697</v>
      </c>
      <c r="J40" s="24">
        <v>422.46706829992888</v>
      </c>
      <c r="K40" s="24">
        <v>211.34000091356174</v>
      </c>
      <c r="L40" s="24">
        <v>478.26519792684547</v>
      </c>
      <c r="M40" s="24">
        <v>170.96033911750206</v>
      </c>
      <c r="N40" s="24">
        <v>3522.4467760906505</v>
      </c>
      <c r="O40" s="24">
        <v>674.99446320948209</v>
      </c>
      <c r="P40" s="70">
        <v>110281.81760344471</v>
      </c>
      <c r="Q40" s="24">
        <v>12274.67672807121</v>
      </c>
      <c r="R40" s="24">
        <v>10697.70734315982</v>
      </c>
      <c r="S40" s="24">
        <v>1211.6365052093679</v>
      </c>
      <c r="T40" s="24">
        <v>23334.626082405794</v>
      </c>
      <c r="U40" s="24">
        <v>564.29694181406478</v>
      </c>
      <c r="V40" s="24">
        <v>2125.5935845936783</v>
      </c>
      <c r="W40" s="24">
        <v>1706.3185142397533</v>
      </c>
      <c r="X40" s="24">
        <v>6703.1961247582349</v>
      </c>
      <c r="Y40" s="24">
        <v>1486.1959780267971</v>
      </c>
      <c r="Z40" s="24">
        <v>3318.2691739632323</v>
      </c>
      <c r="AA40" s="24">
        <v>1069.6592847711897</v>
      </c>
      <c r="AB40" s="24">
        <v>974.8158528231105</v>
      </c>
      <c r="AC40" s="24">
        <v>155.07011641853643</v>
      </c>
      <c r="AD40" s="24">
        <v>23.740536718632658</v>
      </c>
      <c r="AE40" s="24">
        <v>239.5924431322081</v>
      </c>
      <c r="AF40" s="24">
        <v>6468.6673071606965</v>
      </c>
      <c r="AG40" s="24">
        <v>25.82530550019241</v>
      </c>
      <c r="AH40" s="24">
        <v>225124.29666759199</v>
      </c>
      <c r="AI40" s="24">
        <v>96008.669300927591</v>
      </c>
      <c r="AJ40" s="24">
        <v>4531.8655070148898</v>
      </c>
      <c r="AK40" s="24">
        <v>6760.8326350625066</v>
      </c>
      <c r="AL40" s="24">
        <v>115.93529550375537</v>
      </c>
      <c r="AM40" s="24">
        <v>27.360194350475911</v>
      </c>
      <c r="AN40" s="24">
        <v>33.71582220283571</v>
      </c>
      <c r="AO40" s="24">
        <v>2481.1355308670682</v>
      </c>
      <c r="AP40" s="24">
        <v>437.43373102576618</v>
      </c>
      <c r="AQ40" s="24">
        <v>19.074332069223946</v>
      </c>
      <c r="AR40" s="24">
        <v>19.074332069223946</v>
      </c>
      <c r="AS40" s="24">
        <v>517.28398688185553</v>
      </c>
      <c r="AT40" s="24">
        <v>3920.4226352647929</v>
      </c>
      <c r="AU40" s="24">
        <v>2389.9938301533111</v>
      </c>
      <c r="AV40" s="24">
        <v>16172.610026197106</v>
      </c>
      <c r="AW40" s="24">
        <v>32.119798042368792</v>
      </c>
      <c r="AX40" s="24">
        <v>6824.726891577161</v>
      </c>
      <c r="AY40" s="24">
        <v>5553.7378660469758</v>
      </c>
      <c r="AZ40" s="24">
        <v>70.37580550296245</v>
      </c>
      <c r="BA40" s="24">
        <v>1238.6137540915352</v>
      </c>
      <c r="BB40" s="24">
        <v>226.99442809245687</v>
      </c>
      <c r="BC40" s="24">
        <v>3383581.3286674824</v>
      </c>
      <c r="BD40" s="24">
        <v>85.517247021939099</v>
      </c>
      <c r="BE40" s="24">
        <v>502.93265989063934</v>
      </c>
      <c r="BF40" s="24">
        <v>8281.2796678629857</v>
      </c>
      <c r="BG40" s="24">
        <v>335.65704335685979</v>
      </c>
      <c r="BH40" s="24">
        <v>5579.2388144308115</v>
      </c>
      <c r="BI40" s="24">
        <v>43923.432172303605</v>
      </c>
      <c r="BJ40" s="24">
        <v>408.68529421631717</v>
      </c>
      <c r="BK40" s="24">
        <v>3.5335127759063695E-2</v>
      </c>
      <c r="BL40" s="24">
        <v>44.158074381237299</v>
      </c>
      <c r="BM40" s="24">
        <v>8096.1677490423544</v>
      </c>
      <c r="BN40" s="24">
        <v>15321.89917639709</v>
      </c>
      <c r="BO40" s="24">
        <v>2589.9330876132221</v>
      </c>
      <c r="BP40" s="24">
        <v>5972.2092795952231</v>
      </c>
      <c r="BQ40" s="24">
        <v>0</v>
      </c>
      <c r="BR40" s="25">
        <v>4396468.4618584607</v>
      </c>
      <c r="BS40" s="26">
        <v>84786704.449327409</v>
      </c>
      <c r="BT40" s="26">
        <v>18216342.000000004</v>
      </c>
      <c r="BU40" s="26">
        <v>0</v>
      </c>
      <c r="BV40" s="26">
        <v>460669.83871100395</v>
      </c>
      <c r="BW40" s="26">
        <v>0</v>
      </c>
      <c r="BX40" s="27">
        <v>103463716.28803842</v>
      </c>
      <c r="BY40" s="26">
        <v>0</v>
      </c>
      <c r="BZ40" s="26">
        <v>0</v>
      </c>
      <c r="CA40" s="27">
        <v>0</v>
      </c>
      <c r="CB40" s="26">
        <v>0</v>
      </c>
      <c r="CC40" s="26">
        <v>46522859.29020372</v>
      </c>
      <c r="CD40" s="26">
        <v>0</v>
      </c>
      <c r="CE40" s="27">
        <v>46522859.29020372</v>
      </c>
      <c r="CF40" s="25">
        <v>149986575.57824212</v>
      </c>
      <c r="CG40" s="26">
        <v>52672031.978317432</v>
      </c>
      <c r="CH40" s="25">
        <v>101711012.06178313</v>
      </c>
      <c r="CI40" s="39" t="s">
        <v>139</v>
      </c>
      <c r="CJ40" s="22" t="s">
        <v>13</v>
      </c>
      <c r="CK40" s="2"/>
      <c r="CL40" s="2"/>
      <c r="CM40" s="30"/>
    </row>
    <row r="41" spans="1:91" ht="32" customHeight="1" x14ac:dyDescent="0.2">
      <c r="A41" s="35">
        <v>58</v>
      </c>
      <c r="B41" s="40" t="s">
        <v>60</v>
      </c>
      <c r="C41" s="24">
        <v>1.3348548241917748</v>
      </c>
      <c r="D41" s="24">
        <v>0</v>
      </c>
      <c r="E41" s="24">
        <v>205.89924858444573</v>
      </c>
      <c r="F41" s="24">
        <v>6453.6018371971741</v>
      </c>
      <c r="G41" s="289">
        <v>7616.4089063321871</v>
      </c>
      <c r="H41" s="24">
        <v>1789.0225144672245</v>
      </c>
      <c r="I41" s="24">
        <v>38.922679817403164</v>
      </c>
      <c r="J41" s="24">
        <v>44.256150114393535</v>
      </c>
      <c r="K41" s="24">
        <v>51.854664858408185</v>
      </c>
      <c r="L41" s="24">
        <v>45.253397805869085</v>
      </c>
      <c r="M41" s="24">
        <v>4.2469260677159211</v>
      </c>
      <c r="N41" s="24">
        <v>404.3084331598422</v>
      </c>
      <c r="O41" s="24">
        <v>115.09361374691669</v>
      </c>
      <c r="P41" s="70">
        <v>247.7061153587513</v>
      </c>
      <c r="Q41" s="24">
        <v>129.40560940897066</v>
      </c>
      <c r="R41" s="24">
        <v>421.36279310038481</v>
      </c>
      <c r="S41" s="24">
        <v>106.61745954637929</v>
      </c>
      <c r="T41" s="24">
        <v>652.51034801326045</v>
      </c>
      <c r="U41" s="24">
        <v>118.73260994985225</v>
      </c>
      <c r="V41" s="24">
        <v>63.856479387850335</v>
      </c>
      <c r="W41" s="24">
        <v>26.470389651727135</v>
      </c>
      <c r="X41" s="24">
        <v>211.58260375438135</v>
      </c>
      <c r="Y41" s="24">
        <v>63.772032467494313</v>
      </c>
      <c r="Z41" s="24">
        <v>67.901077642892403</v>
      </c>
      <c r="AA41" s="24">
        <v>1.410480732977228</v>
      </c>
      <c r="AB41" s="24">
        <v>121.21541760347404</v>
      </c>
      <c r="AC41" s="24">
        <v>16.881961470873662</v>
      </c>
      <c r="AD41" s="24">
        <v>0.72707620405381579</v>
      </c>
      <c r="AE41" s="24">
        <v>41.526729586364027</v>
      </c>
      <c r="AF41" s="24">
        <v>220.8270863042566</v>
      </c>
      <c r="AG41" s="24">
        <v>12357.817128587007</v>
      </c>
      <c r="AH41" s="24">
        <v>39337.089762377436</v>
      </c>
      <c r="AI41" s="24">
        <v>8228.6045394623488</v>
      </c>
      <c r="AJ41" s="24">
        <v>284.21317530533173</v>
      </c>
      <c r="AK41" s="24">
        <v>3359.9961666398231</v>
      </c>
      <c r="AL41" s="24">
        <v>390.47674544299866</v>
      </c>
      <c r="AM41" s="24">
        <v>92.150708705578609</v>
      </c>
      <c r="AN41" s="24">
        <v>0</v>
      </c>
      <c r="AO41" s="24">
        <v>9018.390868450826</v>
      </c>
      <c r="AP41" s="24">
        <v>2236.95979297549</v>
      </c>
      <c r="AQ41" s="24">
        <v>124.9940486683882</v>
      </c>
      <c r="AR41" s="24">
        <v>124.9940486683882</v>
      </c>
      <c r="AS41" s="24">
        <v>14654.014294217615</v>
      </c>
      <c r="AT41" s="24">
        <v>1894.0958862012951</v>
      </c>
      <c r="AU41" s="24">
        <v>651.59704789444424</v>
      </c>
      <c r="AV41" s="24">
        <v>441.50931115167026</v>
      </c>
      <c r="AW41" s="24">
        <v>37.774863670689761</v>
      </c>
      <c r="AX41" s="24">
        <v>594.80419892310988</v>
      </c>
      <c r="AY41" s="24">
        <v>397.57276003757744</v>
      </c>
      <c r="AZ41" s="24">
        <v>29.88954844049584</v>
      </c>
      <c r="BA41" s="24">
        <v>2226.714164227611</v>
      </c>
      <c r="BB41" s="24">
        <v>356.98080222903889</v>
      </c>
      <c r="BC41" s="24">
        <v>4278.5273211847498</v>
      </c>
      <c r="BD41" s="24">
        <v>143.9255540454937</v>
      </c>
      <c r="BE41" s="24">
        <v>81.177906236890962</v>
      </c>
      <c r="BF41" s="24">
        <v>189.53435826998262</v>
      </c>
      <c r="BG41" s="24">
        <v>3546.4139337881406</v>
      </c>
      <c r="BH41" s="24">
        <v>1758.6224908533095</v>
      </c>
      <c r="BI41" s="24">
        <v>11473.550359823685</v>
      </c>
      <c r="BJ41" s="24">
        <v>43.999187295622868</v>
      </c>
      <c r="BK41" s="24">
        <v>4.1396917616717017</v>
      </c>
      <c r="BL41" s="24">
        <v>22.84444761257236</v>
      </c>
      <c r="BM41" s="24">
        <v>523.56714839825543</v>
      </c>
      <c r="BN41" s="24">
        <v>6387.3467002722382</v>
      </c>
      <c r="BO41" s="24">
        <v>1092.6633372783449</v>
      </c>
      <c r="BP41" s="24">
        <v>2004.4737652987806</v>
      </c>
      <c r="BQ41" s="24">
        <v>0</v>
      </c>
      <c r="BR41" s="25">
        <v>147674.13556155664</v>
      </c>
      <c r="BS41" s="26">
        <v>2352565.8893265082</v>
      </c>
      <c r="BT41" s="26">
        <v>0</v>
      </c>
      <c r="BU41" s="26">
        <v>0</v>
      </c>
      <c r="BV41" s="26">
        <v>0</v>
      </c>
      <c r="BW41" s="26">
        <v>0</v>
      </c>
      <c r="BX41" s="27">
        <v>2352565.8893265082</v>
      </c>
      <c r="BY41" s="26">
        <v>0</v>
      </c>
      <c r="BZ41" s="26">
        <v>0</v>
      </c>
      <c r="CA41" s="27">
        <v>0</v>
      </c>
      <c r="CB41" s="26">
        <v>0</v>
      </c>
      <c r="CC41" s="26">
        <v>302036.22328704305</v>
      </c>
      <c r="CD41" s="26">
        <v>0</v>
      </c>
      <c r="CE41" s="27">
        <v>302036.22328704305</v>
      </c>
      <c r="CF41" s="25">
        <v>2654602.1126135513</v>
      </c>
      <c r="CG41" s="26">
        <v>176871.91434534299</v>
      </c>
      <c r="CH41" s="25">
        <v>2625404.3338297647</v>
      </c>
      <c r="CI41" s="39" t="s">
        <v>140</v>
      </c>
      <c r="CJ41" s="35">
        <v>58</v>
      </c>
      <c r="CM41" s="30"/>
    </row>
    <row r="42" spans="1:91" ht="32" customHeight="1" x14ac:dyDescent="0.2">
      <c r="A42" s="43">
        <v>59</v>
      </c>
      <c r="B42" s="36" t="s">
        <v>61</v>
      </c>
      <c r="C42" s="24">
        <v>0.3436670795417518</v>
      </c>
      <c r="D42" s="24">
        <v>0</v>
      </c>
      <c r="E42" s="24">
        <v>0</v>
      </c>
      <c r="F42" s="24">
        <v>0</v>
      </c>
      <c r="G42" s="289">
        <v>0</v>
      </c>
      <c r="H42" s="24">
        <v>0</v>
      </c>
      <c r="I42" s="24">
        <v>0</v>
      </c>
      <c r="J42" s="24">
        <v>0</v>
      </c>
      <c r="K42" s="24">
        <v>0</v>
      </c>
      <c r="L42" s="24">
        <v>0</v>
      </c>
      <c r="M42" s="24">
        <v>0</v>
      </c>
      <c r="N42" s="24">
        <v>0</v>
      </c>
      <c r="O42" s="24">
        <v>0</v>
      </c>
      <c r="P42" s="70">
        <v>0</v>
      </c>
      <c r="Q42" s="24">
        <v>24.030539085014873</v>
      </c>
      <c r="R42" s="24">
        <v>20.943474202940212</v>
      </c>
      <c r="S42" s="24">
        <v>1.4734035771294707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</v>
      </c>
      <c r="Z42" s="24">
        <v>0</v>
      </c>
      <c r="AA42" s="24">
        <v>0</v>
      </c>
      <c r="AB42" s="24">
        <v>0</v>
      </c>
      <c r="AC42" s="24">
        <v>0</v>
      </c>
      <c r="AD42" s="24">
        <v>0</v>
      </c>
      <c r="AE42" s="24">
        <v>0</v>
      </c>
      <c r="AF42" s="24">
        <v>286.2261263181735</v>
      </c>
      <c r="AG42" s="24">
        <v>0</v>
      </c>
      <c r="AH42" s="24">
        <v>6.5168953985752454E-2</v>
      </c>
      <c r="AI42" s="24">
        <v>12936.041064977617</v>
      </c>
      <c r="AJ42" s="24">
        <v>1.9270215283840675</v>
      </c>
      <c r="AK42" s="24">
        <v>0.21076458985459642</v>
      </c>
      <c r="AL42" s="24">
        <v>0</v>
      </c>
      <c r="AM42" s="24">
        <v>0</v>
      </c>
      <c r="AN42" s="24">
        <v>53356.692850359366</v>
      </c>
      <c r="AO42" s="24">
        <v>0</v>
      </c>
      <c r="AP42" s="24">
        <v>0</v>
      </c>
      <c r="AQ42" s="24">
        <v>0</v>
      </c>
      <c r="AR42" s="24">
        <v>0</v>
      </c>
      <c r="AS42" s="24">
        <v>0</v>
      </c>
      <c r="AT42" s="24">
        <v>6.9067085224981355</v>
      </c>
      <c r="AU42" s="24">
        <v>4.210513072482299</v>
      </c>
      <c r="AV42" s="24">
        <v>28.491699464802739</v>
      </c>
      <c r="AW42" s="24">
        <v>5.6586267226559774E-2</v>
      </c>
      <c r="AX42" s="24">
        <v>146.46739602849664</v>
      </c>
      <c r="AY42" s="24">
        <v>9.784161612095323</v>
      </c>
      <c r="AZ42" s="24">
        <v>0.12398285105099491</v>
      </c>
      <c r="BA42" s="24">
        <v>8.9724863284880048</v>
      </c>
      <c r="BB42" s="24">
        <v>1.6443418264770864</v>
      </c>
      <c r="BC42" s="24">
        <v>365.62934373129923</v>
      </c>
      <c r="BD42" s="24">
        <v>0</v>
      </c>
      <c r="BE42" s="24">
        <v>3.6432313141303743</v>
      </c>
      <c r="BF42" s="24">
        <v>59.985170328305024</v>
      </c>
      <c r="BG42" s="24">
        <v>3161.7357356902153</v>
      </c>
      <c r="BH42" s="24">
        <v>12430.692183809751</v>
      </c>
      <c r="BI42" s="24">
        <v>353.88145282263457</v>
      </c>
      <c r="BJ42" s="24">
        <v>1.1624614453949076</v>
      </c>
      <c r="BK42" s="24">
        <v>1.0643279362312954E-2</v>
      </c>
      <c r="BL42" s="24">
        <v>0.12560290203126051</v>
      </c>
      <c r="BM42" s="24">
        <v>7171.3102853864675</v>
      </c>
      <c r="BN42" s="24">
        <v>458.10226937097332</v>
      </c>
      <c r="BO42" s="24">
        <v>93.120903581266134</v>
      </c>
      <c r="BP42" s="24">
        <v>1640.5565271180035</v>
      </c>
      <c r="BQ42" s="24">
        <v>0</v>
      </c>
      <c r="BR42" s="25">
        <v>92574.567767425469</v>
      </c>
      <c r="BS42" s="26">
        <v>1893801.3885964837</v>
      </c>
      <c r="BT42" s="26">
        <v>171513.96300758873</v>
      </c>
      <c r="BU42" s="26">
        <v>416026.14111815335</v>
      </c>
      <c r="BV42" s="26">
        <v>1827148.6873678302</v>
      </c>
      <c r="BW42" s="26">
        <v>0</v>
      </c>
      <c r="BX42" s="27">
        <v>3476437.8978537489</v>
      </c>
      <c r="BY42" s="26">
        <v>0</v>
      </c>
      <c r="BZ42" s="26">
        <v>0</v>
      </c>
      <c r="CA42" s="27">
        <v>0</v>
      </c>
      <c r="CB42" s="26">
        <v>0</v>
      </c>
      <c r="CC42" s="26">
        <v>217835.25228701046</v>
      </c>
      <c r="CD42" s="26">
        <v>416026.14111815335</v>
      </c>
      <c r="CE42" s="27">
        <v>633861.39340516378</v>
      </c>
      <c r="CF42" s="25">
        <v>4110299.2912589125</v>
      </c>
      <c r="CG42" s="26">
        <v>250984.09502633815</v>
      </c>
      <c r="CH42" s="25">
        <v>3951889.764</v>
      </c>
      <c r="CI42" s="37" t="s">
        <v>141</v>
      </c>
      <c r="CJ42" s="43">
        <v>59</v>
      </c>
      <c r="CM42" s="30"/>
    </row>
    <row r="43" spans="1:91" ht="32" customHeight="1" x14ac:dyDescent="0.2">
      <c r="A43" s="43">
        <v>60</v>
      </c>
      <c r="B43" s="36" t="s">
        <v>62</v>
      </c>
      <c r="C43" s="24">
        <v>2.0092901684421252</v>
      </c>
      <c r="D43" s="24">
        <v>0</v>
      </c>
      <c r="E43" s="24">
        <v>309.929835344335</v>
      </c>
      <c r="F43" s="24">
        <v>9714.283896281866</v>
      </c>
      <c r="G43" s="289">
        <v>11464.599188600365</v>
      </c>
      <c r="H43" s="24">
        <v>2692.9260652873581</v>
      </c>
      <c r="I43" s="24">
        <v>58.588362171805088</v>
      </c>
      <c r="J43" s="24">
        <v>66.616568113907789</v>
      </c>
      <c r="K43" s="24">
        <v>78.054232115425989</v>
      </c>
      <c r="L43" s="24">
        <v>68.117675159909339</v>
      </c>
      <c r="M43" s="24">
        <v>6.3926852863036281</v>
      </c>
      <c r="N43" s="24">
        <v>608.58525215143527</v>
      </c>
      <c r="O43" s="24">
        <v>173.24465729235826</v>
      </c>
      <c r="P43" s="70">
        <v>372.8596198127272</v>
      </c>
      <c r="Q43" s="24">
        <v>194.78778816575723</v>
      </c>
      <c r="R43" s="24">
        <v>634.256326740654</v>
      </c>
      <c r="S43" s="24">
        <v>160.48592653551273</v>
      </c>
      <c r="T43" s="24">
        <v>982.19117413283163</v>
      </c>
      <c r="U43" s="24">
        <v>178.72225617505606</v>
      </c>
      <c r="V43" s="24">
        <v>96.119962935311321</v>
      </c>
      <c r="W43" s="24">
        <v>39.844552919266619</v>
      </c>
      <c r="X43" s="24">
        <v>318.48470547684593</v>
      </c>
      <c r="Y43" s="24">
        <v>95.992849211967439</v>
      </c>
      <c r="Z43" s="24">
        <v>102.20809429002608</v>
      </c>
      <c r="AA43" s="24">
        <v>2.1231260644873129</v>
      </c>
      <c r="AB43" s="24">
        <v>182.45950229212025</v>
      </c>
      <c r="AC43" s="24">
        <v>25.411571799939729</v>
      </c>
      <c r="AD43" s="24">
        <v>1.0944314258279733</v>
      </c>
      <c r="AE43" s="24">
        <v>62.508107977926812</v>
      </c>
      <c r="AF43" s="24">
        <v>332.3999624494877</v>
      </c>
      <c r="AG43" s="24">
        <v>18601.603717400394</v>
      </c>
      <c r="AH43" s="24">
        <v>59212.152724193904</v>
      </c>
      <c r="AI43" s="24">
        <v>12386.106639836811</v>
      </c>
      <c r="AJ43" s="24">
        <v>427.81187027472413</v>
      </c>
      <c r="AK43" s="24">
        <v>5057.6340896998545</v>
      </c>
      <c r="AL43" s="24">
        <v>587.76510479253227</v>
      </c>
      <c r="AM43" s="24">
        <v>138.70985043575959</v>
      </c>
      <c r="AN43" s="24">
        <v>0</v>
      </c>
      <c r="AO43" s="24">
        <v>13574.932478607245</v>
      </c>
      <c r="AP43" s="24">
        <v>3367.1836350798872</v>
      </c>
      <c r="AQ43" s="24">
        <v>188.14728654498765</v>
      </c>
      <c r="AR43" s="24">
        <v>188.14728654498765</v>
      </c>
      <c r="AS43" s="24">
        <v>22057.954405198798</v>
      </c>
      <c r="AT43" s="24">
        <v>2851.0877537077922</v>
      </c>
      <c r="AU43" s="24">
        <v>980.81642916707449</v>
      </c>
      <c r="AV43" s="24">
        <v>664.58187219710442</v>
      </c>
      <c r="AW43" s="24">
        <v>56.860611964836494</v>
      </c>
      <c r="AX43" s="24">
        <v>895.3289956216222</v>
      </c>
      <c r="AY43" s="24">
        <v>598.44638046506975</v>
      </c>
      <c r="AZ43" s="24">
        <v>44.991241543458486</v>
      </c>
      <c r="BA43" s="24">
        <v>3351.7614028344547</v>
      </c>
      <c r="BB43" s="24">
        <v>537.34533766672837</v>
      </c>
      <c r="BC43" s="24">
        <v>6440.2530717695954</v>
      </c>
      <c r="BD43" s="24">
        <v>216.64393422430285</v>
      </c>
      <c r="BE43" s="24">
        <v>122.19303997740818</v>
      </c>
      <c r="BF43" s="24">
        <v>285.29658488101683</v>
      </c>
      <c r="BG43" s="24">
        <v>5338.2394259249677</v>
      </c>
      <c r="BH43" s="24">
        <v>2647.1664310104006</v>
      </c>
      <c r="BI43" s="24">
        <v>17270.561200599353</v>
      </c>
      <c r="BJ43" s="24">
        <v>66.229774841670348</v>
      </c>
      <c r="BK43" s="24">
        <v>6.2312708516029689</v>
      </c>
      <c r="BL43" s="24">
        <v>34.386603816055384</v>
      </c>
      <c r="BM43" s="24">
        <v>788.09942829015563</v>
      </c>
      <c r="BN43" s="24">
        <v>9614.5533541888963</v>
      </c>
      <c r="BO43" s="24">
        <v>1644.7314428667205</v>
      </c>
      <c r="BP43" s="24">
        <v>3017.2340516157724</v>
      </c>
      <c r="BQ43" s="24">
        <v>0</v>
      </c>
      <c r="BR43" s="25">
        <v>222286.48639501524</v>
      </c>
      <c r="BS43" s="26">
        <v>3541199.7067906954</v>
      </c>
      <c r="BT43" s="26">
        <v>0</v>
      </c>
      <c r="BU43" s="26">
        <v>0</v>
      </c>
      <c r="BV43" s="26">
        <v>0</v>
      </c>
      <c r="BW43" s="26">
        <v>0</v>
      </c>
      <c r="BX43" s="27">
        <v>3541199.7067906954</v>
      </c>
      <c r="BY43" s="26">
        <v>0</v>
      </c>
      <c r="BZ43" s="26">
        <v>0</v>
      </c>
      <c r="CA43" s="27">
        <v>0</v>
      </c>
      <c r="CB43" s="26">
        <v>0</v>
      </c>
      <c r="CC43" s="26">
        <v>454640.01250585256</v>
      </c>
      <c r="CD43" s="26">
        <v>0</v>
      </c>
      <c r="CE43" s="27">
        <v>454640.01250585256</v>
      </c>
      <c r="CF43" s="25">
        <v>3995839.719296548</v>
      </c>
      <c r="CG43" s="26">
        <v>266236.44169156323</v>
      </c>
      <c r="CH43" s="25">
        <v>3951889.7639999995</v>
      </c>
      <c r="CI43" s="37" t="s">
        <v>142</v>
      </c>
      <c r="CJ43" s="43">
        <v>60</v>
      </c>
      <c r="CM43" s="30"/>
    </row>
    <row r="44" spans="1:91" ht="32" customHeight="1" x14ac:dyDescent="0.2">
      <c r="A44" s="43" t="s">
        <v>14</v>
      </c>
      <c r="B44" s="36" t="s">
        <v>63</v>
      </c>
      <c r="C44" s="24">
        <v>143.1480820415785</v>
      </c>
      <c r="D44" s="24">
        <v>0</v>
      </c>
      <c r="E44" s="24">
        <v>8684.5821604017074</v>
      </c>
      <c r="F44" s="24">
        <v>241813.56649034302</v>
      </c>
      <c r="G44" s="289">
        <v>441577.88575740549</v>
      </c>
      <c r="H44" s="24">
        <v>118825.74350562895</v>
      </c>
      <c r="I44" s="24">
        <v>1730.8515281804093</v>
      </c>
      <c r="J44" s="24">
        <v>1930.6219432818946</v>
      </c>
      <c r="K44" s="24">
        <v>2155.7466473076406</v>
      </c>
      <c r="L44" s="24">
        <v>1728.3737863413974</v>
      </c>
      <c r="M44" s="24">
        <v>159.58463154466816</v>
      </c>
      <c r="N44" s="24">
        <v>16507.753281533071</v>
      </c>
      <c r="O44" s="24">
        <v>4566.5503170659586</v>
      </c>
      <c r="P44" s="70">
        <v>12159.570903035727</v>
      </c>
      <c r="Q44" s="24">
        <v>7042.8797347740156</v>
      </c>
      <c r="R44" s="24">
        <v>19540.668257200981</v>
      </c>
      <c r="S44" s="24">
        <v>4225.0323773147393</v>
      </c>
      <c r="T44" s="24">
        <v>32789.519801989074</v>
      </c>
      <c r="U44" s="24">
        <v>5206.9032612629962</v>
      </c>
      <c r="V44" s="24">
        <v>2668.2731104562549</v>
      </c>
      <c r="W44" s="24">
        <v>1006.2514137934138</v>
      </c>
      <c r="X44" s="24">
        <v>10398.970160994662</v>
      </c>
      <c r="Y44" s="24">
        <v>3643.1215597896648</v>
      </c>
      <c r="Z44" s="24">
        <v>3070.1371349797801</v>
      </c>
      <c r="AA44" s="24">
        <v>66.465239670406959</v>
      </c>
      <c r="AB44" s="24">
        <v>4887.4029395272073</v>
      </c>
      <c r="AC44" s="24">
        <v>692.11687934192889</v>
      </c>
      <c r="AD44" s="24">
        <v>27.835675727560862</v>
      </c>
      <c r="AE44" s="24">
        <v>2010.0714996500199</v>
      </c>
      <c r="AF44" s="24">
        <v>21695.836099374719</v>
      </c>
      <c r="AG44" s="24">
        <v>438297.20544413198</v>
      </c>
      <c r="AH44" s="24">
        <v>1948615.0531102777</v>
      </c>
      <c r="AI44" s="24">
        <v>337596.96970543312</v>
      </c>
      <c r="AJ44" s="24">
        <v>21400.459354090894</v>
      </c>
      <c r="AK44" s="24">
        <v>219917.82520881933</v>
      </c>
      <c r="AL44" s="24">
        <v>59273.711309674189</v>
      </c>
      <c r="AM44" s="24">
        <v>13988.322143485215</v>
      </c>
      <c r="AN44" s="24">
        <v>527.41658756456252</v>
      </c>
      <c r="AO44" s="24">
        <v>1272287.1789667862</v>
      </c>
      <c r="AP44" s="24">
        <v>80436.769378339217</v>
      </c>
      <c r="AQ44" s="24">
        <v>4554.8653122860087</v>
      </c>
      <c r="AR44" s="24">
        <v>4554.8653122860087</v>
      </c>
      <c r="AS44" s="24">
        <v>2637440.7092099381</v>
      </c>
      <c r="AT44" s="24">
        <v>78553.629189495841</v>
      </c>
      <c r="AU44" s="24">
        <v>28979.325495626119</v>
      </c>
      <c r="AV44" s="24">
        <v>27198.627661457896</v>
      </c>
      <c r="AW44" s="24">
        <v>1597.4130859877243</v>
      </c>
      <c r="AX44" s="24">
        <v>26338.046030794696</v>
      </c>
      <c r="AY44" s="24">
        <v>18107.798370100376</v>
      </c>
      <c r="AZ44" s="24">
        <v>1189.372718594266</v>
      </c>
      <c r="BA44" s="24">
        <v>84595.201812165818</v>
      </c>
      <c r="BB44" s="24">
        <v>14678.871658442726</v>
      </c>
      <c r="BC44" s="24">
        <v>184310.26655497259</v>
      </c>
      <c r="BD44" s="24">
        <v>6320.4133940503871</v>
      </c>
      <c r="BE44" s="24">
        <v>3505.3228932367115</v>
      </c>
      <c r="BF44" s="24">
        <v>16602.107015793186</v>
      </c>
      <c r="BG44" s="24">
        <v>203796.93753548255</v>
      </c>
      <c r="BH44" s="24">
        <v>72728.840888811421</v>
      </c>
      <c r="BI44" s="24">
        <v>496149.94480369223</v>
      </c>
      <c r="BJ44" s="24">
        <v>1843.9592988737893</v>
      </c>
      <c r="BK44" s="24">
        <v>172.67076919289931</v>
      </c>
      <c r="BL44" s="24">
        <v>1312.8190252099043</v>
      </c>
      <c r="BM44" s="24">
        <v>26493.529916802094</v>
      </c>
      <c r="BN44" s="24">
        <v>261512.96199461893</v>
      </c>
      <c r="BO44" s="24">
        <v>44715.796061910929</v>
      </c>
      <c r="BP44" s="24">
        <v>84140.176268309471</v>
      </c>
      <c r="BQ44" s="24">
        <v>0</v>
      </c>
      <c r="BR44" s="25">
        <v>9694690.8476666901</v>
      </c>
      <c r="BS44" s="26">
        <v>86289310.310876518</v>
      </c>
      <c r="BT44" s="26">
        <v>0</v>
      </c>
      <c r="BU44" s="26">
        <v>0</v>
      </c>
      <c r="BV44" s="26">
        <v>0</v>
      </c>
      <c r="BW44" s="26">
        <v>0</v>
      </c>
      <c r="BX44" s="27">
        <v>86289310.310876518</v>
      </c>
      <c r="BY44" s="26">
        <v>3293703.395872578</v>
      </c>
      <c r="BZ44" s="26">
        <v>0</v>
      </c>
      <c r="CA44" s="27">
        <v>3293703.395872578</v>
      </c>
      <c r="CB44" s="26">
        <v>0</v>
      </c>
      <c r="CC44" s="26">
        <v>11115198.31248928</v>
      </c>
      <c r="CD44" s="26">
        <v>0</v>
      </c>
      <c r="CE44" s="27">
        <v>11115198.31248928</v>
      </c>
      <c r="CF44" s="25">
        <v>100698212.01923838</v>
      </c>
      <c r="CG44" s="26">
        <v>11226280.717891395</v>
      </c>
      <c r="CH44" s="25">
        <v>99166622.149013683</v>
      </c>
      <c r="CI44" s="37" t="s">
        <v>143</v>
      </c>
      <c r="CJ44" s="43" t="s">
        <v>14</v>
      </c>
      <c r="CM44" s="30"/>
    </row>
    <row r="45" spans="1:91" ht="32" customHeight="1" x14ac:dyDescent="0.2">
      <c r="A45" s="43">
        <v>64</v>
      </c>
      <c r="B45" s="36" t="s">
        <v>64</v>
      </c>
      <c r="C45" s="24">
        <v>572324.57352805056</v>
      </c>
      <c r="D45" s="24">
        <v>0</v>
      </c>
      <c r="E45" s="24">
        <v>3308243.7265315508</v>
      </c>
      <c r="F45" s="24">
        <v>321905.83229305357</v>
      </c>
      <c r="G45" s="289">
        <v>1881753.7681874654</v>
      </c>
      <c r="H45" s="24">
        <v>500119.6733278496</v>
      </c>
      <c r="I45" s="24">
        <v>284622.70269689825</v>
      </c>
      <c r="J45" s="24">
        <v>938768.83579540567</v>
      </c>
      <c r="K45" s="24">
        <v>355424.2224695615</v>
      </c>
      <c r="L45" s="24">
        <v>22154.25876909219</v>
      </c>
      <c r="M45" s="24">
        <v>7908.0081635725946</v>
      </c>
      <c r="N45" s="24">
        <v>216814.20967511443</v>
      </c>
      <c r="O45" s="24">
        <v>116640.48567657171</v>
      </c>
      <c r="P45" s="70">
        <v>868751.78699267516</v>
      </c>
      <c r="Q45" s="24">
        <v>356459.48427922657</v>
      </c>
      <c r="R45" s="24">
        <v>723309.26144044788</v>
      </c>
      <c r="S45" s="24">
        <v>104280.6790474609</v>
      </c>
      <c r="T45" s="24">
        <v>902496.91330721101</v>
      </c>
      <c r="U45" s="24">
        <v>1109682.4499339045</v>
      </c>
      <c r="V45" s="24">
        <v>105054.78432609729</v>
      </c>
      <c r="W45" s="24">
        <v>98284.57386655263</v>
      </c>
      <c r="X45" s="24">
        <v>736251.54090406233</v>
      </c>
      <c r="Y45" s="24">
        <v>874860.97074337292</v>
      </c>
      <c r="Z45" s="24">
        <v>452122.32743084733</v>
      </c>
      <c r="AA45" s="24">
        <v>9136.5004662310184</v>
      </c>
      <c r="AB45" s="24">
        <v>11906.785783012936</v>
      </c>
      <c r="AC45" s="24">
        <v>28634.123066233056</v>
      </c>
      <c r="AD45" s="24">
        <v>33.874843517079775</v>
      </c>
      <c r="AE45" s="24">
        <v>7811612.0241625085</v>
      </c>
      <c r="AF45" s="24">
        <v>46128.835107142266</v>
      </c>
      <c r="AG45" s="24">
        <v>5226283.2636433961</v>
      </c>
      <c r="AH45" s="24">
        <v>6073317.6011361778</v>
      </c>
      <c r="AI45" s="24">
        <v>1460153.1182653473</v>
      </c>
      <c r="AJ45" s="24">
        <v>1361591.5006605121</v>
      </c>
      <c r="AK45" s="24">
        <v>278773.62129078759</v>
      </c>
      <c r="AL45" s="24">
        <v>40846.727478771281</v>
      </c>
      <c r="AM45" s="24">
        <v>76822.961034747059</v>
      </c>
      <c r="AN45" s="24">
        <v>171161.23357446233</v>
      </c>
      <c r="AO45" s="24">
        <v>8376116.7645471618</v>
      </c>
      <c r="AP45" s="24">
        <v>1091417.218461429</v>
      </c>
      <c r="AQ45" s="24">
        <v>277226.73095273663</v>
      </c>
      <c r="AR45" s="24">
        <v>73672.473867286084</v>
      </c>
      <c r="AS45" s="24">
        <v>628480.58042694698</v>
      </c>
      <c r="AT45" s="24">
        <v>1658.1777792826763</v>
      </c>
      <c r="AU45" s="24">
        <v>7861.585735303106</v>
      </c>
      <c r="AV45" s="24">
        <v>83831.212837221829</v>
      </c>
      <c r="AW45" s="24">
        <v>167.98927746634291</v>
      </c>
      <c r="AX45" s="24">
        <v>31072.848327116761</v>
      </c>
      <c r="AY45" s="24">
        <v>106.44987712509072</v>
      </c>
      <c r="AZ45" s="24">
        <v>13.245508449052414</v>
      </c>
      <c r="BA45" s="24">
        <v>620.95967039390814</v>
      </c>
      <c r="BB45" s="24">
        <v>674.03462253351915</v>
      </c>
      <c r="BC45" s="24">
        <v>165261.88376547303</v>
      </c>
      <c r="BD45" s="24">
        <v>21365.869559132338</v>
      </c>
      <c r="BE45" s="24">
        <v>46803.893339644455</v>
      </c>
      <c r="BF45" s="24">
        <v>13713.841961366868</v>
      </c>
      <c r="BG45" s="24">
        <v>23471119.725919269</v>
      </c>
      <c r="BH45" s="24">
        <v>33255.909067881381</v>
      </c>
      <c r="BI45" s="24">
        <v>164544.27243650437</v>
      </c>
      <c r="BJ45" s="24">
        <v>0</v>
      </c>
      <c r="BK45" s="24">
        <v>11.567957039962232</v>
      </c>
      <c r="BL45" s="24">
        <v>22742.842263872441</v>
      </c>
      <c r="BM45" s="24">
        <v>70316.699514682492</v>
      </c>
      <c r="BN45" s="24">
        <v>262708.94814149069</v>
      </c>
      <c r="BO45" s="24">
        <v>1079.3692906200195</v>
      </c>
      <c r="BP45" s="24">
        <v>184.14321001134081</v>
      </c>
      <c r="BQ45" s="24">
        <v>0</v>
      </c>
      <c r="BR45" s="25">
        <v>72300666.47821635</v>
      </c>
      <c r="BS45" s="26">
        <v>35485400.038249567</v>
      </c>
      <c r="BT45" s="26">
        <v>0</v>
      </c>
      <c r="BU45" s="26">
        <v>0</v>
      </c>
      <c r="BV45" s="26">
        <v>18941314.660861708</v>
      </c>
      <c r="BW45" s="26">
        <v>0</v>
      </c>
      <c r="BX45" s="27">
        <v>54426714.699111275</v>
      </c>
      <c r="BY45" s="26">
        <v>0</v>
      </c>
      <c r="BZ45" s="26">
        <v>0</v>
      </c>
      <c r="CA45" s="27">
        <v>0</v>
      </c>
      <c r="CB45" s="26">
        <v>0</v>
      </c>
      <c r="CC45" s="26">
        <v>4753356.0286843739</v>
      </c>
      <c r="CD45" s="26">
        <v>0</v>
      </c>
      <c r="CE45" s="27">
        <v>4753356.0286843739</v>
      </c>
      <c r="CF45" s="25">
        <v>59180070.727795646</v>
      </c>
      <c r="CG45" s="26">
        <v>-0.18196648191599599</v>
      </c>
      <c r="CH45" s="25">
        <v>131480737.38797848</v>
      </c>
      <c r="CI45" s="39" t="s">
        <v>144</v>
      </c>
      <c r="CJ45" s="43">
        <v>64</v>
      </c>
      <c r="CM45" s="30"/>
    </row>
    <row r="46" spans="1:91" s="41" customFormat="1" ht="32" customHeight="1" x14ac:dyDescent="0.2">
      <c r="A46" s="22">
        <v>65</v>
      </c>
      <c r="B46" s="40" t="s">
        <v>65</v>
      </c>
      <c r="C46" s="24">
        <v>47000.889371162819</v>
      </c>
      <c r="D46" s="24">
        <v>0</v>
      </c>
      <c r="E46" s="24">
        <v>271682.19677349221</v>
      </c>
      <c r="F46" s="24">
        <v>27115.163094504518</v>
      </c>
      <c r="G46" s="289">
        <v>154534.86495807968</v>
      </c>
      <c r="H46" s="24">
        <v>41071.221690732244</v>
      </c>
      <c r="I46" s="24">
        <v>23697.468976893666</v>
      </c>
      <c r="J46" s="24">
        <v>77099.370273752837</v>
      </c>
      <c r="K46" s="24">
        <v>29190.739231645017</v>
      </c>
      <c r="L46" s="24">
        <v>1826.1592622146279</v>
      </c>
      <c r="M46" s="24">
        <v>650.56884500259446</v>
      </c>
      <c r="N46" s="24">
        <v>17904.714912288815</v>
      </c>
      <c r="O46" s="24">
        <v>9578.8418269175672</v>
      </c>
      <c r="P46" s="70">
        <v>71910.144267387688</v>
      </c>
      <c r="Q46" s="24">
        <v>29375.823510316786</v>
      </c>
      <c r="R46" s="24">
        <v>59489.398044989728</v>
      </c>
      <c r="S46" s="24">
        <v>8563.8200527470908</v>
      </c>
      <c r="T46" s="24">
        <v>74474.367622913487</v>
      </c>
      <c r="U46" s="24">
        <v>91153.863574577932</v>
      </c>
      <c r="V46" s="24">
        <v>8665.9748704627928</v>
      </c>
      <c r="W46" s="24">
        <v>8075.5548292098547</v>
      </c>
      <c r="X46" s="24">
        <v>60556.570459362512</v>
      </c>
      <c r="Y46" s="24">
        <v>71877.595673053278</v>
      </c>
      <c r="Z46" s="24">
        <v>37162.002974727679</v>
      </c>
      <c r="AA46" s="24">
        <v>750.31488689320611</v>
      </c>
      <c r="AB46" s="24">
        <v>977.81843946299989</v>
      </c>
      <c r="AC46" s="24">
        <v>2353.528863720398</v>
      </c>
      <c r="AD46" s="24">
        <v>2.7818965780152451</v>
      </c>
      <c r="AE46" s="24">
        <v>641511.35481536784</v>
      </c>
      <c r="AF46" s="24">
        <v>3788.2285262125711</v>
      </c>
      <c r="AG46" s="24">
        <v>429196.9502246505</v>
      </c>
      <c r="AH46" s="24">
        <v>498757.77118444321</v>
      </c>
      <c r="AI46" s="24">
        <v>126458.63427644812</v>
      </c>
      <c r="AJ46" s="24">
        <v>111817.68956164479</v>
      </c>
      <c r="AK46" s="24">
        <v>22893.666880519799</v>
      </c>
      <c r="AL46" s="24">
        <v>3354.4471235423398</v>
      </c>
      <c r="AM46" s="24">
        <v>6308.9157093170488</v>
      </c>
      <c r="AN46" s="24">
        <v>14056.237624524745</v>
      </c>
      <c r="AO46" s="24">
        <v>687870.05769048689</v>
      </c>
      <c r="AP46" s="24">
        <v>89630.224378568804</v>
      </c>
      <c r="AQ46" s="24">
        <v>39590.706406032565</v>
      </c>
      <c r="AR46" s="24">
        <v>22874.263393065215</v>
      </c>
      <c r="AS46" s="24">
        <v>51612.577196326463</v>
      </c>
      <c r="AT46" s="24">
        <v>136.17418151619128</v>
      </c>
      <c r="AU46" s="24">
        <v>645.61533527929703</v>
      </c>
      <c r="AV46" s="24">
        <v>6884.4528833070535</v>
      </c>
      <c r="AW46" s="24">
        <v>13.795747746886112</v>
      </c>
      <c r="AX46" s="24">
        <v>2551.7889222664271</v>
      </c>
      <c r="AY46" s="24">
        <v>8.7419606456668202</v>
      </c>
      <c r="AZ46" s="24">
        <v>1.0877580765771586</v>
      </c>
      <c r="BA46" s="24">
        <v>50.994939099373426</v>
      </c>
      <c r="BB46" s="24">
        <v>55.35360211905828</v>
      </c>
      <c r="BC46" s="24">
        <v>13571.766573378263</v>
      </c>
      <c r="BD46" s="24">
        <v>1754.624766986798</v>
      </c>
      <c r="BE46" s="24">
        <v>3843.666190035638</v>
      </c>
      <c r="BF46" s="24">
        <v>1126.2189301194205</v>
      </c>
      <c r="BG46" s="24">
        <v>1927513.7792090299</v>
      </c>
      <c r="BH46" s="24">
        <v>2757.4293179392243</v>
      </c>
      <c r="BI46" s="24">
        <v>48180.527942067522</v>
      </c>
      <c r="BJ46" s="24">
        <v>2.3710802337071115</v>
      </c>
      <c r="BK46" s="24">
        <v>0.97170204529085602</v>
      </c>
      <c r="BL46" s="24">
        <v>1867.9617969665837</v>
      </c>
      <c r="BM46" s="24">
        <v>5817.7394822977212</v>
      </c>
      <c r="BN46" s="24">
        <v>21665.044900578774</v>
      </c>
      <c r="BO46" s="24">
        <v>103.75486892427294</v>
      </c>
      <c r="BP46" s="24">
        <v>218.05023934346497</v>
      </c>
      <c r="BQ46" s="24">
        <v>0</v>
      </c>
      <c r="BR46" s="25">
        <v>6015235.3965042429</v>
      </c>
      <c r="BS46" s="26">
        <v>6610680.2056757957</v>
      </c>
      <c r="BT46" s="26">
        <v>87877.848012371905</v>
      </c>
      <c r="BU46" s="26">
        <v>112072.27534193512</v>
      </c>
      <c r="BV46" s="26">
        <v>2771202.3241519202</v>
      </c>
      <c r="BW46" s="26">
        <v>527918.91038696549</v>
      </c>
      <c r="BX46" s="27">
        <v>9885607.012885116</v>
      </c>
      <c r="BY46" s="26">
        <v>0</v>
      </c>
      <c r="BZ46" s="26">
        <v>0</v>
      </c>
      <c r="CA46" s="27">
        <v>0</v>
      </c>
      <c r="CB46" s="26">
        <v>0</v>
      </c>
      <c r="CC46" s="26">
        <v>390358.84737350763</v>
      </c>
      <c r="CD46" s="26">
        <v>112072.27534193512</v>
      </c>
      <c r="CE46" s="27">
        <v>502431.12271544273</v>
      </c>
      <c r="CF46" s="25">
        <v>10388038.135600559</v>
      </c>
      <c r="CG46" s="26">
        <v>231504.53210481448</v>
      </c>
      <c r="CH46" s="25">
        <v>16171768.999999987</v>
      </c>
      <c r="CI46" s="39" t="s">
        <v>145</v>
      </c>
      <c r="CJ46" s="22">
        <v>65</v>
      </c>
      <c r="CK46" s="2"/>
      <c r="CL46" s="2"/>
      <c r="CM46" s="30"/>
    </row>
    <row r="47" spans="1:91" ht="32" customHeight="1" x14ac:dyDescent="0.2">
      <c r="A47" s="35">
        <v>66</v>
      </c>
      <c r="B47" s="36" t="s">
        <v>66</v>
      </c>
      <c r="C47" s="24">
        <v>9718.4973182098747</v>
      </c>
      <c r="D47" s="24">
        <v>0</v>
      </c>
      <c r="E47" s="24">
        <v>56176.441256205719</v>
      </c>
      <c r="F47" s="24">
        <v>5466.2006710128253</v>
      </c>
      <c r="G47" s="289">
        <v>31953.579831331313</v>
      </c>
      <c r="H47" s="24">
        <v>8492.4043607966614</v>
      </c>
      <c r="I47" s="24">
        <v>4833.1053755214671</v>
      </c>
      <c r="J47" s="24">
        <v>15940.993686250489</v>
      </c>
      <c r="K47" s="24">
        <v>6035.3678885464951</v>
      </c>
      <c r="L47" s="24">
        <v>376.19580635357352</v>
      </c>
      <c r="M47" s="24">
        <v>134.2838656329254</v>
      </c>
      <c r="N47" s="24">
        <v>3681.6666848468294</v>
      </c>
      <c r="O47" s="24">
        <v>1980.6422783048674</v>
      </c>
      <c r="P47" s="70">
        <v>14752.052074284291</v>
      </c>
      <c r="Q47" s="24">
        <v>6052.9474047620115</v>
      </c>
      <c r="R47" s="24">
        <v>12282.329717580844</v>
      </c>
      <c r="S47" s="24">
        <v>1770.7635606427139</v>
      </c>
      <c r="T47" s="24">
        <v>15325.069440232492</v>
      </c>
      <c r="U47" s="24">
        <v>18843.23408877472</v>
      </c>
      <c r="V47" s="24">
        <v>1783.9084445467267</v>
      </c>
      <c r="W47" s="24">
        <v>1668.945230947134</v>
      </c>
      <c r="X47" s="24">
        <v>12502.099257587317</v>
      </c>
      <c r="Y47" s="24">
        <v>14855.790562274793</v>
      </c>
      <c r="Z47" s="24">
        <v>7677.3736964557274</v>
      </c>
      <c r="AA47" s="24">
        <v>155.14457946743667</v>
      </c>
      <c r="AB47" s="24">
        <v>202.18608644984079</v>
      </c>
      <c r="AC47" s="24">
        <v>486.22872597106561</v>
      </c>
      <c r="AD47" s="24">
        <v>0.57522006061370645</v>
      </c>
      <c r="AE47" s="24">
        <v>132646.98742486991</v>
      </c>
      <c r="AF47" s="24">
        <v>783.30196014016792</v>
      </c>
      <c r="AG47" s="24">
        <v>88746.180456349262</v>
      </c>
      <c r="AH47" s="24">
        <v>103129.45407084803</v>
      </c>
      <c r="AI47" s="24">
        <v>24794.486940445982</v>
      </c>
      <c r="AJ47" s="24">
        <v>23120.837300581148</v>
      </c>
      <c r="AK47" s="24">
        <v>4733.7836189719183</v>
      </c>
      <c r="AL47" s="24">
        <v>693.60784041301042</v>
      </c>
      <c r="AM47" s="24">
        <v>1304.5110682400898</v>
      </c>
      <c r="AN47" s="24">
        <v>2906.4451648840113</v>
      </c>
      <c r="AO47" s="24">
        <v>142232.6981549302</v>
      </c>
      <c r="AP47" s="24">
        <v>18533.076861054295</v>
      </c>
      <c r="AQ47" s="24">
        <v>4707.5162694690998</v>
      </c>
      <c r="AR47" s="24">
        <v>1251.0134507967537</v>
      </c>
      <c r="AS47" s="24">
        <v>10672.068119973732</v>
      </c>
      <c r="AT47" s="24">
        <v>28.157093101444605</v>
      </c>
      <c r="AU47" s="24">
        <v>133.4955782423269</v>
      </c>
      <c r="AV47" s="24">
        <v>1423.516401049467</v>
      </c>
      <c r="AW47" s="24">
        <v>2.8525829888460166</v>
      </c>
      <c r="AX47" s="24">
        <v>527.64009637867809</v>
      </c>
      <c r="AY47" s="24">
        <v>1.8075981588326135</v>
      </c>
      <c r="AZ47" s="24">
        <v>0.22491859391414554</v>
      </c>
      <c r="BA47" s="24">
        <v>10.544357468767519</v>
      </c>
      <c r="BB47" s="24">
        <v>11.445609667066927</v>
      </c>
      <c r="BC47" s="24">
        <v>2806.2698134319135</v>
      </c>
      <c r="BD47" s="24">
        <v>362.80837066219846</v>
      </c>
      <c r="BE47" s="24">
        <v>794.76495146651621</v>
      </c>
      <c r="BF47" s="24">
        <v>232.87124559813401</v>
      </c>
      <c r="BG47" s="24">
        <v>398557.08572078217</v>
      </c>
      <c r="BH47" s="24">
        <v>564.71009290848895</v>
      </c>
      <c r="BI47" s="24">
        <v>2794.0842388494561</v>
      </c>
      <c r="BJ47" s="24">
        <v>0</v>
      </c>
      <c r="BK47" s="24">
        <v>0.19643252215611876</v>
      </c>
      <c r="BL47" s="24">
        <v>386.19039225839157</v>
      </c>
      <c r="BM47" s="24">
        <v>1194.0299041262786</v>
      </c>
      <c r="BN47" s="24">
        <v>4460.9935097565422</v>
      </c>
      <c r="BO47" s="24">
        <v>18.328494077381478</v>
      </c>
      <c r="BP47" s="24">
        <v>3.1268887890484098</v>
      </c>
      <c r="BQ47" s="24">
        <v>0</v>
      </c>
      <c r="BR47" s="25">
        <v>1227719.1401058959</v>
      </c>
      <c r="BS47" s="26">
        <v>602568.50930135825</v>
      </c>
      <c r="BT47" s="26">
        <v>0</v>
      </c>
      <c r="BU47" s="26">
        <v>0</v>
      </c>
      <c r="BV47" s="26">
        <v>321637.62356070109</v>
      </c>
      <c r="BW47" s="26">
        <v>0</v>
      </c>
      <c r="BX47" s="27">
        <v>924206.1328620594</v>
      </c>
      <c r="BY47" s="26">
        <v>0</v>
      </c>
      <c r="BZ47" s="26">
        <v>0</v>
      </c>
      <c r="CA47" s="27">
        <v>0</v>
      </c>
      <c r="CB47" s="26">
        <v>0</v>
      </c>
      <c r="CC47" s="26">
        <v>80715.523942118001</v>
      </c>
      <c r="CD47" s="26">
        <v>0</v>
      </c>
      <c r="CE47" s="27">
        <v>80715.523942118001</v>
      </c>
      <c r="CF47" s="25">
        <v>1004921.6568041774</v>
      </c>
      <c r="CG47" s="26">
        <v>-3.0899263255520842E-3</v>
      </c>
      <c r="CH47" s="25">
        <v>2232640.7999999998</v>
      </c>
      <c r="CI47" s="37" t="s">
        <v>146</v>
      </c>
      <c r="CJ47" s="35">
        <v>66</v>
      </c>
      <c r="CM47" s="30"/>
    </row>
    <row r="48" spans="1:91" ht="32" customHeight="1" x14ac:dyDescent="0.2">
      <c r="A48" s="35">
        <v>68</v>
      </c>
      <c r="B48" s="36" t="s">
        <v>67</v>
      </c>
      <c r="C48" s="24">
        <v>1564.6851883922759</v>
      </c>
      <c r="D48" s="24">
        <v>0</v>
      </c>
      <c r="E48" s="24">
        <v>671.39829724834908</v>
      </c>
      <c r="F48" s="24">
        <v>15810.903697903424</v>
      </c>
      <c r="G48" s="289">
        <v>22387.351794427406</v>
      </c>
      <c r="H48" s="24">
        <v>2162.8217094233792</v>
      </c>
      <c r="I48" s="24">
        <v>110.11779620696129</v>
      </c>
      <c r="J48" s="24">
        <v>91.476141856510722</v>
      </c>
      <c r="K48" s="24">
        <v>127.45172294534402</v>
      </c>
      <c r="L48" s="24">
        <v>496.15457277452578</v>
      </c>
      <c r="M48" s="24">
        <v>2.6467840791377579</v>
      </c>
      <c r="N48" s="24">
        <v>203.43622176288559</v>
      </c>
      <c r="O48" s="24">
        <v>357.16313232614471</v>
      </c>
      <c r="P48" s="70">
        <v>10518.769343633547</v>
      </c>
      <c r="Q48" s="24">
        <v>216.20807313438283</v>
      </c>
      <c r="R48" s="24">
        <v>203.42203704155997</v>
      </c>
      <c r="S48" s="24">
        <v>120.55384142075506</v>
      </c>
      <c r="T48" s="24">
        <v>1451.3015928519399</v>
      </c>
      <c r="U48" s="24">
        <v>295.92502026640364</v>
      </c>
      <c r="V48" s="24">
        <v>70.749452125666537</v>
      </c>
      <c r="W48" s="24">
        <v>49.485280635396251</v>
      </c>
      <c r="X48" s="24">
        <v>134.36329332881331</v>
      </c>
      <c r="Y48" s="24">
        <v>89.432658964421137</v>
      </c>
      <c r="Z48" s="24">
        <v>627.09320990538004</v>
      </c>
      <c r="AA48" s="24">
        <v>15.414538718848862</v>
      </c>
      <c r="AB48" s="24">
        <v>1001.001096981234</v>
      </c>
      <c r="AC48" s="24">
        <v>16.694045385309813</v>
      </c>
      <c r="AD48" s="24">
        <v>1.8537280503151441</v>
      </c>
      <c r="AE48" s="24">
        <v>90.313223900734997</v>
      </c>
      <c r="AF48" s="24">
        <v>35663.017961829995</v>
      </c>
      <c r="AG48" s="24">
        <v>810.71173847818147</v>
      </c>
      <c r="AH48" s="24">
        <v>786393.67559815291</v>
      </c>
      <c r="AI48" s="24">
        <v>36780.616342695255</v>
      </c>
      <c r="AJ48" s="24">
        <v>1836.7681203094619</v>
      </c>
      <c r="AK48" s="24">
        <v>99505.897156936961</v>
      </c>
      <c r="AL48" s="24">
        <v>19672.248101826564</v>
      </c>
      <c r="AM48" s="24">
        <v>4642.5597057223986</v>
      </c>
      <c r="AN48" s="24">
        <v>1028.9301500632207</v>
      </c>
      <c r="AO48" s="24">
        <v>412674.87664458505</v>
      </c>
      <c r="AP48" s="24">
        <v>5.5771676835901793</v>
      </c>
      <c r="AQ48" s="24">
        <v>322.53051153003116</v>
      </c>
      <c r="AR48" s="24">
        <v>322.53051153003116</v>
      </c>
      <c r="AS48" s="24">
        <v>72066.97866323909</v>
      </c>
      <c r="AT48" s="24">
        <v>19673.769648173526</v>
      </c>
      <c r="AU48" s="24">
        <v>5234.751658038329</v>
      </c>
      <c r="AV48" s="24">
        <v>9240.4171150673192</v>
      </c>
      <c r="AW48" s="24">
        <v>866.49956355170218</v>
      </c>
      <c r="AX48" s="24">
        <v>5713.0100956740453</v>
      </c>
      <c r="AY48" s="24">
        <v>13730.04422720296</v>
      </c>
      <c r="AZ48" s="24">
        <v>348.76196158775076</v>
      </c>
      <c r="BA48" s="24">
        <v>31041.790493717486</v>
      </c>
      <c r="BB48" s="24">
        <v>3288.5909513597562</v>
      </c>
      <c r="BC48" s="24">
        <v>20970.610513682281</v>
      </c>
      <c r="BD48" s="24">
        <v>1959.7312042990509</v>
      </c>
      <c r="BE48" s="24">
        <v>579.69804575563819</v>
      </c>
      <c r="BF48" s="24">
        <v>3612.1398663458576</v>
      </c>
      <c r="BG48" s="24">
        <v>461160.16019141942</v>
      </c>
      <c r="BH48" s="24">
        <v>68276.982198532452</v>
      </c>
      <c r="BI48" s="24">
        <v>201168.78396238782</v>
      </c>
      <c r="BJ48" s="24">
        <v>1558.0935437778637</v>
      </c>
      <c r="BK48" s="24">
        <v>113.24651950236706</v>
      </c>
      <c r="BL48" s="24">
        <v>11051.913105651538</v>
      </c>
      <c r="BM48" s="24">
        <v>28771.852217241933</v>
      </c>
      <c r="BN48" s="24">
        <v>123867.18764988084</v>
      </c>
      <c r="BO48" s="24">
        <v>20691.426187256733</v>
      </c>
      <c r="BP48" s="24">
        <v>75795.042226436737</v>
      </c>
      <c r="BQ48" s="24">
        <v>0</v>
      </c>
      <c r="BR48" s="25">
        <v>2639329.6090168175</v>
      </c>
      <c r="BS48" s="26">
        <v>274116931.90913081</v>
      </c>
      <c r="BT48" s="26">
        <v>0</v>
      </c>
      <c r="BU48" s="26">
        <v>0</v>
      </c>
      <c r="BV48" s="26">
        <v>0</v>
      </c>
      <c r="BW48" s="26">
        <v>0</v>
      </c>
      <c r="BX48" s="27">
        <v>274116931.90913081</v>
      </c>
      <c r="BY48" s="26">
        <v>0</v>
      </c>
      <c r="BZ48" s="26">
        <v>0</v>
      </c>
      <c r="CA48" s="27">
        <v>0</v>
      </c>
      <c r="CB48" s="26">
        <v>0</v>
      </c>
      <c r="CC48" s="26">
        <v>0</v>
      </c>
      <c r="CD48" s="26">
        <v>0</v>
      </c>
      <c r="CE48" s="27">
        <v>0</v>
      </c>
      <c r="CF48" s="25">
        <v>274116931.90913081</v>
      </c>
      <c r="CG48" s="26">
        <v>0</v>
      </c>
      <c r="CH48" s="25">
        <v>276756261.51814765</v>
      </c>
      <c r="CI48" s="37" t="s">
        <v>147</v>
      </c>
      <c r="CJ48" s="35">
        <v>68</v>
      </c>
      <c r="CM48" s="30"/>
    </row>
    <row r="49" spans="1:91" ht="32" customHeight="1" x14ac:dyDescent="0.2">
      <c r="A49" s="35">
        <v>69</v>
      </c>
      <c r="B49" s="36" t="s">
        <v>68</v>
      </c>
      <c r="C49" s="24">
        <v>742.94657654486582</v>
      </c>
      <c r="D49" s="24">
        <v>0</v>
      </c>
      <c r="E49" s="24">
        <v>166.0781212890553</v>
      </c>
      <c r="F49" s="24">
        <v>18890.412139344266</v>
      </c>
      <c r="G49" s="289">
        <v>44356.647086207435</v>
      </c>
      <c r="H49" s="24">
        <v>32333.955318528744</v>
      </c>
      <c r="I49" s="24">
        <v>109.44251200166956</v>
      </c>
      <c r="J49" s="24">
        <v>268.10681837258227</v>
      </c>
      <c r="K49" s="24">
        <v>235.98906791624037</v>
      </c>
      <c r="L49" s="24">
        <v>381.81709725063854</v>
      </c>
      <c r="M49" s="24">
        <v>19.95550921961232</v>
      </c>
      <c r="N49" s="24">
        <v>3649.1759368386774</v>
      </c>
      <c r="O49" s="24">
        <v>391.31314664805961</v>
      </c>
      <c r="P49" s="70">
        <v>606.62160284925108</v>
      </c>
      <c r="Q49" s="24">
        <v>875.94784286936203</v>
      </c>
      <c r="R49" s="24">
        <v>7484.6586635721451</v>
      </c>
      <c r="S49" s="24">
        <v>1271.6118996234588</v>
      </c>
      <c r="T49" s="24">
        <v>16888.519075507971</v>
      </c>
      <c r="U49" s="24">
        <v>3223.4589788982507</v>
      </c>
      <c r="V49" s="24">
        <v>654.41011491738266</v>
      </c>
      <c r="W49" s="24">
        <v>194.52860930660495</v>
      </c>
      <c r="X49" s="24">
        <v>5355.4182987302047</v>
      </c>
      <c r="Y49" s="24">
        <v>2916.6025026486159</v>
      </c>
      <c r="Z49" s="24">
        <v>613.94190456948854</v>
      </c>
      <c r="AA49" s="24">
        <v>11.741374403052337</v>
      </c>
      <c r="AB49" s="24">
        <v>758.20314564237322</v>
      </c>
      <c r="AC49" s="24">
        <v>145.69811915771811</v>
      </c>
      <c r="AD49" s="24">
        <v>4.6865296037013984</v>
      </c>
      <c r="AE49" s="24">
        <v>709.32729887218898</v>
      </c>
      <c r="AF49" s="24">
        <v>5682.4661885931664</v>
      </c>
      <c r="AG49" s="24">
        <v>338451.82317761704</v>
      </c>
      <c r="AH49" s="24">
        <v>275460.37126307643</v>
      </c>
      <c r="AI49" s="24">
        <v>84424.284726617523</v>
      </c>
      <c r="AJ49" s="24">
        <v>57404.277926330746</v>
      </c>
      <c r="AK49" s="24">
        <v>33635.256722619568</v>
      </c>
      <c r="AL49" s="24">
        <v>4695.193656434375</v>
      </c>
      <c r="AM49" s="24">
        <v>1108.0440205459699</v>
      </c>
      <c r="AN49" s="24">
        <v>0</v>
      </c>
      <c r="AO49" s="24">
        <v>126075.88412518054</v>
      </c>
      <c r="AP49" s="24">
        <v>29173.7204695562</v>
      </c>
      <c r="AQ49" s="24">
        <v>0</v>
      </c>
      <c r="AR49" s="24">
        <v>0</v>
      </c>
      <c r="AS49" s="24">
        <v>627737.43040188123</v>
      </c>
      <c r="AT49" s="24">
        <v>76285.867533206503</v>
      </c>
      <c r="AU49" s="24">
        <v>5359.6802502241608</v>
      </c>
      <c r="AV49" s="24">
        <v>7848.957776962262</v>
      </c>
      <c r="AW49" s="24">
        <v>246.82856624010557</v>
      </c>
      <c r="AX49" s="24">
        <v>5377.476092214135</v>
      </c>
      <c r="AY49" s="24">
        <v>106112.81949520692</v>
      </c>
      <c r="AZ49" s="24">
        <v>25.283576204770558</v>
      </c>
      <c r="BA49" s="24">
        <v>3654.5151180338617</v>
      </c>
      <c r="BB49" s="24">
        <v>2064.2683941774053</v>
      </c>
      <c r="BC49" s="24">
        <v>46095.295104969104</v>
      </c>
      <c r="BD49" s="24">
        <v>835.45070577086733</v>
      </c>
      <c r="BE49" s="24">
        <v>1028.2806169116641</v>
      </c>
      <c r="BF49" s="24">
        <v>1685.7068618262604</v>
      </c>
      <c r="BG49" s="24">
        <v>14369.401438984522</v>
      </c>
      <c r="BH49" s="24">
        <v>6063.0248028723427</v>
      </c>
      <c r="BI49" s="24">
        <v>69411.431794522883</v>
      </c>
      <c r="BJ49" s="24">
        <v>129.4651218365039</v>
      </c>
      <c r="BK49" s="24">
        <v>34.826974013997052</v>
      </c>
      <c r="BL49" s="24">
        <v>393.31696810140056</v>
      </c>
      <c r="BM49" s="24">
        <v>14594.842173870373</v>
      </c>
      <c r="BN49" s="24">
        <v>13562.132168633949</v>
      </c>
      <c r="BO49" s="24">
        <v>2177.6805155149013</v>
      </c>
      <c r="BP49" s="24">
        <v>7995.6874162797048</v>
      </c>
      <c r="BQ49" s="24">
        <v>0</v>
      </c>
      <c r="BR49" s="25">
        <v>2112462.2074363651</v>
      </c>
      <c r="BS49" s="26">
        <v>6421606.3779497426</v>
      </c>
      <c r="BT49" s="26">
        <v>0</v>
      </c>
      <c r="BU49" s="26">
        <v>0</v>
      </c>
      <c r="BV49" s="26">
        <v>0</v>
      </c>
      <c r="BW49" s="26">
        <v>0</v>
      </c>
      <c r="BX49" s="27">
        <v>6421606.3779497426</v>
      </c>
      <c r="BY49" s="26">
        <v>399582.77024294058</v>
      </c>
      <c r="BZ49" s="26">
        <v>0</v>
      </c>
      <c r="CA49" s="27">
        <v>399582.77024294058</v>
      </c>
      <c r="CB49" s="26">
        <v>0</v>
      </c>
      <c r="CC49" s="26">
        <v>3477799.5999999996</v>
      </c>
      <c r="CD49" s="26">
        <v>0</v>
      </c>
      <c r="CE49" s="27">
        <v>3477799.5999999996</v>
      </c>
      <c r="CF49" s="25">
        <v>10298988.748192683</v>
      </c>
      <c r="CG49" s="26">
        <v>2752396.2</v>
      </c>
      <c r="CH49" s="25">
        <v>9659054.7556290478</v>
      </c>
      <c r="CI49" s="37" t="s">
        <v>148</v>
      </c>
      <c r="CJ49" s="35">
        <v>69</v>
      </c>
      <c r="CM49" s="30"/>
    </row>
    <row r="50" spans="1:91" ht="44.25" customHeight="1" x14ac:dyDescent="0.2">
      <c r="A50" s="35">
        <v>70</v>
      </c>
      <c r="B50" s="36" t="s">
        <v>69</v>
      </c>
      <c r="C50" s="24">
        <v>67.805723932011418</v>
      </c>
      <c r="D50" s="24">
        <v>0</v>
      </c>
      <c r="E50" s="24">
        <v>1100.6421545308078</v>
      </c>
      <c r="F50" s="24">
        <v>14529.851388149958</v>
      </c>
      <c r="G50" s="289">
        <v>187327.7457173164</v>
      </c>
      <c r="H50" s="24">
        <v>62139.900535765024</v>
      </c>
      <c r="I50" s="24">
        <v>393.00726544334697</v>
      </c>
      <c r="J50" s="24">
        <v>264.38332245249597</v>
      </c>
      <c r="K50" s="24">
        <v>334.8578436359557</v>
      </c>
      <c r="L50" s="24">
        <v>103.636485829487</v>
      </c>
      <c r="M50" s="24">
        <v>9.6585505203087045</v>
      </c>
      <c r="N50" s="24">
        <v>2199.8145059118865</v>
      </c>
      <c r="O50" s="24">
        <v>402.01139515016871</v>
      </c>
      <c r="P50" s="70">
        <v>2743.398835933036</v>
      </c>
      <c r="Q50" s="24">
        <v>2368.9638007004537</v>
      </c>
      <c r="R50" s="24">
        <v>5085.6382885098674</v>
      </c>
      <c r="S50" s="24">
        <v>431.4946703495313</v>
      </c>
      <c r="T50" s="24">
        <v>8530.4671958071067</v>
      </c>
      <c r="U50" s="24">
        <v>950.79837981306071</v>
      </c>
      <c r="V50" s="24">
        <v>414.81709438311213</v>
      </c>
      <c r="W50" s="24">
        <v>74.076385935373366</v>
      </c>
      <c r="X50" s="24">
        <v>3007.9216132385168</v>
      </c>
      <c r="Y50" s="24">
        <v>1512.9177404371346</v>
      </c>
      <c r="Z50" s="24">
        <v>592.42833216202098</v>
      </c>
      <c r="AA50" s="24">
        <v>17.305398620201718</v>
      </c>
      <c r="AB50" s="24">
        <v>584.48219099470248</v>
      </c>
      <c r="AC50" s="24">
        <v>94.940091443319318</v>
      </c>
      <c r="AD50" s="24">
        <v>2.1849153431799491</v>
      </c>
      <c r="AE50" s="24">
        <v>562.51456922744615</v>
      </c>
      <c r="AF50" s="24">
        <v>4285.9546638773581</v>
      </c>
      <c r="AG50" s="24">
        <v>0</v>
      </c>
      <c r="AH50" s="24">
        <v>557026.52310285612</v>
      </c>
      <c r="AI50" s="24">
        <v>29795.589919132821</v>
      </c>
      <c r="AJ50" s="24">
        <v>1401.9757652197154</v>
      </c>
      <c r="AK50" s="24">
        <v>76286.57388161245</v>
      </c>
      <c r="AL50" s="24">
        <v>51090.250206527351</v>
      </c>
      <c r="AM50" s="24">
        <v>12057.063114310577</v>
      </c>
      <c r="AN50" s="24">
        <v>593.19948501902104</v>
      </c>
      <c r="AO50" s="24">
        <v>1071223.4831156551</v>
      </c>
      <c r="AP50" s="24">
        <v>1235.0205863833951</v>
      </c>
      <c r="AQ50" s="24">
        <v>131.11401280677245</v>
      </c>
      <c r="AR50" s="24">
        <v>131.11401280677245</v>
      </c>
      <c r="AS50" s="24">
        <v>2381193.6155961934</v>
      </c>
      <c r="AT50" s="24">
        <v>11014.434107504256</v>
      </c>
      <c r="AU50" s="24">
        <v>5516.0564269059305</v>
      </c>
      <c r="AV50" s="24">
        <v>5637.0713360997916</v>
      </c>
      <c r="AW50" s="24">
        <v>275.19829771140718</v>
      </c>
      <c r="AX50" s="24">
        <v>2797.814523390186</v>
      </c>
      <c r="AY50" s="24">
        <v>1985.6016604429099</v>
      </c>
      <c r="AZ50" s="24">
        <v>113.45005410213081</v>
      </c>
      <c r="BA50" s="24">
        <v>5778.5667112085594</v>
      </c>
      <c r="BB50" s="24">
        <v>2170.0523248939294</v>
      </c>
      <c r="BC50" s="24">
        <v>17138.702018846459</v>
      </c>
      <c r="BD50" s="24">
        <v>1367.4163160484995</v>
      </c>
      <c r="BE50" s="24">
        <v>484.08740155987044</v>
      </c>
      <c r="BF50" s="24">
        <v>7486.8716617730752</v>
      </c>
      <c r="BG50" s="24">
        <v>82656.607217139841</v>
      </c>
      <c r="BH50" s="24">
        <v>9648.285612214886</v>
      </c>
      <c r="BI50" s="24">
        <v>82319.075079962291</v>
      </c>
      <c r="BJ50" s="24">
        <v>296.37410200722798</v>
      </c>
      <c r="BK50" s="24">
        <v>28.866183539128901</v>
      </c>
      <c r="BL50" s="24">
        <v>562.85555686421185</v>
      </c>
      <c r="BM50" s="24">
        <v>3266.8635400193029</v>
      </c>
      <c r="BN50" s="24">
        <v>28930.72984494366</v>
      </c>
      <c r="BO50" s="24">
        <v>5021.0920731615388</v>
      </c>
      <c r="BP50" s="24">
        <v>12827.558362380971</v>
      </c>
      <c r="BQ50" s="24">
        <v>0</v>
      </c>
      <c r="BR50" s="25">
        <v>4769622.7722666562</v>
      </c>
      <c r="BS50" s="26">
        <v>2895961.8996160198</v>
      </c>
      <c r="BT50" s="26">
        <v>0</v>
      </c>
      <c r="BU50" s="26">
        <v>0</v>
      </c>
      <c r="BV50" s="26">
        <v>0</v>
      </c>
      <c r="BW50" s="26">
        <v>0</v>
      </c>
      <c r="BX50" s="27">
        <v>2895961.8996160198</v>
      </c>
      <c r="BY50" s="26">
        <v>3704515.9448987581</v>
      </c>
      <c r="BZ50" s="26">
        <v>0</v>
      </c>
      <c r="CA50" s="27">
        <v>3704515.9448987581</v>
      </c>
      <c r="CB50" s="26">
        <v>0</v>
      </c>
      <c r="CC50" s="26">
        <v>453060.52633004822</v>
      </c>
      <c r="CD50" s="26">
        <v>0</v>
      </c>
      <c r="CE50" s="27">
        <v>453060.52633004822</v>
      </c>
      <c r="CF50" s="25">
        <v>7053538.3708448261</v>
      </c>
      <c r="CG50" s="26">
        <v>5570915.7578354385</v>
      </c>
      <c r="CH50" s="25">
        <v>6252245.3852760438</v>
      </c>
      <c r="CI50" s="37" t="s">
        <v>149</v>
      </c>
      <c r="CJ50" s="35">
        <v>70</v>
      </c>
      <c r="CM50" s="30"/>
    </row>
    <row r="51" spans="1:91" ht="32" customHeight="1" x14ac:dyDescent="0.2">
      <c r="A51" s="35">
        <v>71</v>
      </c>
      <c r="B51" s="36" t="s">
        <v>70</v>
      </c>
      <c r="C51" s="24">
        <v>180.9753580341515</v>
      </c>
      <c r="D51" s="24">
        <v>0</v>
      </c>
      <c r="E51" s="24">
        <v>2937.6444411008597</v>
      </c>
      <c r="F51" s="24">
        <v>38780.576397799217</v>
      </c>
      <c r="G51" s="289">
        <v>499982.94959456456</v>
      </c>
      <c r="H51" s="24">
        <v>165853.11822557572</v>
      </c>
      <c r="I51" s="24">
        <v>1048.9472930773361</v>
      </c>
      <c r="J51" s="24">
        <v>705.64642134157998</v>
      </c>
      <c r="K51" s="24">
        <v>893.74487326948167</v>
      </c>
      <c r="L51" s="24">
        <v>276.60865544624096</v>
      </c>
      <c r="M51" s="24">
        <v>25.778939256757756</v>
      </c>
      <c r="N51" s="24">
        <v>5871.3659368242943</v>
      </c>
      <c r="O51" s="24">
        <v>1072.9795650299509</v>
      </c>
      <c r="P51" s="70">
        <v>7322.207592109512</v>
      </c>
      <c r="Q51" s="24">
        <v>6322.8300966388797</v>
      </c>
      <c r="R51" s="24">
        <v>13573.709662301077</v>
      </c>
      <c r="S51" s="24">
        <v>1151.6712443721581</v>
      </c>
      <c r="T51" s="24">
        <v>22768.053571815606</v>
      </c>
      <c r="U51" s="24">
        <v>2537.7072498701577</v>
      </c>
      <c r="V51" s="24">
        <v>1107.1583314993327</v>
      </c>
      <c r="W51" s="24">
        <v>197.71192886270683</v>
      </c>
      <c r="X51" s="24">
        <v>8028.2262223220396</v>
      </c>
      <c r="Y51" s="24">
        <v>4038.0194159768744</v>
      </c>
      <c r="Z51" s="24">
        <v>1581.2076518805557</v>
      </c>
      <c r="AA51" s="24">
        <v>46.188588950912376</v>
      </c>
      <c r="AB51" s="24">
        <v>1559.999180687367</v>
      </c>
      <c r="AC51" s="24">
        <v>253.39773760070685</v>
      </c>
      <c r="AD51" s="24">
        <v>5.8315996582056178</v>
      </c>
      <c r="AE51" s="24">
        <v>1501.3669888317891</v>
      </c>
      <c r="AF51" s="24">
        <v>11439.33188577251</v>
      </c>
      <c r="AG51" s="24">
        <v>0</v>
      </c>
      <c r="AH51" s="24">
        <v>1486719.241492619</v>
      </c>
      <c r="AI51" s="24">
        <v>79525.255992556413</v>
      </c>
      <c r="AJ51" s="24">
        <v>3741.9122067076346</v>
      </c>
      <c r="AK51" s="24">
        <v>203610.98179951275</v>
      </c>
      <c r="AL51" s="24">
        <v>136361.29499113793</v>
      </c>
      <c r="AM51" s="24">
        <v>32180.635902370635</v>
      </c>
      <c r="AN51" s="24">
        <v>1583.26588024686</v>
      </c>
      <c r="AO51" s="24">
        <v>2859125.1910507493</v>
      </c>
      <c r="AP51" s="24">
        <v>3296.3042032320709</v>
      </c>
      <c r="AQ51" s="24">
        <v>349.94693714637373</v>
      </c>
      <c r="AR51" s="24">
        <v>349.94693714637373</v>
      </c>
      <c r="AS51" s="24">
        <v>6355471.8118378371</v>
      </c>
      <c r="AT51" s="24">
        <v>29397.830161770256</v>
      </c>
      <c r="AU51" s="24">
        <v>14722.507613027561</v>
      </c>
      <c r="AV51" s="24">
        <v>15045.49976249254</v>
      </c>
      <c r="AW51" s="24">
        <v>734.51189030367641</v>
      </c>
      <c r="AX51" s="24">
        <v>7467.444571366701</v>
      </c>
      <c r="AY51" s="24">
        <v>5299.625910228101</v>
      </c>
      <c r="AZ51" s="24">
        <v>302.80134138401081</v>
      </c>
      <c r="BA51" s="24">
        <v>15423.154843591035</v>
      </c>
      <c r="BB51" s="24">
        <v>5791.9298501157045</v>
      </c>
      <c r="BC51" s="24">
        <v>45743.67109790643</v>
      </c>
      <c r="BD51" s="24">
        <v>3649.672078226813</v>
      </c>
      <c r="BE51" s="24">
        <v>1292.0427028397157</v>
      </c>
      <c r="BF51" s="24">
        <v>19982.668143234019</v>
      </c>
      <c r="BG51" s="24">
        <v>220612.77747007413</v>
      </c>
      <c r="BH51" s="24">
        <v>25751.541932317581</v>
      </c>
      <c r="BI51" s="24">
        <v>219711.89483316004</v>
      </c>
      <c r="BJ51" s="24">
        <v>791.030699363807</v>
      </c>
      <c r="BK51" s="24">
        <v>77.044644583568484</v>
      </c>
      <c r="BL51" s="24">
        <v>1502.2770942929558</v>
      </c>
      <c r="BM51" s="24">
        <v>8719.3494076772222</v>
      </c>
      <c r="BN51" s="24">
        <v>77216.920464234849</v>
      </c>
      <c r="BO51" s="24">
        <v>13401.434023092121</v>
      </c>
      <c r="BP51" s="24">
        <v>34237.109092199986</v>
      </c>
      <c r="BQ51" s="24">
        <v>0</v>
      </c>
      <c r="BR51" s="25">
        <v>12730255.483509216</v>
      </c>
      <c r="BS51" s="26">
        <v>7729402.6410186524</v>
      </c>
      <c r="BT51" s="26">
        <v>0</v>
      </c>
      <c r="BU51" s="26">
        <v>0</v>
      </c>
      <c r="BV51" s="26">
        <v>0</v>
      </c>
      <c r="BW51" s="26">
        <v>0</v>
      </c>
      <c r="BX51" s="27">
        <v>7729402.6410186524</v>
      </c>
      <c r="BY51" s="26">
        <v>9887455.8163188398</v>
      </c>
      <c r="BZ51" s="26">
        <v>0</v>
      </c>
      <c r="CA51" s="27">
        <v>9887455.8163188398</v>
      </c>
      <c r="CB51" s="26">
        <v>0</v>
      </c>
      <c r="CC51" s="26">
        <v>1209231.112198367</v>
      </c>
      <c r="CD51" s="26">
        <v>0</v>
      </c>
      <c r="CE51" s="27">
        <v>1209231.112198367</v>
      </c>
      <c r="CF51" s="25">
        <v>18826089.569535859</v>
      </c>
      <c r="CG51" s="26">
        <v>14868928.689018678</v>
      </c>
      <c r="CH51" s="25">
        <v>16687416.364026397</v>
      </c>
      <c r="CI51" s="37" t="s">
        <v>150</v>
      </c>
      <c r="CJ51" s="35">
        <v>71</v>
      </c>
      <c r="CM51" s="30"/>
    </row>
    <row r="52" spans="1:91" ht="32" customHeight="1" x14ac:dyDescent="0.2">
      <c r="A52" s="35">
        <v>72</v>
      </c>
      <c r="B52" s="36" t="s">
        <v>71</v>
      </c>
      <c r="C52" s="24">
        <v>21.951372586763213</v>
      </c>
      <c r="D52" s="24">
        <v>0</v>
      </c>
      <c r="E52" s="24">
        <v>8088.1085487468054</v>
      </c>
      <c r="F52" s="24">
        <v>890.72186623122855</v>
      </c>
      <c r="G52" s="289">
        <v>23603.300894169482</v>
      </c>
      <c r="H52" s="24">
        <v>360.50465490279782</v>
      </c>
      <c r="I52" s="24">
        <v>51.650597565706882</v>
      </c>
      <c r="J52" s="24">
        <v>62.832537359495348</v>
      </c>
      <c r="K52" s="24">
        <v>79.142072895847534</v>
      </c>
      <c r="L52" s="24">
        <v>29.522474651634202</v>
      </c>
      <c r="M52" s="24">
        <v>1.7743906093964919E-2</v>
      </c>
      <c r="N52" s="24">
        <v>749.77874086300073</v>
      </c>
      <c r="O52" s="24">
        <v>30.538495666754894</v>
      </c>
      <c r="P52" s="70">
        <v>998.56541026921661</v>
      </c>
      <c r="Q52" s="24">
        <v>271.37132087977869</v>
      </c>
      <c r="R52" s="24">
        <v>3828.2538683371454</v>
      </c>
      <c r="S52" s="24">
        <v>63.595664560078454</v>
      </c>
      <c r="T52" s="24">
        <v>2418.4974891247703</v>
      </c>
      <c r="U52" s="24">
        <v>154.62883800093346</v>
      </c>
      <c r="V52" s="24">
        <v>450.98825560597282</v>
      </c>
      <c r="W52" s="24">
        <v>90.37522744305781</v>
      </c>
      <c r="X52" s="24">
        <v>2592.9881914285843</v>
      </c>
      <c r="Y52" s="24">
        <v>152.43890903378662</v>
      </c>
      <c r="Z52" s="24">
        <v>1092.0680394451863</v>
      </c>
      <c r="AA52" s="24">
        <v>32.699316981454217</v>
      </c>
      <c r="AB52" s="24">
        <v>199.82586877652815</v>
      </c>
      <c r="AC52" s="24">
        <v>21.071102021071756</v>
      </c>
      <c r="AD52" s="24">
        <v>0</v>
      </c>
      <c r="AE52" s="24">
        <v>6924.0893298780984</v>
      </c>
      <c r="AF52" s="24">
        <v>76.750757047998746</v>
      </c>
      <c r="AG52" s="24">
        <v>1423.1604033366461</v>
      </c>
      <c r="AH52" s="24">
        <v>11938.450256556805</v>
      </c>
      <c r="AI52" s="24">
        <v>12585.049329783846</v>
      </c>
      <c r="AJ52" s="24">
        <v>4870.9017877010883</v>
      </c>
      <c r="AK52" s="24">
        <v>259.9373482035632</v>
      </c>
      <c r="AL52" s="24">
        <v>6776.9698339397628</v>
      </c>
      <c r="AM52" s="24">
        <v>1599.3335848089316</v>
      </c>
      <c r="AN52" s="24">
        <v>273.02408684352588</v>
      </c>
      <c r="AO52" s="24">
        <v>142645.69185878546</v>
      </c>
      <c r="AP52" s="24">
        <v>192940.62943551369</v>
      </c>
      <c r="AQ52" s="24">
        <v>7872.5510178359582</v>
      </c>
      <c r="AR52" s="24">
        <v>7872.5510178359582</v>
      </c>
      <c r="AS52" s="24">
        <v>93.138766510215774</v>
      </c>
      <c r="AT52" s="24">
        <v>46.308457756636543</v>
      </c>
      <c r="AU52" s="24">
        <v>3657.2617617514798</v>
      </c>
      <c r="AV52" s="24">
        <v>5966.2505289754772</v>
      </c>
      <c r="AW52" s="24">
        <v>17.784068847548745</v>
      </c>
      <c r="AX52" s="24">
        <v>99.036397843000117</v>
      </c>
      <c r="AY52" s="24">
        <v>65223.257598226402</v>
      </c>
      <c r="AZ52" s="24">
        <v>0</v>
      </c>
      <c r="BA52" s="24">
        <v>31.42854517989716</v>
      </c>
      <c r="BB52" s="24">
        <v>0.37341902580337794</v>
      </c>
      <c r="BC52" s="24">
        <v>19.676667476793636</v>
      </c>
      <c r="BD52" s="24">
        <v>84.100172763990315</v>
      </c>
      <c r="BE52" s="24">
        <v>0</v>
      </c>
      <c r="BF52" s="24">
        <v>20.42152718080423</v>
      </c>
      <c r="BG52" s="24">
        <v>105221.25548093986</v>
      </c>
      <c r="BH52" s="24">
        <v>54530.533516138559</v>
      </c>
      <c r="BI52" s="24">
        <v>61759.977567133858</v>
      </c>
      <c r="BJ52" s="24">
        <v>3.6329763184528829</v>
      </c>
      <c r="BK52" s="24">
        <v>0.4027737812966129</v>
      </c>
      <c r="BL52" s="24">
        <v>0</v>
      </c>
      <c r="BM52" s="24">
        <v>947.82608686306696</v>
      </c>
      <c r="BN52" s="24">
        <v>7.0418700258778406</v>
      </c>
      <c r="BO52" s="24">
        <v>7.0248587614121591</v>
      </c>
      <c r="BP52" s="24">
        <v>30.645835719668241</v>
      </c>
      <c r="BQ52" s="24">
        <v>0</v>
      </c>
      <c r="BR52" s="25">
        <v>742161.90642674477</v>
      </c>
      <c r="BS52" s="26">
        <v>806483.48985044996</v>
      </c>
      <c r="BT52" s="26">
        <v>0</v>
      </c>
      <c r="BU52" s="26">
        <v>0</v>
      </c>
      <c r="BV52" s="26">
        <v>0</v>
      </c>
      <c r="BW52" s="26">
        <v>0</v>
      </c>
      <c r="BX52" s="27">
        <v>806483.48985044996</v>
      </c>
      <c r="BY52" s="26">
        <v>5445879.258745851</v>
      </c>
      <c r="BZ52" s="26">
        <v>0</v>
      </c>
      <c r="CA52" s="27">
        <v>5445879.258745851</v>
      </c>
      <c r="CB52" s="26">
        <v>0</v>
      </c>
      <c r="CC52" s="26">
        <v>0</v>
      </c>
      <c r="CD52" s="26">
        <v>0</v>
      </c>
      <c r="CE52" s="27">
        <v>0</v>
      </c>
      <c r="CF52" s="25">
        <v>6252362.7485963013</v>
      </c>
      <c r="CG52" s="26">
        <v>0</v>
      </c>
      <c r="CH52" s="25">
        <v>6994524.6550230458</v>
      </c>
      <c r="CI52" s="37" t="s">
        <v>151</v>
      </c>
      <c r="CJ52" s="35">
        <v>72</v>
      </c>
      <c r="CM52" s="30"/>
    </row>
    <row r="53" spans="1:91" ht="32" customHeight="1" x14ac:dyDescent="0.2">
      <c r="A53" s="35">
        <v>73</v>
      </c>
      <c r="B53" s="36" t="s">
        <v>72</v>
      </c>
      <c r="C53" s="24">
        <v>142.57324581013387</v>
      </c>
      <c r="D53" s="24">
        <v>0</v>
      </c>
      <c r="E53" s="24">
        <v>2255.7634954174696</v>
      </c>
      <c r="F53" s="24">
        <v>27981.144434676367</v>
      </c>
      <c r="G53" s="289">
        <v>362386.15121063264</v>
      </c>
      <c r="H53" s="24">
        <v>119703.9466882532</v>
      </c>
      <c r="I53" s="24">
        <v>757.12707840327664</v>
      </c>
      <c r="J53" s="24">
        <v>551.66298027359562</v>
      </c>
      <c r="K53" s="24">
        <v>651.20970975767682</v>
      </c>
      <c r="L53" s="24">
        <v>210.11914087503149</v>
      </c>
      <c r="M53" s="24">
        <v>18.724501611137146</v>
      </c>
      <c r="N53" s="24">
        <v>4307.8399125801161</v>
      </c>
      <c r="O53" s="24">
        <v>817.08132232565538</v>
      </c>
      <c r="P53" s="70">
        <v>5598.819959423985</v>
      </c>
      <c r="Q53" s="24">
        <v>4679.1040167592182</v>
      </c>
      <c r="R53" s="24">
        <v>9818.4707540801628</v>
      </c>
      <c r="S53" s="24">
        <v>851.18252599998141</v>
      </c>
      <c r="T53" s="24">
        <v>17123.787911482214</v>
      </c>
      <c r="U53" s="24">
        <v>1881.7626286783179</v>
      </c>
      <c r="V53" s="24">
        <v>810.51198637512425</v>
      </c>
      <c r="W53" s="24">
        <v>143.17428139350116</v>
      </c>
      <c r="X53" s="24">
        <v>5866.7573603837327</v>
      </c>
      <c r="Y53" s="24">
        <v>2925.6162054604915</v>
      </c>
      <c r="Z53" s="24">
        <v>1186.4915164911802</v>
      </c>
      <c r="AA53" s="24">
        <v>33.680512703402755</v>
      </c>
      <c r="AB53" s="24">
        <v>1148.6934752431939</v>
      </c>
      <c r="AC53" s="24">
        <v>185.84815358725425</v>
      </c>
      <c r="AD53" s="24">
        <v>4.2431639050589318</v>
      </c>
      <c r="AE53" s="24">
        <v>1095.7592622056707</v>
      </c>
      <c r="AF53" s="24">
        <v>11650.159517762122</v>
      </c>
      <c r="AG53" s="24">
        <v>0</v>
      </c>
      <c r="AH53" s="24">
        <v>1092314.8035876704</v>
      </c>
      <c r="AI53" s="24">
        <v>63884.465997250569</v>
      </c>
      <c r="AJ53" s="24">
        <v>6103.5150599424378</v>
      </c>
      <c r="AK53" s="24">
        <v>158027.26515907841</v>
      </c>
      <c r="AL53" s="24">
        <v>98383.531054866631</v>
      </c>
      <c r="AM53" s="24">
        <v>23218.058994467581</v>
      </c>
      <c r="AN53" s="24">
        <v>1142.3130581702158</v>
      </c>
      <c r="AO53" s="24">
        <v>2062834.8538474489</v>
      </c>
      <c r="AP53" s="24">
        <v>2378.2558457372093</v>
      </c>
      <c r="AQ53" s="24">
        <v>254.20764824646835</v>
      </c>
      <c r="AR53" s="24">
        <v>254.20764824646835</v>
      </c>
      <c r="AS53" s="24">
        <v>4585613.1762547167</v>
      </c>
      <c r="AT53" s="24">
        <v>21744.943485420848</v>
      </c>
      <c r="AU53" s="24">
        <v>10948.106009127261</v>
      </c>
      <c r="AV53" s="24">
        <v>13060.774068339473</v>
      </c>
      <c r="AW53" s="24">
        <v>534.32457244456884</v>
      </c>
      <c r="AX53" s="24">
        <v>6318.3878132900882</v>
      </c>
      <c r="AY53" s="24">
        <v>4581.0378032487661</v>
      </c>
      <c r="AZ53" s="24">
        <v>228.06627070764316</v>
      </c>
      <c r="BA53" s="24">
        <v>11290.580445647125</v>
      </c>
      <c r="BB53" s="24">
        <v>4208.683326828479</v>
      </c>
      <c r="BC53" s="24">
        <v>38857.456280026512</v>
      </c>
      <c r="BD53" s="24">
        <v>2633.2078048367239</v>
      </c>
      <c r="BE53" s="24">
        <v>998.344109546646</v>
      </c>
      <c r="BF53" s="24">
        <v>15506.412095827807</v>
      </c>
      <c r="BG53" s="24">
        <v>160699.25309880651</v>
      </c>
      <c r="BH53" s="24">
        <v>19179.971257171797</v>
      </c>
      <c r="BI53" s="24">
        <v>163934.86987570213</v>
      </c>
      <c r="BJ53" s="24">
        <v>577.45388129523144</v>
      </c>
      <c r="BK53" s="24">
        <v>55.648700794112905</v>
      </c>
      <c r="BL53" s="24">
        <v>1084.6076999002382</v>
      </c>
      <c r="BM53" s="24">
        <v>7986.9463075715285</v>
      </c>
      <c r="BN53" s="24">
        <v>58836.52361397331</v>
      </c>
      <c r="BO53" s="24">
        <v>10175.108762256075</v>
      </c>
      <c r="BP53" s="24">
        <v>25256.612628355477</v>
      </c>
      <c r="BQ53" s="24">
        <v>0</v>
      </c>
      <c r="BR53" s="25">
        <v>9257893.3810195141</v>
      </c>
      <c r="BS53" s="26">
        <v>5669808.5078311749</v>
      </c>
      <c r="BT53" s="26">
        <v>0</v>
      </c>
      <c r="BU53" s="26">
        <v>0</v>
      </c>
      <c r="BV53" s="26">
        <v>0</v>
      </c>
      <c r="BW53" s="26">
        <v>0</v>
      </c>
      <c r="BX53" s="27">
        <v>5669808.5078311749</v>
      </c>
      <c r="BY53" s="26">
        <v>7133716.4730039099</v>
      </c>
      <c r="BZ53" s="26">
        <v>0</v>
      </c>
      <c r="CA53" s="27">
        <v>7133716.4730039099</v>
      </c>
      <c r="CB53" s="26">
        <v>0</v>
      </c>
      <c r="CC53" s="26">
        <v>872450.10900791653</v>
      </c>
      <c r="CD53" s="26">
        <v>0</v>
      </c>
      <c r="CE53" s="27">
        <v>872450.10900791653</v>
      </c>
      <c r="CF53" s="25">
        <v>13675975.089843001</v>
      </c>
      <c r="CG53" s="26">
        <v>10727807.384960204</v>
      </c>
      <c r="CH53" s="25">
        <v>12206061.085902311</v>
      </c>
      <c r="CI53" s="37" t="s">
        <v>152</v>
      </c>
      <c r="CJ53" s="35">
        <v>73</v>
      </c>
      <c r="CM53" s="30"/>
    </row>
    <row r="54" spans="1:91" ht="32" customHeight="1" x14ac:dyDescent="0.2">
      <c r="A54" s="35">
        <v>74</v>
      </c>
      <c r="B54" s="36" t="s">
        <v>73</v>
      </c>
      <c r="C54" s="24">
        <v>115.81105498981186</v>
      </c>
      <c r="D54" s="24">
        <v>0</v>
      </c>
      <c r="E54" s="24">
        <v>1879.8785956519348</v>
      </c>
      <c r="F54" s="24">
        <v>24816.745851634656</v>
      </c>
      <c r="G54" s="289">
        <v>319952.6913412023</v>
      </c>
      <c r="H54" s="24">
        <v>106133.92234001982</v>
      </c>
      <c r="I54" s="24">
        <v>671.2499091565245</v>
      </c>
      <c r="J54" s="24">
        <v>451.56234192907164</v>
      </c>
      <c r="K54" s="24">
        <v>571.93165848326191</v>
      </c>
      <c r="L54" s="24">
        <v>177.00940368078949</v>
      </c>
      <c r="M54" s="24">
        <v>16.496644539197472</v>
      </c>
      <c r="N54" s="24">
        <v>3757.246791834229</v>
      </c>
      <c r="O54" s="24">
        <v>686.62881377020756</v>
      </c>
      <c r="P54" s="70">
        <v>4685.6798367907613</v>
      </c>
      <c r="Q54" s="24">
        <v>4046.1509896551806</v>
      </c>
      <c r="R54" s="24">
        <v>8686.1860818633904</v>
      </c>
      <c r="S54" s="24">
        <v>736.98576016630886</v>
      </c>
      <c r="T54" s="24">
        <v>14569.896879104037</v>
      </c>
      <c r="U54" s="24">
        <v>1623.9479068045098</v>
      </c>
      <c r="V54" s="24">
        <v>708.5007362577021</v>
      </c>
      <c r="W54" s="24">
        <v>126.52124197671057</v>
      </c>
      <c r="X54" s="24">
        <v>5137.48036530219</v>
      </c>
      <c r="Y54" s="24">
        <v>2584.0384774670651</v>
      </c>
      <c r="Z54" s="24">
        <v>1011.8577927481922</v>
      </c>
      <c r="AA54" s="24">
        <v>29.557334617271501</v>
      </c>
      <c r="AB54" s="24">
        <v>998.28591506117186</v>
      </c>
      <c r="AC54" s="24">
        <v>162.15610590493489</v>
      </c>
      <c r="AD54" s="24">
        <v>3.7317992683157026</v>
      </c>
      <c r="AE54" s="24">
        <v>960.76558042048464</v>
      </c>
      <c r="AF54" s="24">
        <v>7320.339677515145</v>
      </c>
      <c r="AG54" s="24">
        <v>0</v>
      </c>
      <c r="AH54" s="24">
        <v>951392.08841029974</v>
      </c>
      <c r="AI54" s="24">
        <v>50890.374771878247</v>
      </c>
      <c r="AJ54" s="24">
        <v>2394.5514187422609</v>
      </c>
      <c r="AK54" s="24">
        <v>130296.2064330501</v>
      </c>
      <c r="AL54" s="24">
        <v>87261.302335539673</v>
      </c>
      <c r="AM54" s="24">
        <v>20593.264379083415</v>
      </c>
      <c r="AN54" s="24">
        <v>1013.1749090733146</v>
      </c>
      <c r="AO54" s="24">
        <v>1829631.9914507368</v>
      </c>
      <c r="AP54" s="24">
        <v>2109.3947346777363</v>
      </c>
      <c r="AQ54" s="24">
        <v>223.9405652880489</v>
      </c>
      <c r="AR54" s="24">
        <v>223.9405652880489</v>
      </c>
      <c r="AS54" s="24">
        <v>4067039.3112196829</v>
      </c>
      <c r="AT54" s="24">
        <v>18812.471280225072</v>
      </c>
      <c r="AU54" s="24">
        <v>9421.3331432586856</v>
      </c>
      <c r="AV54" s="24">
        <v>9628.0246066119871</v>
      </c>
      <c r="AW54" s="24">
        <v>470.03414079488851</v>
      </c>
      <c r="AX54" s="24">
        <v>4778.620930948643</v>
      </c>
      <c r="AY54" s="24">
        <v>3391.374794788569</v>
      </c>
      <c r="AZ54" s="24">
        <v>193.7708159770288</v>
      </c>
      <c r="BA54" s="24">
        <v>9869.6963670072673</v>
      </c>
      <c r="BB54" s="24">
        <v>3706.4134789129857</v>
      </c>
      <c r="BC54" s="24">
        <v>29272.619579267834</v>
      </c>
      <c r="BD54" s="24">
        <v>2335.5244511606093</v>
      </c>
      <c r="BE54" s="24">
        <v>826.81327520577997</v>
      </c>
      <c r="BF54" s="24">
        <v>12787.452967726833</v>
      </c>
      <c r="BG54" s="24">
        <v>141176.11801171576</v>
      </c>
      <c r="BH54" s="24">
        <v>16479.112245951688</v>
      </c>
      <c r="BI54" s="24">
        <v>140599.61870409545</v>
      </c>
      <c r="BJ54" s="24">
        <v>506.20206429078394</v>
      </c>
      <c r="BK54" s="24">
        <v>49.302964046930576</v>
      </c>
      <c r="BL54" s="24">
        <v>961.34798166424855</v>
      </c>
      <c r="BM54" s="24">
        <v>5579.7488934230123</v>
      </c>
      <c r="BN54" s="24">
        <v>49413.208069685912</v>
      </c>
      <c r="BO54" s="24">
        <v>8575.9422136232279</v>
      </c>
      <c r="BP54" s="24">
        <v>21909.257519030445</v>
      </c>
      <c r="BQ54" s="24">
        <v>0</v>
      </c>
      <c r="BR54" s="25">
        <v>8146436.8069205666</v>
      </c>
      <c r="BS54" s="26">
        <v>4946255.0262145977</v>
      </c>
      <c r="BT54" s="26">
        <v>0</v>
      </c>
      <c r="BU54" s="26">
        <v>0</v>
      </c>
      <c r="BV54" s="26">
        <v>0</v>
      </c>
      <c r="BW54" s="26">
        <v>0</v>
      </c>
      <c r="BX54" s="27">
        <v>4946255.0262145977</v>
      </c>
      <c r="BY54" s="26">
        <v>6327251.9623193741</v>
      </c>
      <c r="BZ54" s="26">
        <v>0</v>
      </c>
      <c r="CA54" s="27">
        <v>6327251.9623193741</v>
      </c>
      <c r="CB54" s="26">
        <v>0</v>
      </c>
      <c r="CC54" s="26">
        <v>773819.88548832899</v>
      </c>
      <c r="CD54" s="26">
        <v>0</v>
      </c>
      <c r="CE54" s="27">
        <v>773819.88548832899</v>
      </c>
      <c r="CF54" s="25">
        <v>12047326.874022301</v>
      </c>
      <c r="CG54" s="26">
        <v>9515031.9731296282</v>
      </c>
      <c r="CH54" s="25">
        <v>10678731.707813239</v>
      </c>
      <c r="CI54" s="37" t="s">
        <v>153</v>
      </c>
      <c r="CJ54" s="35">
        <v>74</v>
      </c>
      <c r="CM54" s="30"/>
    </row>
    <row r="55" spans="1:91" ht="32" customHeight="1" x14ac:dyDescent="0.2">
      <c r="A55" s="35">
        <v>75</v>
      </c>
      <c r="B55" s="36" t="s">
        <v>74</v>
      </c>
      <c r="C55" s="24">
        <v>0</v>
      </c>
      <c r="D55" s="24">
        <v>0</v>
      </c>
      <c r="E55" s="24">
        <v>0</v>
      </c>
      <c r="F55" s="24">
        <v>15.802803064501632</v>
      </c>
      <c r="G55" s="289">
        <v>0</v>
      </c>
      <c r="H55" s="24">
        <v>0</v>
      </c>
      <c r="I55" s="24">
        <v>7.5240982568650914</v>
      </c>
      <c r="J55" s="24">
        <v>0.11762327916960356</v>
      </c>
      <c r="K55" s="24">
        <v>5.3764275493650072E-2</v>
      </c>
      <c r="L55" s="24">
        <v>0.15793934657885311</v>
      </c>
      <c r="M55" s="24">
        <v>2.6545166516657542E-2</v>
      </c>
      <c r="N55" s="24">
        <v>2.3104947507368494</v>
      </c>
      <c r="O55" s="24">
        <v>0</v>
      </c>
      <c r="P55" s="70">
        <v>13.16187229925502</v>
      </c>
      <c r="Q55" s="24">
        <v>2.3814273760184022</v>
      </c>
      <c r="R55" s="24">
        <v>2.0754991238177647</v>
      </c>
      <c r="S55" s="24">
        <v>0</v>
      </c>
      <c r="T55" s="24">
        <v>8.3462963738288494</v>
      </c>
      <c r="U55" s="24">
        <v>0.55007211955056012</v>
      </c>
      <c r="V55" s="24">
        <v>0.89749578969889576</v>
      </c>
      <c r="W55" s="24">
        <v>9.6572947676798471E-2</v>
      </c>
      <c r="X55" s="24">
        <v>2.1759031899508661</v>
      </c>
      <c r="Y55" s="24">
        <v>0.73445437712476436</v>
      </c>
      <c r="Z55" s="24">
        <v>0.75499653921341681</v>
      </c>
      <c r="AA55" s="24">
        <v>0</v>
      </c>
      <c r="AB55" s="24">
        <v>0</v>
      </c>
      <c r="AC55" s="24">
        <v>4.6868316701007127E-2</v>
      </c>
      <c r="AD55" s="24">
        <v>0</v>
      </c>
      <c r="AE55" s="24">
        <v>0</v>
      </c>
      <c r="AF55" s="24">
        <v>0</v>
      </c>
      <c r="AG55" s="24">
        <v>0</v>
      </c>
      <c r="AH55" s="24">
        <v>0</v>
      </c>
      <c r="AI55" s="24">
        <v>152.28717145694031</v>
      </c>
      <c r="AJ55" s="24">
        <v>0</v>
      </c>
      <c r="AK55" s="24">
        <v>0</v>
      </c>
      <c r="AL55" s="24">
        <v>0</v>
      </c>
      <c r="AM55" s="24">
        <v>0</v>
      </c>
      <c r="AN55" s="24">
        <v>0</v>
      </c>
      <c r="AO55" s="24">
        <v>0</v>
      </c>
      <c r="AP55" s="24">
        <v>0</v>
      </c>
      <c r="AQ55" s="24">
        <v>391.35068348613936</v>
      </c>
      <c r="AR55" s="24">
        <v>391.35068348613936</v>
      </c>
      <c r="AS55" s="24">
        <v>0</v>
      </c>
      <c r="AT55" s="24">
        <v>0</v>
      </c>
      <c r="AU55" s="24">
        <v>0</v>
      </c>
      <c r="AV55" s="24">
        <v>0</v>
      </c>
      <c r="AW55" s="24">
        <v>0</v>
      </c>
      <c r="AX55" s="24">
        <v>0</v>
      </c>
      <c r="AY55" s="24">
        <v>0</v>
      </c>
      <c r="AZ55" s="24">
        <v>0</v>
      </c>
      <c r="BA55" s="24">
        <v>0</v>
      </c>
      <c r="BB55" s="24">
        <v>0</v>
      </c>
      <c r="BC55" s="24">
        <v>0</v>
      </c>
      <c r="BD55" s="24">
        <v>0</v>
      </c>
      <c r="BE55" s="24">
        <v>0</v>
      </c>
      <c r="BF55" s="24">
        <v>0</v>
      </c>
      <c r="BG55" s="24">
        <v>0</v>
      </c>
      <c r="BH55" s="24">
        <v>0.61320087098417231</v>
      </c>
      <c r="BI55" s="24">
        <v>806.41735224048216</v>
      </c>
      <c r="BJ55" s="24">
        <v>5.5154527020116279E-2</v>
      </c>
      <c r="BK55" s="24">
        <v>5.0498452357008029E-4</v>
      </c>
      <c r="BL55" s="24">
        <v>5.9593964869387606E-3</v>
      </c>
      <c r="BM55" s="24">
        <v>1.003404047937424</v>
      </c>
      <c r="BN55" s="24">
        <v>2.1087288435271385</v>
      </c>
      <c r="BO55" s="24">
        <v>0.35157329807527798</v>
      </c>
      <c r="BP55" s="24">
        <v>4.72037655739096</v>
      </c>
      <c r="BQ55" s="24">
        <v>0</v>
      </c>
      <c r="BR55" s="25">
        <v>1807.4795197883454</v>
      </c>
      <c r="BS55" s="26">
        <v>85986.050734202174</v>
      </c>
      <c r="BT55" s="26">
        <v>2044.157373405335</v>
      </c>
      <c r="BU55" s="26">
        <v>2606.9524137900671</v>
      </c>
      <c r="BV55" s="26">
        <v>28278.561741610225</v>
      </c>
      <c r="BW55" s="26">
        <v>12280.106507338431</v>
      </c>
      <c r="BX55" s="27">
        <v>125981.92394276609</v>
      </c>
      <c r="BY55" s="26">
        <v>0</v>
      </c>
      <c r="BZ55" s="26">
        <v>0</v>
      </c>
      <c r="CA55" s="27">
        <v>0</v>
      </c>
      <c r="CB55" s="26">
        <v>0</v>
      </c>
      <c r="CC55" s="26">
        <v>0</v>
      </c>
      <c r="CD55" s="26">
        <v>2606.9524137900671</v>
      </c>
      <c r="CE55" s="27">
        <v>2606.9524137900671</v>
      </c>
      <c r="CF55" s="25">
        <v>128588.87635655617</v>
      </c>
      <c r="CG55" s="26">
        <v>5385.1082784735918</v>
      </c>
      <c r="CH55" s="25">
        <v>125011.24759787093</v>
      </c>
      <c r="CI55" s="37" t="s">
        <v>154</v>
      </c>
      <c r="CJ55" s="35">
        <v>75</v>
      </c>
      <c r="CM55" s="30"/>
    </row>
    <row r="56" spans="1:91" ht="32" customHeight="1" x14ac:dyDescent="0.2">
      <c r="A56" s="35">
        <v>77</v>
      </c>
      <c r="B56" s="36" t="s">
        <v>75</v>
      </c>
      <c r="C56" s="24">
        <v>6274.2950148781702</v>
      </c>
      <c r="D56" s="24">
        <v>0</v>
      </c>
      <c r="E56" s="24">
        <v>115941.14049057606</v>
      </c>
      <c r="F56" s="24">
        <v>20128.764848604667</v>
      </c>
      <c r="G56" s="289">
        <v>334059.88902519201</v>
      </c>
      <c r="H56" s="24">
        <v>27875.154622804836</v>
      </c>
      <c r="I56" s="24">
        <v>69755.005983704817</v>
      </c>
      <c r="J56" s="24">
        <v>1332.6843355104538</v>
      </c>
      <c r="K56" s="24">
        <v>1232.8889653799902</v>
      </c>
      <c r="L56" s="24">
        <v>131.27377138701172</v>
      </c>
      <c r="M56" s="24">
        <v>8.7585547120743659</v>
      </c>
      <c r="N56" s="24">
        <v>16004.526082702336</v>
      </c>
      <c r="O56" s="24">
        <v>2067.1619160262467</v>
      </c>
      <c r="P56" s="70">
        <v>4259.4959988854298</v>
      </c>
      <c r="Q56" s="24">
        <v>4530.4903027114378</v>
      </c>
      <c r="R56" s="24">
        <v>3157.695146346528</v>
      </c>
      <c r="S56" s="24">
        <v>2188.2781536958755</v>
      </c>
      <c r="T56" s="24">
        <v>28139.650644156271</v>
      </c>
      <c r="U56" s="24">
        <v>8504.3873629983118</v>
      </c>
      <c r="V56" s="24">
        <v>2318.3773688418983</v>
      </c>
      <c r="W56" s="24">
        <v>434.54342153425569</v>
      </c>
      <c r="X56" s="24">
        <v>4834.3867644412903</v>
      </c>
      <c r="Y56" s="24">
        <v>655.34176497571264</v>
      </c>
      <c r="Z56" s="24">
        <v>1009.7145995549032</v>
      </c>
      <c r="AA56" s="24">
        <v>486.14424253057547</v>
      </c>
      <c r="AB56" s="24">
        <v>1753.4090613030648</v>
      </c>
      <c r="AC56" s="24">
        <v>1160.0858008405119</v>
      </c>
      <c r="AD56" s="24">
        <v>16.683875220245238</v>
      </c>
      <c r="AE56" s="24">
        <v>107.09401784843627</v>
      </c>
      <c r="AF56" s="24">
        <v>648.32543663889032</v>
      </c>
      <c r="AG56" s="24">
        <v>1395176.3991500156</v>
      </c>
      <c r="AH56" s="24">
        <v>49749.307208789127</v>
      </c>
      <c r="AI56" s="24">
        <v>138148.70000745918</v>
      </c>
      <c r="AJ56" s="24">
        <v>35447.632270670591</v>
      </c>
      <c r="AK56" s="24">
        <v>2036.0906794848659</v>
      </c>
      <c r="AL56" s="24">
        <v>45.69021274979481</v>
      </c>
      <c r="AM56" s="24">
        <v>10.782679211858154</v>
      </c>
      <c r="AN56" s="24">
        <v>36043.57154126525</v>
      </c>
      <c r="AO56" s="24">
        <v>2433.3527246665758</v>
      </c>
      <c r="AP56" s="24">
        <v>63473.225413555447</v>
      </c>
      <c r="AQ56" s="24">
        <v>2359.8419125823389</v>
      </c>
      <c r="AR56" s="24">
        <v>2359.8419125823389</v>
      </c>
      <c r="AS56" s="24">
        <v>292.93101627861222</v>
      </c>
      <c r="AT56" s="24">
        <v>139.1240198374756</v>
      </c>
      <c r="AU56" s="24">
        <v>847.34027750346979</v>
      </c>
      <c r="AV56" s="24">
        <v>523.47096330365537</v>
      </c>
      <c r="AW56" s="24">
        <v>0.50473664204735558</v>
      </c>
      <c r="AX56" s="24">
        <v>1018.3928140620965</v>
      </c>
      <c r="AY56" s="24">
        <v>4142.0787980895875</v>
      </c>
      <c r="AZ56" s="24">
        <v>3.2702582554539594</v>
      </c>
      <c r="BA56" s="24">
        <v>980.42243390172541</v>
      </c>
      <c r="BB56" s="24">
        <v>64.227521814194105</v>
      </c>
      <c r="BC56" s="24">
        <v>242628.20580310511</v>
      </c>
      <c r="BD56" s="24">
        <v>35.703145795263424</v>
      </c>
      <c r="BE56" s="24">
        <v>21.004788630667711</v>
      </c>
      <c r="BF56" s="24">
        <v>67.623203828901993</v>
      </c>
      <c r="BG56" s="24">
        <v>31206.69953801508</v>
      </c>
      <c r="BH56" s="24">
        <v>5314.9506633651927</v>
      </c>
      <c r="BI56" s="24">
        <v>10304.505879512551</v>
      </c>
      <c r="BJ56" s="24">
        <v>16.594076793994226</v>
      </c>
      <c r="BK56" s="24">
        <v>0.99261297975354645</v>
      </c>
      <c r="BL56" s="24">
        <v>6.8569250287662475</v>
      </c>
      <c r="BM56" s="24">
        <v>3751.013784808571</v>
      </c>
      <c r="BN56" s="24">
        <v>2407.617768004613</v>
      </c>
      <c r="BO56" s="24">
        <v>360.37958787116037</v>
      </c>
      <c r="BP56" s="24">
        <v>177.87805099917014</v>
      </c>
      <c r="BQ56" s="24">
        <v>0</v>
      </c>
      <c r="BR56" s="25">
        <v>2690611.8719554623</v>
      </c>
      <c r="BS56" s="26">
        <v>2052937.2370360098</v>
      </c>
      <c r="BT56" s="26">
        <v>0</v>
      </c>
      <c r="BU56" s="26">
        <v>584255.64318491926</v>
      </c>
      <c r="BV56" s="26">
        <v>0</v>
      </c>
      <c r="BW56" s="26">
        <v>0</v>
      </c>
      <c r="BX56" s="27">
        <v>1468681.5938510904</v>
      </c>
      <c r="BY56" s="26">
        <v>0</v>
      </c>
      <c r="BZ56" s="26">
        <v>0</v>
      </c>
      <c r="CA56" s="27">
        <v>0</v>
      </c>
      <c r="CB56" s="26">
        <v>0</v>
      </c>
      <c r="CC56" s="26">
        <v>0</v>
      </c>
      <c r="CD56" s="26">
        <v>584255.64318491926</v>
      </c>
      <c r="CE56" s="27">
        <v>584255.64318491926</v>
      </c>
      <c r="CF56" s="25">
        <v>2052937.2370360098</v>
      </c>
      <c r="CG56" s="26">
        <v>0</v>
      </c>
      <c r="CH56" s="25">
        <v>4743549.1089914721</v>
      </c>
      <c r="CI56" s="37" t="s">
        <v>155</v>
      </c>
      <c r="CJ56" s="35">
        <v>77</v>
      </c>
      <c r="CM56" s="30"/>
    </row>
    <row r="57" spans="1:91" ht="32" customHeight="1" x14ac:dyDescent="0.2">
      <c r="A57" s="35">
        <v>78</v>
      </c>
      <c r="B57" s="36" t="s">
        <v>76</v>
      </c>
      <c r="C57" s="24">
        <v>150.8038489267368</v>
      </c>
      <c r="D57" s="24">
        <v>0</v>
      </c>
      <c r="E57" s="24">
        <v>1712.4509059334748</v>
      </c>
      <c r="F57" s="24">
        <v>16.13094139156825</v>
      </c>
      <c r="G57" s="289">
        <v>20766.965567328585</v>
      </c>
      <c r="H57" s="24">
        <v>531.69365832124527</v>
      </c>
      <c r="I57" s="24">
        <v>4.026126107575088</v>
      </c>
      <c r="J57" s="24">
        <v>534.61608723387872</v>
      </c>
      <c r="K57" s="24">
        <v>80.173897251033338</v>
      </c>
      <c r="L57" s="24">
        <v>132.54903000350367</v>
      </c>
      <c r="M57" s="24">
        <v>1.5734144490140505</v>
      </c>
      <c r="N57" s="24">
        <v>900.95734603576113</v>
      </c>
      <c r="O57" s="24">
        <v>539.52380693485327</v>
      </c>
      <c r="P57" s="70">
        <v>3969.6742479823342</v>
      </c>
      <c r="Q57" s="24">
        <v>1473.1642415995216</v>
      </c>
      <c r="R57" s="24">
        <v>316.0704517993571</v>
      </c>
      <c r="S57" s="24">
        <v>254.6023804201331</v>
      </c>
      <c r="T57" s="24">
        <v>8756.2700349564766</v>
      </c>
      <c r="U57" s="24">
        <v>638.70092369182328</v>
      </c>
      <c r="V57" s="24">
        <v>147.10307343779357</v>
      </c>
      <c r="W57" s="24">
        <v>6.6194925248505614</v>
      </c>
      <c r="X57" s="24">
        <v>935.64971609462168</v>
      </c>
      <c r="Y57" s="24">
        <v>153.54334113164629</v>
      </c>
      <c r="Z57" s="24">
        <v>573.80219623150822</v>
      </c>
      <c r="AA57" s="24">
        <v>4.4713608244307084</v>
      </c>
      <c r="AB57" s="24">
        <v>291.11594234750174</v>
      </c>
      <c r="AC57" s="24">
        <v>37.996887402881853</v>
      </c>
      <c r="AD57" s="24">
        <v>0.44877394645677332</v>
      </c>
      <c r="AE57" s="24">
        <v>157.52063710166067</v>
      </c>
      <c r="AF57" s="24">
        <v>42683.552220915415</v>
      </c>
      <c r="AG57" s="24">
        <v>0</v>
      </c>
      <c r="AH57" s="24">
        <v>247037.16793035995</v>
      </c>
      <c r="AI57" s="24">
        <v>81774.585301531799</v>
      </c>
      <c r="AJ57" s="24">
        <v>42771.253427039301</v>
      </c>
      <c r="AK57" s="24">
        <v>139778.61456831076</v>
      </c>
      <c r="AL57" s="24">
        <v>0</v>
      </c>
      <c r="AM57" s="24">
        <v>0</v>
      </c>
      <c r="AN57" s="24">
        <v>0</v>
      </c>
      <c r="AO57" s="24">
        <v>0</v>
      </c>
      <c r="AP57" s="24">
        <v>0</v>
      </c>
      <c r="AQ57" s="24">
        <v>21.661934866964646</v>
      </c>
      <c r="AR57" s="24">
        <v>21.661934866964646</v>
      </c>
      <c r="AS57" s="24">
        <v>2432.1241444575062</v>
      </c>
      <c r="AT57" s="24">
        <v>6718.4253880553852</v>
      </c>
      <c r="AU57" s="24">
        <v>4095.7306697912395</v>
      </c>
      <c r="AV57" s="24">
        <v>27714.98991301567</v>
      </c>
      <c r="AW57" s="24">
        <v>55.043674293163903</v>
      </c>
      <c r="AX57" s="24">
        <v>11694.943176751221</v>
      </c>
      <c r="AY57" s="24">
        <v>9517.4364983571395</v>
      </c>
      <c r="AZ57" s="24">
        <v>120.60296615546319</v>
      </c>
      <c r="BA57" s="24">
        <v>2047.0288919935786</v>
      </c>
      <c r="BB57" s="24">
        <v>375.14854900640387</v>
      </c>
      <c r="BC57" s="24">
        <v>73558.004211058083</v>
      </c>
      <c r="BD57" s="24">
        <v>0</v>
      </c>
      <c r="BE57" s="24">
        <v>831.18541363075644</v>
      </c>
      <c r="BF57" s="24">
        <v>13685.323360519249</v>
      </c>
      <c r="BG57" s="24">
        <v>19213.051530907189</v>
      </c>
      <c r="BH57" s="24">
        <v>7545.1879313665813</v>
      </c>
      <c r="BI57" s="24">
        <v>68039.047087395171</v>
      </c>
      <c r="BJ57" s="24">
        <v>84.591900814457674</v>
      </c>
      <c r="BK57" s="24">
        <v>0.77450760687506692</v>
      </c>
      <c r="BL57" s="24">
        <v>9.1400779550386826</v>
      </c>
      <c r="BM57" s="24">
        <v>21311.870268442148</v>
      </c>
      <c r="BN57" s="24">
        <v>39270.47179687574</v>
      </c>
      <c r="BO57" s="24">
        <v>6359.4299779685171</v>
      </c>
      <c r="BP57" s="24">
        <v>6971.8791087194086</v>
      </c>
      <c r="BQ57" s="24">
        <v>0</v>
      </c>
      <c r="BR57" s="25">
        <v>918828.1466944376</v>
      </c>
      <c r="BS57" s="26">
        <v>1170001.8652523709</v>
      </c>
      <c r="BT57" s="26">
        <v>0</v>
      </c>
      <c r="BU57" s="26">
        <v>0</v>
      </c>
      <c r="BV57" s="26">
        <v>0</v>
      </c>
      <c r="BW57" s="26">
        <v>0</v>
      </c>
      <c r="BX57" s="27">
        <v>1170001.8652523709</v>
      </c>
      <c r="BY57" s="26">
        <v>0</v>
      </c>
      <c r="BZ57" s="26">
        <v>0</v>
      </c>
      <c r="CA57" s="27">
        <v>0</v>
      </c>
      <c r="CB57" s="26">
        <v>0</v>
      </c>
      <c r="CC57" s="26">
        <v>0</v>
      </c>
      <c r="CD57" s="26">
        <v>0</v>
      </c>
      <c r="CE57" s="27">
        <v>0</v>
      </c>
      <c r="CF57" s="25">
        <v>1170001.8652523709</v>
      </c>
      <c r="CG57" s="26">
        <v>0</v>
      </c>
      <c r="CH57" s="25">
        <v>2088830.0119468085</v>
      </c>
      <c r="CI57" s="37" t="s">
        <v>156</v>
      </c>
      <c r="CJ57" s="35">
        <v>78</v>
      </c>
      <c r="CM57" s="30"/>
    </row>
    <row r="58" spans="1:91" ht="32" customHeight="1" x14ac:dyDescent="0.2">
      <c r="A58" s="35">
        <v>79</v>
      </c>
      <c r="B58" s="36" t="s">
        <v>77</v>
      </c>
      <c r="C58" s="24">
        <v>257600.58965336179</v>
      </c>
      <c r="D58" s="24">
        <v>0</v>
      </c>
      <c r="E58" s="24">
        <v>3863.5368612485845</v>
      </c>
      <c r="F58" s="24">
        <v>192421.02030940572</v>
      </c>
      <c r="G58" s="289">
        <v>0</v>
      </c>
      <c r="H58" s="24">
        <v>213961.31763709718</v>
      </c>
      <c r="I58" s="24">
        <v>65563.341672194394</v>
      </c>
      <c r="J58" s="24">
        <v>225109.40402918606</v>
      </c>
      <c r="K58" s="24">
        <v>51811.167508736769</v>
      </c>
      <c r="L58" s="24">
        <v>24731.068730630242</v>
      </c>
      <c r="M58" s="24">
        <v>5411.5761322916451</v>
      </c>
      <c r="N58" s="24">
        <v>108990.23697908645</v>
      </c>
      <c r="O58" s="24">
        <v>12042.355732336362</v>
      </c>
      <c r="P58" s="70">
        <v>540921.61574979604</v>
      </c>
      <c r="Q58" s="24">
        <v>203853.73795885046</v>
      </c>
      <c r="R58" s="24">
        <v>128338.12834426126</v>
      </c>
      <c r="S58" s="24">
        <v>56860.731790826008</v>
      </c>
      <c r="T58" s="24">
        <v>270647.52670720778</v>
      </c>
      <c r="U58" s="24">
        <v>232520.78914790004</v>
      </c>
      <c r="V58" s="24">
        <v>50726.839466605838</v>
      </c>
      <c r="W58" s="24">
        <v>12680.265813868869</v>
      </c>
      <c r="X58" s="24">
        <v>50855.502854908671</v>
      </c>
      <c r="Y58" s="24">
        <v>19356.288756625338</v>
      </c>
      <c r="Z58" s="24">
        <v>36130.775771634821</v>
      </c>
      <c r="AA58" s="24">
        <v>718.04059577814257</v>
      </c>
      <c r="AB58" s="24">
        <v>38703.378213144395</v>
      </c>
      <c r="AC58" s="24">
        <v>3035.3579321603784</v>
      </c>
      <c r="AD58" s="24">
        <v>57.036274003433022</v>
      </c>
      <c r="AE58" s="24">
        <v>12632.237192309049</v>
      </c>
      <c r="AF58" s="24">
        <v>17482.786292309062</v>
      </c>
      <c r="AG58" s="24">
        <v>0</v>
      </c>
      <c r="AH58" s="24">
        <v>359010.61646015238</v>
      </c>
      <c r="AI58" s="24">
        <v>661144.60479773511</v>
      </c>
      <c r="AJ58" s="24">
        <v>27292.962325452161</v>
      </c>
      <c r="AK58" s="24">
        <v>350480.4630728584</v>
      </c>
      <c r="AL58" s="24">
        <v>0</v>
      </c>
      <c r="AM58" s="24">
        <v>0</v>
      </c>
      <c r="AN58" s="24">
        <v>0</v>
      </c>
      <c r="AO58" s="24">
        <v>0</v>
      </c>
      <c r="AP58" s="24">
        <v>0</v>
      </c>
      <c r="AQ58" s="24">
        <v>0</v>
      </c>
      <c r="AR58" s="24">
        <v>0</v>
      </c>
      <c r="AS58" s="24">
        <v>8199.8101990553569</v>
      </c>
      <c r="AT58" s="24">
        <v>12249.360445637622</v>
      </c>
      <c r="AU58" s="24">
        <v>7495.4413760682964</v>
      </c>
      <c r="AV58" s="24">
        <v>51521.28851432482</v>
      </c>
      <c r="AW58" s="24">
        <v>105.86655479827969</v>
      </c>
      <c r="AX58" s="24">
        <v>21636.917984400709</v>
      </c>
      <c r="AY58" s="24">
        <v>17821.207216352359</v>
      </c>
      <c r="AZ58" s="24">
        <v>224.59366021301571</v>
      </c>
      <c r="BA58" s="24">
        <v>6846.7864664758245</v>
      </c>
      <c r="BB58" s="24">
        <v>835.64016984046043</v>
      </c>
      <c r="BC58" s="24">
        <v>117990.83293261648</v>
      </c>
      <c r="BD58" s="24">
        <v>0</v>
      </c>
      <c r="BE58" s="24">
        <v>1812.2498657366771</v>
      </c>
      <c r="BF58" s="24">
        <v>29518.48478594781</v>
      </c>
      <c r="BG58" s="24">
        <v>2.4259045989426624E-2</v>
      </c>
      <c r="BH58" s="24">
        <v>6802.7613181160359</v>
      </c>
      <c r="BI58" s="24">
        <v>594158.8041135635</v>
      </c>
      <c r="BJ58" s="24">
        <v>1177.8051635320676</v>
      </c>
      <c r="BK58" s="24">
        <v>12.981094744968397</v>
      </c>
      <c r="BL58" s="24">
        <v>130.01492607025386</v>
      </c>
      <c r="BM58" s="24">
        <v>20483.848327634529</v>
      </c>
      <c r="BN58" s="24">
        <v>53725.429464852634</v>
      </c>
      <c r="BO58" s="24">
        <v>7691.2112808685533</v>
      </c>
      <c r="BP58" s="24">
        <v>30147.471223345958</v>
      </c>
      <c r="BQ58" s="24">
        <v>0</v>
      </c>
      <c r="BR58" s="25">
        <v>5225544.1321072057</v>
      </c>
      <c r="BS58" s="26">
        <v>13956964.832159732</v>
      </c>
      <c r="BT58" s="26">
        <v>498354.50984750642</v>
      </c>
      <c r="BU58" s="26">
        <v>307557.05356645415</v>
      </c>
      <c r="BV58" s="26">
        <v>0</v>
      </c>
      <c r="BW58" s="26">
        <v>0</v>
      </c>
      <c r="BX58" s="27">
        <v>14147762.288440784</v>
      </c>
      <c r="BY58" s="26">
        <v>0</v>
      </c>
      <c r="BZ58" s="26">
        <v>0</v>
      </c>
      <c r="CA58" s="27">
        <v>0</v>
      </c>
      <c r="CB58" s="26">
        <v>0</v>
      </c>
      <c r="CC58" s="26">
        <v>25689397.853841241</v>
      </c>
      <c r="CD58" s="26">
        <v>282444.98132764112</v>
      </c>
      <c r="CE58" s="27">
        <v>25971842.835168883</v>
      </c>
      <c r="CF58" s="25">
        <v>40119605.12360967</v>
      </c>
      <c r="CG58" s="26">
        <v>498354.50984750642</v>
      </c>
      <c r="CH58" s="25">
        <v>44846794.745869368</v>
      </c>
      <c r="CI58" s="37" t="s">
        <v>157</v>
      </c>
      <c r="CJ58" s="35">
        <v>79</v>
      </c>
      <c r="CM58" s="30"/>
    </row>
    <row r="59" spans="1:91" ht="32" customHeight="1" x14ac:dyDescent="0.2">
      <c r="A59" s="35">
        <v>80</v>
      </c>
      <c r="B59" s="36" t="s">
        <v>78</v>
      </c>
      <c r="C59" s="24">
        <v>250.52848495480896</v>
      </c>
      <c r="D59" s="24">
        <v>0</v>
      </c>
      <c r="E59" s="24">
        <v>2844.8725551522762</v>
      </c>
      <c r="F59" s="24">
        <v>26.798124427763963</v>
      </c>
      <c r="G59" s="289">
        <v>34499.891466424626</v>
      </c>
      <c r="H59" s="24">
        <v>883.29580197926191</v>
      </c>
      <c r="I59" s="24">
        <v>6.6885512614324165</v>
      </c>
      <c r="J59" s="24">
        <v>888.15079535695668</v>
      </c>
      <c r="K59" s="24">
        <v>133.19185918777157</v>
      </c>
      <c r="L59" s="24">
        <v>220.20199023660194</v>
      </c>
      <c r="M59" s="24">
        <v>2.6138930864357297</v>
      </c>
      <c r="N59" s="24">
        <v>1496.7487933341899</v>
      </c>
      <c r="O59" s="24">
        <v>896.30392665976137</v>
      </c>
      <c r="P59" s="70">
        <v>6594.7685167789632</v>
      </c>
      <c r="Q59" s="24">
        <v>2447.3487126766172</v>
      </c>
      <c r="R59" s="24">
        <v>525.08375609659822</v>
      </c>
      <c r="S59" s="24">
        <v>422.96764364105735</v>
      </c>
      <c r="T59" s="24">
        <v>14546.678226883812</v>
      </c>
      <c r="U59" s="24">
        <v>1061.0655887800756</v>
      </c>
      <c r="V59" s="24">
        <v>244.38043447067801</v>
      </c>
      <c r="W59" s="24">
        <v>10.996877368999785</v>
      </c>
      <c r="X59" s="24">
        <v>1554.3827792847765</v>
      </c>
      <c r="Y59" s="24">
        <v>255.07956794457345</v>
      </c>
      <c r="Z59" s="24">
        <v>953.2501717211469</v>
      </c>
      <c r="AA59" s="24">
        <v>7.4282139415097133</v>
      </c>
      <c r="AB59" s="24">
        <v>483.62715210235245</v>
      </c>
      <c r="AC59" s="24">
        <v>63.123737900530003</v>
      </c>
      <c r="AD59" s="24">
        <v>0.74554235646615885</v>
      </c>
      <c r="AE59" s="24">
        <v>261.68699832964705</v>
      </c>
      <c r="AF59" s="24">
        <v>70909.633583626084</v>
      </c>
      <c r="AG59" s="24">
        <v>0</v>
      </c>
      <c r="AH59" s="24">
        <v>410399.65391856141</v>
      </c>
      <c r="AI59" s="24">
        <v>135851.06155581903</v>
      </c>
      <c r="AJ59" s="24">
        <v>71055.330463747508</v>
      </c>
      <c r="AK59" s="24">
        <v>232212.40562562636</v>
      </c>
      <c r="AL59" s="24">
        <v>0</v>
      </c>
      <c r="AM59" s="24">
        <v>0</v>
      </c>
      <c r="AN59" s="24">
        <v>0</v>
      </c>
      <c r="AO59" s="24">
        <v>0</v>
      </c>
      <c r="AP59" s="24">
        <v>0</v>
      </c>
      <c r="AQ59" s="24">
        <v>35.986692395675554</v>
      </c>
      <c r="AR59" s="24">
        <v>35.986692395675554</v>
      </c>
      <c r="AS59" s="24">
        <v>4040.4564039275065</v>
      </c>
      <c r="AT59" s="24">
        <v>11161.233255851101</v>
      </c>
      <c r="AU59" s="24">
        <v>6804.1844209443261</v>
      </c>
      <c r="AV59" s="24">
        <v>46042.554502828731</v>
      </c>
      <c r="AW59" s="24">
        <v>91.443344617230224</v>
      </c>
      <c r="AX59" s="24">
        <v>19428.657932513845</v>
      </c>
      <c r="AY59" s="24">
        <v>15811.1942338116</v>
      </c>
      <c r="AZ59" s="24">
        <v>200.35614877882213</v>
      </c>
      <c r="BA59" s="24">
        <v>3400.7026386907332</v>
      </c>
      <c r="BB59" s="24">
        <v>623.22943535233674</v>
      </c>
      <c r="BC59" s="24">
        <v>122200.96159646877</v>
      </c>
      <c r="BD59" s="24">
        <v>0</v>
      </c>
      <c r="BE59" s="24">
        <v>1380.8375838909406</v>
      </c>
      <c r="BF59" s="24">
        <v>22735.250804461892</v>
      </c>
      <c r="BG59" s="24">
        <v>31918.394163369761</v>
      </c>
      <c r="BH59" s="24">
        <v>12534.723182449492</v>
      </c>
      <c r="BI59" s="24">
        <v>113032.38946411197</v>
      </c>
      <c r="BJ59" s="24">
        <v>140.53143140125908</v>
      </c>
      <c r="BK59" s="24">
        <v>1.2866794761362594</v>
      </c>
      <c r="BL59" s="24">
        <v>15.184293363474692</v>
      </c>
      <c r="BM59" s="24">
        <v>35405.13460303087</v>
      </c>
      <c r="BN59" s="24">
        <v>65239.527192117559</v>
      </c>
      <c r="BO59" s="24">
        <v>10564.838821392819</v>
      </c>
      <c r="BP59" s="24">
        <v>11582.292645886731</v>
      </c>
      <c r="BQ59" s="24">
        <v>0</v>
      </c>
      <c r="BR59" s="25">
        <v>1526437.3234732496</v>
      </c>
      <c r="BS59" s="26">
        <v>1943708.9754809863</v>
      </c>
      <c r="BT59" s="26">
        <v>0</v>
      </c>
      <c r="BU59" s="26">
        <v>0</v>
      </c>
      <c r="BV59" s="26">
        <v>0</v>
      </c>
      <c r="BW59" s="26">
        <v>0</v>
      </c>
      <c r="BX59" s="27">
        <v>1943708.9754809863</v>
      </c>
      <c r="BY59" s="26">
        <v>0</v>
      </c>
      <c r="BZ59" s="26">
        <v>0</v>
      </c>
      <c r="CA59" s="27">
        <v>0</v>
      </c>
      <c r="CB59" s="26">
        <v>0</v>
      </c>
      <c r="CC59" s="26">
        <v>0</v>
      </c>
      <c r="CD59" s="26">
        <v>0</v>
      </c>
      <c r="CE59" s="27">
        <v>0</v>
      </c>
      <c r="CF59" s="25">
        <v>1943708.9754809863</v>
      </c>
      <c r="CG59" s="26">
        <v>0</v>
      </c>
      <c r="CH59" s="25">
        <v>3470146.2989542359</v>
      </c>
      <c r="CI59" s="37" t="s">
        <v>158</v>
      </c>
      <c r="CJ59" s="35">
        <v>80</v>
      </c>
      <c r="CM59" s="30"/>
    </row>
    <row r="60" spans="1:91" ht="32" customHeight="1" x14ac:dyDescent="0.2">
      <c r="A60" s="35">
        <v>81</v>
      </c>
      <c r="B60" s="36" t="s">
        <v>79</v>
      </c>
      <c r="C60" s="24">
        <v>174.72327271354362</v>
      </c>
      <c r="D60" s="24">
        <v>0</v>
      </c>
      <c r="E60" s="24">
        <v>1984.06757370847</v>
      </c>
      <c r="F60" s="24">
        <v>18.689515499398308</v>
      </c>
      <c r="G60" s="289">
        <v>24060.872544545589</v>
      </c>
      <c r="H60" s="24">
        <v>616.02708899065794</v>
      </c>
      <c r="I60" s="24">
        <v>4.6647213242860426</v>
      </c>
      <c r="J60" s="24">
        <v>619.4130525951814</v>
      </c>
      <c r="K60" s="24">
        <v>92.890505206570552</v>
      </c>
      <c r="L60" s="24">
        <v>153.57300547726138</v>
      </c>
      <c r="M60" s="24">
        <v>1.8229781522358168</v>
      </c>
      <c r="N60" s="24">
        <v>1043.8607316392392</v>
      </c>
      <c r="O60" s="24">
        <v>625.09919955905366</v>
      </c>
      <c r="P60" s="70">
        <v>4599.3154760334346</v>
      </c>
      <c r="Q60" s="24">
        <v>1706.8269766899748</v>
      </c>
      <c r="R60" s="24">
        <v>366.20327756529105</v>
      </c>
      <c r="S60" s="24">
        <v>294.98558202765685</v>
      </c>
      <c r="T60" s="24">
        <v>10145.126720302709</v>
      </c>
      <c r="U60" s="24">
        <v>740.00707851172911</v>
      </c>
      <c r="V60" s="24">
        <v>170.43550678708931</v>
      </c>
      <c r="W60" s="24">
        <v>7.6694289030156977</v>
      </c>
      <c r="X60" s="24">
        <v>1084.0557563552084</v>
      </c>
      <c r="Y60" s="24">
        <v>177.89728350319905</v>
      </c>
      <c r="Z60" s="24">
        <v>664.81458085658358</v>
      </c>
      <c r="AA60" s="24">
        <v>5.1805759752670992</v>
      </c>
      <c r="AB60" s="24">
        <v>337.29066299066267</v>
      </c>
      <c r="AC60" s="24">
        <v>44.023680875577995</v>
      </c>
      <c r="AD60" s="24">
        <v>0.51995524777085511</v>
      </c>
      <c r="AE60" s="24">
        <v>182.50542960409138</v>
      </c>
      <c r="AF60" s="24">
        <v>49453.710818090069</v>
      </c>
      <c r="AG60" s="24">
        <v>0</v>
      </c>
      <c r="AH60" s="24">
        <v>286220.42984889052</v>
      </c>
      <c r="AI60" s="24">
        <v>94745.082903141316</v>
      </c>
      <c r="AJ60" s="24">
        <v>49555.322559858912</v>
      </c>
      <c r="AK60" s="24">
        <v>161949.29483931928</v>
      </c>
      <c r="AL60" s="24">
        <v>0</v>
      </c>
      <c r="AM60" s="24">
        <v>0</v>
      </c>
      <c r="AN60" s="24">
        <v>0</v>
      </c>
      <c r="AO60" s="24">
        <v>0</v>
      </c>
      <c r="AP60" s="24">
        <v>0</v>
      </c>
      <c r="AQ60" s="24">
        <v>25.097795448857728</v>
      </c>
      <c r="AR60" s="24">
        <v>25.097795448857728</v>
      </c>
      <c r="AS60" s="24">
        <v>2817.8902142722527</v>
      </c>
      <c r="AT60" s="24">
        <v>7784.0537866714585</v>
      </c>
      <c r="AU60" s="24">
        <v>4745.3660624194026</v>
      </c>
      <c r="AV60" s="24">
        <v>32110.942627051238</v>
      </c>
      <c r="AW60" s="24">
        <v>63.774306711178546</v>
      </c>
      <c r="AX60" s="24">
        <v>13549.911096988048</v>
      </c>
      <c r="AY60" s="24">
        <v>11027.023943163171</v>
      </c>
      <c r="AZ60" s="24">
        <v>139.73214275108117</v>
      </c>
      <c r="BA60" s="24">
        <v>2371.7139177399667</v>
      </c>
      <c r="BB60" s="24">
        <v>434.65191838691118</v>
      </c>
      <c r="BC60" s="24">
        <v>85225.246712877779</v>
      </c>
      <c r="BD60" s="24">
        <v>0</v>
      </c>
      <c r="BE60" s="24">
        <v>963.02207625934204</v>
      </c>
      <c r="BF60" s="24">
        <v>15855.991095125793</v>
      </c>
      <c r="BG60" s="24">
        <v>22260.487820340302</v>
      </c>
      <c r="BH60" s="24">
        <v>8741.9514686761377</v>
      </c>
      <c r="BI60" s="24">
        <v>78830.91223484611</v>
      </c>
      <c r="BJ60" s="24">
        <v>98.00926077518082</v>
      </c>
      <c r="BK60" s="24">
        <v>0.89735444272705145</v>
      </c>
      <c r="BL60" s="24">
        <v>10.589811497033576</v>
      </c>
      <c r="BM60" s="24">
        <v>24692.206117084646</v>
      </c>
      <c r="BN60" s="24">
        <v>45499.272082163268</v>
      </c>
      <c r="BO60" s="24">
        <v>7368.1171021244272</v>
      </c>
      <c r="BP60" s="24">
        <v>8077.7085167795512</v>
      </c>
      <c r="BQ60" s="24">
        <v>0</v>
      </c>
      <c r="BR60" s="25">
        <v>1064566.0703909858</v>
      </c>
      <c r="BS60" s="26">
        <v>1355579.1608287052</v>
      </c>
      <c r="BT60" s="26">
        <v>0</v>
      </c>
      <c r="BU60" s="26">
        <v>0</v>
      </c>
      <c r="BV60" s="26">
        <v>0</v>
      </c>
      <c r="BW60" s="26">
        <v>0</v>
      </c>
      <c r="BX60" s="27">
        <v>1355579.1608287052</v>
      </c>
      <c r="BY60" s="26">
        <v>0</v>
      </c>
      <c r="BZ60" s="26">
        <v>0</v>
      </c>
      <c r="CA60" s="27">
        <v>0</v>
      </c>
      <c r="CB60" s="26">
        <v>0</v>
      </c>
      <c r="CC60" s="26">
        <v>0</v>
      </c>
      <c r="CD60" s="26">
        <v>0</v>
      </c>
      <c r="CE60" s="27">
        <v>0</v>
      </c>
      <c r="CF60" s="25">
        <v>1355579.1608287052</v>
      </c>
      <c r="CG60" s="26">
        <v>0</v>
      </c>
      <c r="CH60" s="25">
        <v>2420145.2312196912</v>
      </c>
      <c r="CI60" s="37" t="s">
        <v>159</v>
      </c>
      <c r="CJ60" s="35">
        <v>81</v>
      </c>
      <c r="CM60" s="30"/>
    </row>
    <row r="61" spans="1:91" x14ac:dyDescent="0.2">
      <c r="A61" s="35">
        <v>82</v>
      </c>
      <c r="B61" s="36" t="s">
        <v>80</v>
      </c>
      <c r="C61" s="24">
        <v>883.410775890683</v>
      </c>
      <c r="D61" s="24">
        <v>0</v>
      </c>
      <c r="E61" s="24">
        <v>10161.528690322912</v>
      </c>
      <c r="F61" s="24">
        <v>5802.5415353856479</v>
      </c>
      <c r="G61" s="289">
        <v>191611.48490758741</v>
      </c>
      <c r="H61" s="24">
        <v>27444.53126639207</v>
      </c>
      <c r="I61" s="24">
        <v>177.34343379770726</v>
      </c>
      <c r="J61" s="24">
        <v>3141.2224446493492</v>
      </c>
      <c r="K61" s="24">
        <v>587.10542791434409</v>
      </c>
      <c r="L61" s="24">
        <v>793.78303178991143</v>
      </c>
      <c r="M61" s="24">
        <v>12.735272520948914</v>
      </c>
      <c r="N61" s="24">
        <v>5983.2255492559625</v>
      </c>
      <c r="O61" s="24">
        <v>3223.1987467437602</v>
      </c>
      <c r="P61" s="70">
        <v>23631.142045793735</v>
      </c>
      <c r="Q61" s="24">
        <v>9300.5808488826005</v>
      </c>
      <c r="R61" s="24">
        <v>3794.5758598831426</v>
      </c>
      <c r="S61" s="24">
        <v>1616.0664866691459</v>
      </c>
      <c r="T61" s="24">
        <v>53099.751729314761</v>
      </c>
      <c r="U61" s="24">
        <v>4002.3508777449397</v>
      </c>
      <c r="V61" s="24">
        <v>998.77696706615131</v>
      </c>
      <c r="W61" s="24">
        <v>66.722652255793463</v>
      </c>
      <c r="X61" s="24">
        <v>6497.9459795339335</v>
      </c>
      <c r="Y61" s="24">
        <v>1466.9698230409351</v>
      </c>
      <c r="Z61" s="24">
        <v>3492.7867079770595</v>
      </c>
      <c r="AA61" s="24">
        <v>32.204900530660936</v>
      </c>
      <c r="AB61" s="24">
        <v>1883.6416314294531</v>
      </c>
      <c r="AC61" s="24">
        <v>253.18704515818101</v>
      </c>
      <c r="AD61" s="24">
        <v>3.408385602554838</v>
      </c>
      <c r="AE61" s="24">
        <v>1116.0140129580402</v>
      </c>
      <c r="AF61" s="24">
        <v>244182.10793570307</v>
      </c>
      <c r="AG61" s="24">
        <v>0</v>
      </c>
      <c r="AH61" s="24">
        <v>1622426.106674829</v>
      </c>
      <c r="AI61" s="24">
        <v>476295.96025882475</v>
      </c>
      <c r="AJ61" s="24">
        <v>243546.82791645933</v>
      </c>
      <c r="AK61" s="24">
        <v>824106.61223033967</v>
      </c>
      <c r="AL61" s="24">
        <v>20080.808113570973</v>
      </c>
      <c r="AM61" s="24">
        <v>4738.9779817667077</v>
      </c>
      <c r="AN61" s="24">
        <v>233.15456439503205</v>
      </c>
      <c r="AO61" s="24">
        <v>421039.8877327934</v>
      </c>
      <c r="AP61" s="24">
        <v>485.41965074006146</v>
      </c>
      <c r="AQ61" s="24">
        <v>174.60149134128116</v>
      </c>
      <c r="AR61" s="24">
        <v>174.60149134128116</v>
      </c>
      <c r="AS61" s="24">
        <v>949735.73904449248</v>
      </c>
      <c r="AT61" s="24">
        <v>42498.483175052446</v>
      </c>
      <c r="AU61" s="24">
        <v>25437.086231435402</v>
      </c>
      <c r="AV61" s="24">
        <v>159672.45280918197</v>
      </c>
      <c r="AW61" s="24">
        <v>420.88447270167984</v>
      </c>
      <c r="AX61" s="24">
        <v>67542.003662461299</v>
      </c>
      <c r="AY61" s="24">
        <v>54851.725348448155</v>
      </c>
      <c r="AZ61" s="24">
        <v>729.77119040084096</v>
      </c>
      <c r="BA61" s="24">
        <v>13901.001004468775</v>
      </c>
      <c r="BB61" s="24">
        <v>2984.2567058475042</v>
      </c>
      <c r="BC61" s="24">
        <v>424640.46426618384</v>
      </c>
      <c r="BD61" s="24">
        <v>537.45723583142421</v>
      </c>
      <c r="BE61" s="24">
        <v>4912.4718149524342</v>
      </c>
      <c r="BF61" s="24">
        <v>80692.939910850808</v>
      </c>
      <c r="BG61" s="24">
        <v>141642.70146514292</v>
      </c>
      <c r="BH61" s="24">
        <v>46658.599949371586</v>
      </c>
      <c r="BI61" s="24">
        <v>418904.55385625974</v>
      </c>
      <c r="BJ61" s="24">
        <v>597.07950340978357</v>
      </c>
      <c r="BK61" s="24">
        <v>15.745932498348488</v>
      </c>
      <c r="BL61" s="24">
        <v>273.15542155597376</v>
      </c>
      <c r="BM61" s="24">
        <v>122362.88903202649</v>
      </c>
      <c r="BN61" s="24">
        <v>234477.94210766387</v>
      </c>
      <c r="BO61" s="24">
        <v>38103.269144173079</v>
      </c>
      <c r="BP61" s="24">
        <v>44651.067496682583</v>
      </c>
      <c r="BQ61" s="24">
        <v>0</v>
      </c>
      <c r="BR61" s="25">
        <v>7094807.04385929</v>
      </c>
      <c r="BS61" s="26">
        <v>7785362.6190591296</v>
      </c>
      <c r="BT61" s="26">
        <v>0</v>
      </c>
      <c r="BU61" s="26">
        <v>0</v>
      </c>
      <c r="BV61" s="26">
        <v>0</v>
      </c>
      <c r="BW61" s="26">
        <v>0</v>
      </c>
      <c r="BX61" s="27">
        <v>7785362.6190591296</v>
      </c>
      <c r="BY61" s="26">
        <v>1456044.4222226944</v>
      </c>
      <c r="BZ61" s="26">
        <v>0</v>
      </c>
      <c r="CA61" s="27">
        <v>1456044.4222226944</v>
      </c>
      <c r="CB61" s="26">
        <v>0</v>
      </c>
      <c r="CC61" s="26">
        <v>178073.53568029343</v>
      </c>
      <c r="CD61" s="26">
        <v>0</v>
      </c>
      <c r="CE61" s="27">
        <v>178073.53568029343</v>
      </c>
      <c r="CF61" s="25">
        <v>9419480.5769621171</v>
      </c>
      <c r="CG61" s="26">
        <v>2189625.0243000337</v>
      </c>
      <c r="CH61" s="25">
        <v>14324662.596521374</v>
      </c>
      <c r="CI61" s="37" t="s">
        <v>160</v>
      </c>
      <c r="CJ61" s="35">
        <v>82</v>
      </c>
      <c r="CM61" s="30"/>
    </row>
    <row r="62" spans="1:91" ht="32" customHeight="1" x14ac:dyDescent="0.2">
      <c r="A62" s="35">
        <v>84</v>
      </c>
      <c r="B62" s="36" t="s">
        <v>81</v>
      </c>
      <c r="C62" s="24">
        <v>706.25033879629802</v>
      </c>
      <c r="D62" s="24">
        <v>0</v>
      </c>
      <c r="E62" s="24">
        <v>24.711476286342808</v>
      </c>
      <c r="F62" s="24">
        <v>8244.1516042625226</v>
      </c>
      <c r="G62" s="289">
        <v>935.63477894699076</v>
      </c>
      <c r="H62" s="24">
        <v>38.85344213717201</v>
      </c>
      <c r="I62" s="24">
        <v>7.7155305300540862</v>
      </c>
      <c r="J62" s="24">
        <v>2.9800728893624155</v>
      </c>
      <c r="K62" s="24">
        <v>0.85499556525380138</v>
      </c>
      <c r="L62" s="24">
        <v>21.20106709449734</v>
      </c>
      <c r="M62" s="24">
        <v>1.8677289301407569</v>
      </c>
      <c r="N62" s="24">
        <v>20.065793321120694</v>
      </c>
      <c r="O62" s="24">
        <v>221.11358275216745</v>
      </c>
      <c r="P62" s="70">
        <v>34.734885510946015</v>
      </c>
      <c r="Q62" s="24">
        <v>48.418381144352466</v>
      </c>
      <c r="R62" s="24">
        <v>5.0097572360120637</v>
      </c>
      <c r="S62" s="24">
        <v>3.5972277493895355</v>
      </c>
      <c r="T62" s="24">
        <v>28829.921758463617</v>
      </c>
      <c r="U62" s="24">
        <v>0.61949382891574034</v>
      </c>
      <c r="V62" s="24">
        <v>1.6195941283416624</v>
      </c>
      <c r="W62" s="24">
        <v>9.8666141871439255</v>
      </c>
      <c r="X62" s="24">
        <v>160.24061633431805</v>
      </c>
      <c r="Y62" s="24">
        <v>116.03906785824303</v>
      </c>
      <c r="Z62" s="24">
        <v>14.695882171477901</v>
      </c>
      <c r="AA62" s="24">
        <v>0.14467441095423672</v>
      </c>
      <c r="AB62" s="24">
        <v>1.1632186210768096</v>
      </c>
      <c r="AC62" s="24">
        <v>1.0740441442007713</v>
      </c>
      <c r="AD62" s="24">
        <v>8.1718332411578644E-3</v>
      </c>
      <c r="AE62" s="24">
        <v>0.22347803028880506</v>
      </c>
      <c r="AF62" s="24">
        <v>36062.164980889531</v>
      </c>
      <c r="AG62" s="24">
        <v>8821.6853837048766</v>
      </c>
      <c r="AH62" s="24">
        <v>394.11183685895946</v>
      </c>
      <c r="AI62" s="24">
        <v>68400.233856515173</v>
      </c>
      <c r="AJ62" s="24">
        <v>4316.5036472755892</v>
      </c>
      <c r="AK62" s="24">
        <v>388.87745583998043</v>
      </c>
      <c r="AL62" s="24">
        <v>39585.634180103982</v>
      </c>
      <c r="AM62" s="24">
        <v>9342.0268603136865</v>
      </c>
      <c r="AN62" s="24">
        <v>11506.462970349303</v>
      </c>
      <c r="AO62" s="24">
        <v>847164.81152564543</v>
      </c>
      <c r="AP62" s="24">
        <v>149315.39165938945</v>
      </c>
      <c r="AQ62" s="24">
        <v>6509.5656079907621</v>
      </c>
      <c r="AR62" s="24">
        <v>6509.5656079907621</v>
      </c>
      <c r="AS62" s="24">
        <v>3356.298479698517</v>
      </c>
      <c r="AT62" s="24">
        <v>14.125968797195894</v>
      </c>
      <c r="AU62" s="24">
        <v>8.1353673772232327</v>
      </c>
      <c r="AV62" s="24">
        <v>42.460879403476753</v>
      </c>
      <c r="AW62" s="24">
        <v>0.1892139734874298</v>
      </c>
      <c r="AX62" s="24">
        <v>134.83730373655445</v>
      </c>
      <c r="AY62" s="24">
        <v>14.601021321289448</v>
      </c>
      <c r="AZ62" s="24">
        <v>0.22009686655056643</v>
      </c>
      <c r="BA62" s="24">
        <v>2.4112055504825398</v>
      </c>
      <c r="BB62" s="24">
        <v>0.88328928343988544</v>
      </c>
      <c r="BC62" s="24">
        <v>32.816539320111012</v>
      </c>
      <c r="BD62" s="24">
        <v>29185.086833651654</v>
      </c>
      <c r="BE62" s="24">
        <v>0.23920759905434794</v>
      </c>
      <c r="BF62" s="24">
        <v>201.97066878878658</v>
      </c>
      <c r="BG62" s="24">
        <v>116026.69486160816</v>
      </c>
      <c r="BH62" s="24">
        <v>37032.628410340199</v>
      </c>
      <c r="BI62" s="24">
        <v>98793.520945741635</v>
      </c>
      <c r="BJ62" s="24">
        <v>1317.2683326240451</v>
      </c>
      <c r="BK62" s="24">
        <v>12.07031715774022</v>
      </c>
      <c r="BL62" s="24">
        <v>142.54053670794386</v>
      </c>
      <c r="BM62" s="24">
        <v>250663.32946341016</v>
      </c>
      <c r="BN62" s="24">
        <v>1157.6063064044808</v>
      </c>
      <c r="BO62" s="24">
        <v>120.22612144846315</v>
      </c>
      <c r="BP62" s="24">
        <v>2313.1447648736789</v>
      </c>
      <c r="BQ62" s="24">
        <v>0</v>
      </c>
      <c r="BR62" s="25">
        <v>1768343.1189857165</v>
      </c>
      <c r="BS62" s="26">
        <v>48944006.242689237</v>
      </c>
      <c r="BT62" s="26">
        <v>0</v>
      </c>
      <c r="BU62" s="26">
        <v>0</v>
      </c>
      <c r="BV62" s="26">
        <v>157217274.13692266</v>
      </c>
      <c r="BW62" s="26">
        <v>0</v>
      </c>
      <c r="BX62" s="27">
        <v>206161280.37961191</v>
      </c>
      <c r="BY62" s="26">
        <v>77713.59087104119</v>
      </c>
      <c r="BZ62" s="26">
        <v>36342.235853139355</v>
      </c>
      <c r="CA62" s="27">
        <v>114055.82672418054</v>
      </c>
      <c r="CB62" s="26">
        <v>0</v>
      </c>
      <c r="CC62" s="26">
        <v>11440290.005824944</v>
      </c>
      <c r="CD62" s="26">
        <v>0</v>
      </c>
      <c r="CE62" s="27">
        <v>11440290.005824944</v>
      </c>
      <c r="CF62" s="25">
        <v>217715626.21216103</v>
      </c>
      <c r="CG62" s="26">
        <v>16562876.533911904</v>
      </c>
      <c r="CH62" s="25">
        <v>202921092.79723483</v>
      </c>
      <c r="CI62" s="37" t="s">
        <v>161</v>
      </c>
      <c r="CJ62" s="35">
        <v>84</v>
      </c>
      <c r="CM62" s="30"/>
    </row>
    <row r="63" spans="1:91" ht="32" customHeight="1" x14ac:dyDescent="0.2">
      <c r="A63" s="35">
        <v>85</v>
      </c>
      <c r="B63" s="36" t="s">
        <v>82</v>
      </c>
      <c r="C63" s="24">
        <v>4.7158563344146156</v>
      </c>
      <c r="D63" s="24">
        <v>0</v>
      </c>
      <c r="E63" s="24">
        <v>113955.60804927716</v>
      </c>
      <c r="F63" s="24">
        <v>74813.425766469663</v>
      </c>
      <c r="G63" s="289">
        <v>104185.48228654949</v>
      </c>
      <c r="H63" s="24">
        <v>2695.5191043582545</v>
      </c>
      <c r="I63" s="24">
        <v>17994.710687418818</v>
      </c>
      <c r="J63" s="24">
        <v>251.36370540348602</v>
      </c>
      <c r="K63" s="24">
        <v>104.17544172518589</v>
      </c>
      <c r="L63" s="24">
        <v>32.686924807874604</v>
      </c>
      <c r="M63" s="24">
        <v>0.51565480112573803</v>
      </c>
      <c r="N63" s="24">
        <v>2453.2159449172013</v>
      </c>
      <c r="O63" s="24">
        <v>174.8765446408332</v>
      </c>
      <c r="P63" s="70">
        <v>18989.896777621867</v>
      </c>
      <c r="Q63" s="24">
        <v>1901.369767061519</v>
      </c>
      <c r="R63" s="24">
        <v>3586.4917665429762</v>
      </c>
      <c r="S63" s="24">
        <v>509.15589385461163</v>
      </c>
      <c r="T63" s="24">
        <v>15806.859273429629</v>
      </c>
      <c r="U63" s="24">
        <v>791.79397166967146</v>
      </c>
      <c r="V63" s="24">
        <v>286.39221941135435</v>
      </c>
      <c r="W63" s="24">
        <v>40.212539981880369</v>
      </c>
      <c r="X63" s="24">
        <v>1917.0267156710588</v>
      </c>
      <c r="Y63" s="24">
        <v>380.36402113385776</v>
      </c>
      <c r="Z63" s="24">
        <v>1009.8672334617102</v>
      </c>
      <c r="AA63" s="24">
        <v>69.866413631200373</v>
      </c>
      <c r="AB63" s="24">
        <v>617.96952310815652</v>
      </c>
      <c r="AC63" s="24">
        <v>81.369615620658394</v>
      </c>
      <c r="AD63" s="24">
        <v>38.738491170827281</v>
      </c>
      <c r="AE63" s="24">
        <v>0.70580765988734695</v>
      </c>
      <c r="AF63" s="24">
        <v>513.23214362771489</v>
      </c>
      <c r="AG63" s="24">
        <v>0</v>
      </c>
      <c r="AH63" s="24">
        <v>49426.524494267163</v>
      </c>
      <c r="AI63" s="24">
        <v>227208.73273636354</v>
      </c>
      <c r="AJ63" s="24">
        <v>139.69200746956045</v>
      </c>
      <c r="AK63" s="24">
        <v>23831.827687583165</v>
      </c>
      <c r="AL63" s="24">
        <v>22088.735515506032</v>
      </c>
      <c r="AM63" s="24">
        <v>5212.8395760282356</v>
      </c>
      <c r="AN63" s="24">
        <v>0.7443091490815491</v>
      </c>
      <c r="AO63" s="24">
        <v>462169.9104152933</v>
      </c>
      <c r="AP63" s="24">
        <v>141723.82591879598</v>
      </c>
      <c r="AQ63" s="24">
        <v>4021.8727355345636</v>
      </c>
      <c r="AR63" s="24">
        <v>4021.8727355345636</v>
      </c>
      <c r="AS63" s="24">
        <v>3205.8372489299763</v>
      </c>
      <c r="AT63" s="24">
        <v>451.30522849237008</v>
      </c>
      <c r="AU63" s="24">
        <v>273.62368975955383</v>
      </c>
      <c r="AV63" s="24">
        <v>1811.7954344102616</v>
      </c>
      <c r="AW63" s="24">
        <v>3.9295910528077962</v>
      </c>
      <c r="AX63" s="24">
        <v>765.05241233419292</v>
      </c>
      <c r="AY63" s="24">
        <v>622.24017273054619</v>
      </c>
      <c r="AZ63" s="24">
        <v>7.9956767721114552</v>
      </c>
      <c r="BA63" s="24">
        <v>139.94370962772072</v>
      </c>
      <c r="BB63" s="24">
        <v>27.040837694141015</v>
      </c>
      <c r="BC63" s="24">
        <v>4789.7039014988914</v>
      </c>
      <c r="BD63" s="24">
        <v>1.7157474009028346</v>
      </c>
      <c r="BE63" s="24">
        <v>54.486756151094191</v>
      </c>
      <c r="BF63" s="24">
        <v>910.64206558568299</v>
      </c>
      <c r="BG63" s="24">
        <v>44860.765642730199</v>
      </c>
      <c r="BH63" s="24">
        <v>34683.104291931268</v>
      </c>
      <c r="BI63" s="24">
        <v>241270.23236786932</v>
      </c>
      <c r="BJ63" s="24">
        <v>31.061971130761229</v>
      </c>
      <c r="BK63" s="24">
        <v>0.31721226607956843</v>
      </c>
      <c r="BL63" s="24">
        <v>4.022272869924068</v>
      </c>
      <c r="BM63" s="24">
        <v>1960.2562059129459</v>
      </c>
      <c r="BN63" s="24">
        <v>5232.6689064560387</v>
      </c>
      <c r="BO63" s="24">
        <v>2125.6011410085889</v>
      </c>
      <c r="BP63" s="24">
        <v>10684.310982041727</v>
      </c>
      <c r="BQ63" s="24">
        <v>0</v>
      </c>
      <c r="BR63" s="25">
        <v>1656971.8397395441</v>
      </c>
      <c r="BS63" s="26">
        <v>68548644.399920151</v>
      </c>
      <c r="BT63" s="26">
        <v>775881.2333333334</v>
      </c>
      <c r="BU63" s="26">
        <v>1148604.6299999997</v>
      </c>
      <c r="BV63" s="26">
        <v>87668469.002560318</v>
      </c>
      <c r="BW63" s="26">
        <v>6825991.6330342731</v>
      </c>
      <c r="BX63" s="27">
        <v>162670381.63884807</v>
      </c>
      <c r="BY63" s="26">
        <v>4648.192016920264</v>
      </c>
      <c r="BZ63" s="26">
        <v>0</v>
      </c>
      <c r="CA63" s="27">
        <v>4648.192016920264</v>
      </c>
      <c r="CB63" s="26">
        <v>0</v>
      </c>
      <c r="CC63" s="26">
        <v>568.47165810392437</v>
      </c>
      <c r="CD63" s="26">
        <v>1148604.6299999997</v>
      </c>
      <c r="CE63" s="27">
        <v>1149173.1016581035</v>
      </c>
      <c r="CF63" s="25">
        <v>163824202.9325231</v>
      </c>
      <c r="CG63" s="26">
        <v>2459720.2656446164</v>
      </c>
      <c r="CH63" s="25">
        <v>163021454.50661802</v>
      </c>
      <c r="CI63" s="37" t="s">
        <v>162</v>
      </c>
      <c r="CJ63" s="35">
        <v>85</v>
      </c>
      <c r="CM63" s="30"/>
    </row>
    <row r="64" spans="1:91" s="41" customFormat="1" ht="32" customHeight="1" x14ac:dyDescent="0.2">
      <c r="A64" s="22" t="s">
        <v>15</v>
      </c>
      <c r="B64" s="40" t="s">
        <v>83</v>
      </c>
      <c r="C64" s="24">
        <v>0.46464188927948835</v>
      </c>
      <c r="D64" s="24">
        <v>0</v>
      </c>
      <c r="E64" s="24">
        <v>0</v>
      </c>
      <c r="F64" s="24">
        <v>20094.580342554676</v>
      </c>
      <c r="G64" s="289">
        <v>0</v>
      </c>
      <c r="H64" s="24">
        <v>0</v>
      </c>
      <c r="I64" s="24">
        <v>9567.5176303046155</v>
      </c>
      <c r="J64" s="24">
        <v>149.56779653463818</v>
      </c>
      <c r="K64" s="24">
        <v>68.365754420699417</v>
      </c>
      <c r="L64" s="24">
        <v>200.8330342487528</v>
      </c>
      <c r="M64" s="24">
        <v>33.754390224206041</v>
      </c>
      <c r="N64" s="24">
        <v>2937.986521139796</v>
      </c>
      <c r="O64" s="24">
        <v>0</v>
      </c>
      <c r="P64" s="70">
        <v>16736.416906310773</v>
      </c>
      <c r="Q64" s="24">
        <v>3060.6728306812884</v>
      </c>
      <c r="R64" s="24">
        <v>2667.4858290210423</v>
      </c>
      <c r="S64" s="24">
        <v>1.9920587757822223</v>
      </c>
      <c r="T64" s="24">
        <v>10613.011018495898</v>
      </c>
      <c r="U64" s="24">
        <v>699.46251657959647</v>
      </c>
      <c r="V64" s="24">
        <v>1141.2406507628509</v>
      </c>
      <c r="W64" s="24">
        <v>122.80054671870047</v>
      </c>
      <c r="X64" s="24">
        <v>2766.8421412089265</v>
      </c>
      <c r="Y64" s="24">
        <v>933.91991464015405</v>
      </c>
      <c r="Z64" s="24">
        <v>960.04098473229885</v>
      </c>
      <c r="AA64" s="24">
        <v>0</v>
      </c>
      <c r="AB64" s="24">
        <v>0</v>
      </c>
      <c r="AC64" s="24">
        <v>59.596968438104497</v>
      </c>
      <c r="AD64" s="24">
        <v>0</v>
      </c>
      <c r="AE64" s="24">
        <v>0</v>
      </c>
      <c r="AF64" s="24">
        <v>386.98105233401753</v>
      </c>
      <c r="AG64" s="24">
        <v>0</v>
      </c>
      <c r="AH64" s="24">
        <v>8.8109183872612823E-2</v>
      </c>
      <c r="AI64" s="24">
        <v>211135.50080018159</v>
      </c>
      <c r="AJ64" s="24">
        <v>2.6053555226311462</v>
      </c>
      <c r="AK64" s="24">
        <v>0.2849561772219697</v>
      </c>
      <c r="AL64" s="24">
        <v>0</v>
      </c>
      <c r="AM64" s="24">
        <v>0</v>
      </c>
      <c r="AN64" s="24">
        <v>72138.869410342872</v>
      </c>
      <c r="AO64" s="24">
        <v>0</v>
      </c>
      <c r="AP64" s="24">
        <v>0</v>
      </c>
      <c r="AQ64" s="24">
        <v>497634.99040819803</v>
      </c>
      <c r="AR64" s="24">
        <v>497634.99040819803</v>
      </c>
      <c r="AS64" s="24">
        <v>0</v>
      </c>
      <c r="AT64" s="24">
        <v>9.337950265342192</v>
      </c>
      <c r="AU64" s="24">
        <v>5.6926626531782194</v>
      </c>
      <c r="AV64" s="24">
        <v>38.5211091087385</v>
      </c>
      <c r="AW64" s="24">
        <v>7.6505291535287998E-2</v>
      </c>
      <c r="AX64" s="24">
        <v>198.02562322603785</v>
      </c>
      <c r="AY64" s="24">
        <v>13.228300314716385</v>
      </c>
      <c r="AZ64" s="24">
        <v>0.16762625686290963</v>
      </c>
      <c r="BA64" s="24">
        <v>12.130905889391595</v>
      </c>
      <c r="BB64" s="24">
        <v>2.2231692773551703</v>
      </c>
      <c r="BC64" s="24">
        <v>494.33512594182292</v>
      </c>
      <c r="BD64" s="24">
        <v>0</v>
      </c>
      <c r="BE64" s="24">
        <v>4.9256911169289754</v>
      </c>
      <c r="BF64" s="24">
        <v>81.100648066901798</v>
      </c>
      <c r="BG64" s="24">
        <v>4274.7034938360994</v>
      </c>
      <c r="BH64" s="24">
        <v>17586.176415828846</v>
      </c>
      <c r="BI64" s="24">
        <v>1025905.2832759878</v>
      </c>
      <c r="BJ64" s="24">
        <v>71.705236429954581</v>
      </c>
      <c r="BK64" s="24">
        <v>0.65651972036409356</v>
      </c>
      <c r="BL64" s="24">
        <v>7.7476855874392685</v>
      </c>
      <c r="BM64" s="24">
        <v>10971.60674918853</v>
      </c>
      <c r="BN64" s="24">
        <v>3300.7839617563909</v>
      </c>
      <c r="BO64" s="24">
        <v>572.9552766022822</v>
      </c>
      <c r="BP64" s="24">
        <v>8220.4034706074053</v>
      </c>
      <c r="BQ64" s="24">
        <v>0</v>
      </c>
      <c r="BR64" s="25">
        <v>2423522.6503807749</v>
      </c>
      <c r="BS64" s="26">
        <v>111898866.96026249</v>
      </c>
      <c r="BT64" s="26">
        <v>2831205.2352456097</v>
      </c>
      <c r="BU64" s="26">
        <v>3877429.3144985228</v>
      </c>
      <c r="BV64" s="26">
        <v>38428872.910372399</v>
      </c>
      <c r="BW64" s="26">
        <v>15615178.257910075</v>
      </c>
      <c r="BX64" s="27">
        <v>164896694.04929206</v>
      </c>
      <c r="BY64" s="26">
        <v>0</v>
      </c>
      <c r="BZ64" s="26">
        <v>0</v>
      </c>
      <c r="CA64" s="27">
        <v>0</v>
      </c>
      <c r="CB64" s="26">
        <v>0</v>
      </c>
      <c r="CC64" s="26">
        <v>294515.7950807272</v>
      </c>
      <c r="CD64" s="26">
        <v>3877429.3144985228</v>
      </c>
      <c r="CE64" s="27">
        <v>4171945.1095792502</v>
      </c>
      <c r="CF64" s="25">
        <v>169068639.15887129</v>
      </c>
      <c r="CG64" s="26">
        <v>7186947.1282375017</v>
      </c>
      <c r="CH64" s="25">
        <v>164305214.68101454</v>
      </c>
      <c r="CI64" s="37" t="s">
        <v>163</v>
      </c>
      <c r="CJ64" s="22" t="s">
        <v>15</v>
      </c>
      <c r="CK64" s="2"/>
      <c r="CL64" s="2"/>
      <c r="CM64" s="30"/>
    </row>
    <row r="65" spans="1:91" ht="32" customHeight="1" x14ac:dyDescent="0.2">
      <c r="A65" s="35">
        <v>90</v>
      </c>
      <c r="B65" s="36" t="s">
        <v>84</v>
      </c>
      <c r="C65" s="24">
        <v>1.960660875825198E-2</v>
      </c>
      <c r="D65" s="24">
        <v>0</v>
      </c>
      <c r="E65" s="24">
        <v>0</v>
      </c>
      <c r="F65" s="24">
        <v>0</v>
      </c>
      <c r="G65" s="289">
        <v>0</v>
      </c>
      <c r="H65" s="24">
        <v>0</v>
      </c>
      <c r="I65" s="24">
        <v>0</v>
      </c>
      <c r="J65" s="24">
        <v>0</v>
      </c>
      <c r="K65" s="24">
        <v>0</v>
      </c>
      <c r="L65" s="24">
        <v>0</v>
      </c>
      <c r="M65" s="24">
        <v>0</v>
      </c>
      <c r="N65" s="24">
        <v>0</v>
      </c>
      <c r="O65" s="24">
        <v>0</v>
      </c>
      <c r="P65" s="70">
        <v>0</v>
      </c>
      <c r="Q65" s="24">
        <v>1.3709703551414172</v>
      </c>
      <c r="R65" s="24">
        <v>1.1948496937301347</v>
      </c>
      <c r="S65" s="24">
        <v>8.4059397013838355E-2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0</v>
      </c>
      <c r="Z65" s="24">
        <v>0</v>
      </c>
      <c r="AA65" s="24">
        <v>0</v>
      </c>
      <c r="AB65" s="24">
        <v>0</v>
      </c>
      <c r="AC65" s="24">
        <v>0</v>
      </c>
      <c r="AD65" s="24">
        <v>0</v>
      </c>
      <c r="AE65" s="24">
        <v>0</v>
      </c>
      <c r="AF65" s="24">
        <v>16.32953520771736</v>
      </c>
      <c r="AG65" s="24">
        <v>0</v>
      </c>
      <c r="AH65" s="24">
        <v>3.7179650308284554E-3</v>
      </c>
      <c r="AI65" s="24">
        <v>738.01626964064189</v>
      </c>
      <c r="AJ65" s="24">
        <v>0.10993883157541436</v>
      </c>
      <c r="AK65" s="24">
        <v>1.2024366310798989E-2</v>
      </c>
      <c r="AL65" s="24">
        <v>0</v>
      </c>
      <c r="AM65" s="24">
        <v>0</v>
      </c>
      <c r="AN65" s="24">
        <v>3044.0617202734484</v>
      </c>
      <c r="AO65" s="24">
        <v>0</v>
      </c>
      <c r="AP65" s="24">
        <v>0</v>
      </c>
      <c r="AQ65" s="24">
        <v>0</v>
      </c>
      <c r="AR65" s="24">
        <v>0</v>
      </c>
      <c r="AS65" s="24">
        <v>0</v>
      </c>
      <c r="AT65" s="24">
        <v>0.39403579763436097</v>
      </c>
      <c r="AU65" s="24">
        <v>0.24021469438895299</v>
      </c>
      <c r="AV65" s="24">
        <v>1.6254847715089853</v>
      </c>
      <c r="AW65" s="24">
        <v>3.2283127149694479E-3</v>
      </c>
      <c r="AX65" s="24">
        <v>8.3561362164798219</v>
      </c>
      <c r="AY65" s="24">
        <v>0.5581978611732441</v>
      </c>
      <c r="AZ65" s="24">
        <v>7.0733666329950637E-3</v>
      </c>
      <c r="BA65" s="24">
        <v>0.51189083710317007</v>
      </c>
      <c r="BB65" s="24">
        <v>9.3811624027400911E-2</v>
      </c>
      <c r="BC65" s="24">
        <v>20.859581612049901</v>
      </c>
      <c r="BD65" s="24">
        <v>0</v>
      </c>
      <c r="BE65" s="24">
        <v>0.20785060671861164</v>
      </c>
      <c r="BF65" s="24">
        <v>3.4222241114639504</v>
      </c>
      <c r="BG65" s="24">
        <v>180.38072092712864</v>
      </c>
      <c r="BH65" s="24">
        <v>709.18552503545504</v>
      </c>
      <c r="BI65" s="24">
        <v>20.189350698201689</v>
      </c>
      <c r="BJ65" s="24">
        <v>6.6319784795218023E-2</v>
      </c>
      <c r="BK65" s="24">
        <v>6.0721153344073958E-4</v>
      </c>
      <c r="BL65" s="24">
        <v>7.1657924358413654E-3</v>
      </c>
      <c r="BM65" s="24">
        <v>409.13163762174918</v>
      </c>
      <c r="BN65" s="24">
        <v>26.135270153895668</v>
      </c>
      <c r="BO65" s="24">
        <v>5.3126564411328143</v>
      </c>
      <c r="BP65" s="24">
        <v>93.595668272589137</v>
      </c>
      <c r="BQ65" s="24">
        <v>0</v>
      </c>
      <c r="BR65" s="25">
        <v>5281.4873440901811</v>
      </c>
      <c r="BS65" s="26">
        <v>108043.58375424368</v>
      </c>
      <c r="BT65" s="26">
        <v>9785.072151080305</v>
      </c>
      <c r="BU65" s="26">
        <v>23734.777834948229</v>
      </c>
      <c r="BV65" s="26">
        <v>104240.96920817364</v>
      </c>
      <c r="BW65" s="26">
        <v>0</v>
      </c>
      <c r="BX65" s="27">
        <v>198334.84727854939</v>
      </c>
      <c r="BY65" s="26">
        <v>0</v>
      </c>
      <c r="BZ65" s="26">
        <v>0</v>
      </c>
      <c r="CA65" s="27">
        <v>0</v>
      </c>
      <c r="CB65" s="26">
        <v>0</v>
      </c>
      <c r="CC65" s="26">
        <v>12427.755870715131</v>
      </c>
      <c r="CD65" s="26">
        <v>23734.777834948229</v>
      </c>
      <c r="CE65" s="27">
        <v>36162.533705663358</v>
      </c>
      <c r="CF65" s="25">
        <v>234497.38098421274</v>
      </c>
      <c r="CG65" s="26">
        <v>14318.936111910913</v>
      </c>
      <c r="CH65" s="25">
        <v>225459.93221639202</v>
      </c>
      <c r="CI65" s="37" t="s">
        <v>164</v>
      </c>
      <c r="CJ65" s="35">
        <v>90</v>
      </c>
      <c r="CM65" s="30"/>
    </row>
    <row r="66" spans="1:91" ht="32" customHeight="1" x14ac:dyDescent="0.2">
      <c r="A66" s="35">
        <v>91</v>
      </c>
      <c r="B66" s="36" t="s">
        <v>85</v>
      </c>
      <c r="C66" s="24">
        <v>6.1182350249895114E-4</v>
      </c>
      <c r="D66" s="24">
        <v>0</v>
      </c>
      <c r="E66" s="24">
        <v>0</v>
      </c>
      <c r="F66" s="24">
        <v>0</v>
      </c>
      <c r="G66" s="289">
        <v>0</v>
      </c>
      <c r="H66" s="24">
        <v>0</v>
      </c>
      <c r="I66" s="24">
        <v>0</v>
      </c>
      <c r="J66" s="24">
        <v>0</v>
      </c>
      <c r="K66" s="24">
        <v>0</v>
      </c>
      <c r="L66" s="24">
        <v>0</v>
      </c>
      <c r="M66" s="24">
        <v>0</v>
      </c>
      <c r="N66" s="24">
        <v>0</v>
      </c>
      <c r="O66" s="24">
        <v>0</v>
      </c>
      <c r="P66" s="70">
        <v>0</v>
      </c>
      <c r="Q66" s="24">
        <v>4.2781079321115342E-2</v>
      </c>
      <c r="R66" s="24">
        <v>3.7285240583489122E-2</v>
      </c>
      <c r="S66" s="24">
        <v>2.6230703806598339E-3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0</v>
      </c>
      <c r="Z66" s="24">
        <v>0</v>
      </c>
      <c r="AA66" s="24">
        <v>0</v>
      </c>
      <c r="AB66" s="24">
        <v>0</v>
      </c>
      <c r="AC66" s="24">
        <v>0</v>
      </c>
      <c r="AD66" s="24">
        <v>0</v>
      </c>
      <c r="AE66" s="24">
        <v>0</v>
      </c>
      <c r="AF66" s="24">
        <v>0.50956254333175655</v>
      </c>
      <c r="AG66" s="24">
        <v>0</v>
      </c>
      <c r="AH66" s="24">
        <v>1.1601896153370735E-4</v>
      </c>
      <c r="AI66" s="24">
        <v>23.029770449349463</v>
      </c>
      <c r="AJ66" s="24">
        <v>3.430637180782359E-3</v>
      </c>
      <c r="AK66" s="24">
        <v>3.7521990683407304E-4</v>
      </c>
      <c r="AL66" s="24">
        <v>0</v>
      </c>
      <c r="AM66" s="24">
        <v>0</v>
      </c>
      <c r="AN66" s="24">
        <v>94.989833605815647</v>
      </c>
      <c r="AO66" s="24">
        <v>0</v>
      </c>
      <c r="AP66" s="24">
        <v>0</v>
      </c>
      <c r="AQ66" s="24">
        <v>0</v>
      </c>
      <c r="AR66" s="24">
        <v>0</v>
      </c>
      <c r="AS66" s="24">
        <v>0</v>
      </c>
      <c r="AT66" s="24">
        <v>1.2295872518859609E-2</v>
      </c>
      <c r="AU66" s="24">
        <v>7.4958906705836319E-3</v>
      </c>
      <c r="AV66" s="24">
        <v>5.0723192288149664E-2</v>
      </c>
      <c r="AW66" s="24">
        <v>1.0073937909345013E-4</v>
      </c>
      <c r="AX66" s="24">
        <v>0.26075292215811108</v>
      </c>
      <c r="AY66" s="24">
        <v>1.7418543651344091E-2</v>
      </c>
      <c r="AZ66" s="24">
        <v>2.2072414466050083E-4</v>
      </c>
      <c r="BA66" s="24">
        <v>1.5973534674718709E-2</v>
      </c>
      <c r="BB66" s="24">
        <v>2.9273882646024866E-3</v>
      </c>
      <c r="BC66" s="24">
        <v>0.65092247414666682</v>
      </c>
      <c r="BD66" s="24">
        <v>0</v>
      </c>
      <c r="BE66" s="24">
        <v>6.4859705095911026E-3</v>
      </c>
      <c r="BF66" s="24">
        <v>0.10679037706258114</v>
      </c>
      <c r="BG66" s="24">
        <v>5.6287737375528115</v>
      </c>
      <c r="BH66" s="24">
        <v>22.130108128267334</v>
      </c>
      <c r="BI66" s="24">
        <v>0.63000794322243969</v>
      </c>
      <c r="BJ66" s="24">
        <v>2.069506436257593E-3</v>
      </c>
      <c r="BK66" s="24">
        <v>1.8948013485050728E-5</v>
      </c>
      <c r="BL66" s="24">
        <v>2.2360828842630642E-4</v>
      </c>
      <c r="BM66" s="24">
        <v>12.766937648384383</v>
      </c>
      <c r="BN66" s="24">
        <v>0.8155501403363723</v>
      </c>
      <c r="BO66" s="24">
        <v>0.16578124812224182</v>
      </c>
      <c r="BP66" s="24">
        <v>2.9206493732458596</v>
      </c>
      <c r="BQ66" s="24">
        <v>0</v>
      </c>
      <c r="BR66" s="25">
        <v>164.80861759967235</v>
      </c>
      <c r="BS66" s="26">
        <v>3371.4960424881542</v>
      </c>
      <c r="BT66" s="26">
        <v>305.34281524637527</v>
      </c>
      <c r="BU66" s="26">
        <v>740.64286614077128</v>
      </c>
      <c r="BV66" s="26">
        <v>3252.8355959562755</v>
      </c>
      <c r="BW66" s="26">
        <v>0</v>
      </c>
      <c r="BX66" s="27">
        <v>6189.0315875500337</v>
      </c>
      <c r="BY66" s="26">
        <v>0</v>
      </c>
      <c r="BZ66" s="26">
        <v>0</v>
      </c>
      <c r="CA66" s="27">
        <v>0</v>
      </c>
      <c r="CB66" s="26">
        <v>0</v>
      </c>
      <c r="CC66" s="26">
        <v>387.80766315962984</v>
      </c>
      <c r="CD66" s="26">
        <v>740.64286614077128</v>
      </c>
      <c r="CE66" s="27">
        <v>1128.4505293004011</v>
      </c>
      <c r="CF66" s="25">
        <v>7317.482116850435</v>
      </c>
      <c r="CG66" s="26">
        <v>446.82187277087792</v>
      </c>
      <c r="CH66" s="25">
        <v>7035.4688616792291</v>
      </c>
      <c r="CI66" s="37" t="s">
        <v>165</v>
      </c>
      <c r="CJ66" s="35">
        <v>91</v>
      </c>
      <c r="CM66" s="30"/>
    </row>
    <row r="67" spans="1:91" x14ac:dyDescent="0.2">
      <c r="A67" s="35">
        <v>92</v>
      </c>
      <c r="B67" s="36" t="s">
        <v>86</v>
      </c>
      <c r="C67" s="24">
        <v>2.4091309645122912E-2</v>
      </c>
      <c r="D67" s="24">
        <v>0</v>
      </c>
      <c r="E67" s="24">
        <v>0</v>
      </c>
      <c r="F67" s="24">
        <v>0</v>
      </c>
      <c r="G67" s="289">
        <v>0</v>
      </c>
      <c r="H67" s="24">
        <v>0</v>
      </c>
      <c r="I67" s="24">
        <v>0</v>
      </c>
      <c r="J67" s="24">
        <v>0</v>
      </c>
      <c r="K67" s="24">
        <v>0</v>
      </c>
      <c r="L67" s="24">
        <v>0</v>
      </c>
      <c r="M67" s="24">
        <v>0</v>
      </c>
      <c r="N67" s="24">
        <v>0</v>
      </c>
      <c r="O67" s="24">
        <v>0</v>
      </c>
      <c r="P67" s="70">
        <v>0</v>
      </c>
      <c r="Q67" s="24">
        <v>1.6845580868795105</v>
      </c>
      <c r="R67" s="24">
        <v>1.4681526165975942</v>
      </c>
      <c r="S67" s="24">
        <v>0.10328665130273387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0</v>
      </c>
      <c r="Z67" s="24">
        <v>0</v>
      </c>
      <c r="AA67" s="24">
        <v>0</v>
      </c>
      <c r="AB67" s="24">
        <v>0</v>
      </c>
      <c r="AC67" s="24">
        <v>0</v>
      </c>
      <c r="AD67" s="24">
        <v>0</v>
      </c>
      <c r="AE67" s="24">
        <v>0</v>
      </c>
      <c r="AF67" s="24">
        <v>20.064657478539335</v>
      </c>
      <c r="AG67" s="24">
        <v>0</v>
      </c>
      <c r="AH67" s="24">
        <v>4.5683905825748168E-3</v>
      </c>
      <c r="AI67" s="24">
        <v>906.82578993004699</v>
      </c>
      <c r="AJ67" s="24">
        <v>0.13508559619682314</v>
      </c>
      <c r="AK67" s="24">
        <v>1.4774749455737559E-2</v>
      </c>
      <c r="AL67" s="24">
        <v>0</v>
      </c>
      <c r="AM67" s="24">
        <v>0</v>
      </c>
      <c r="AN67" s="24">
        <v>3740.3425745978602</v>
      </c>
      <c r="AO67" s="24">
        <v>0</v>
      </c>
      <c r="AP67" s="24">
        <v>0</v>
      </c>
      <c r="AQ67" s="24">
        <v>0</v>
      </c>
      <c r="AR67" s="24">
        <v>0</v>
      </c>
      <c r="AS67" s="24">
        <v>0</v>
      </c>
      <c r="AT67" s="24">
        <v>0.48416523882933393</v>
      </c>
      <c r="AU67" s="24">
        <v>0.29515999707992241</v>
      </c>
      <c r="AV67" s="24">
        <v>1.9972886406157946</v>
      </c>
      <c r="AW67" s="24">
        <v>3.9667380629953642E-3</v>
      </c>
      <c r="AX67" s="24">
        <v>10.267469887841479</v>
      </c>
      <c r="AY67" s="24">
        <v>0.68587677158142479</v>
      </c>
      <c r="AZ67" s="24">
        <v>8.6912871006947709E-3</v>
      </c>
      <c r="BA67" s="24">
        <v>0.62897774996215661</v>
      </c>
      <c r="BB67" s="24">
        <v>0.11526954562220078</v>
      </c>
      <c r="BC67" s="24">
        <v>25.63088017309984</v>
      </c>
      <c r="BD67" s="24">
        <v>0</v>
      </c>
      <c r="BE67" s="24">
        <v>0.25539313749386866</v>
      </c>
      <c r="BF67" s="24">
        <v>4.2050036169352358</v>
      </c>
      <c r="BG67" s="24">
        <v>221.63995086794347</v>
      </c>
      <c r="BH67" s="24">
        <v>871.40046961346309</v>
      </c>
      <c r="BI67" s="24">
        <v>24.807344564349798</v>
      </c>
      <c r="BJ67" s="24">
        <v>8.1489384054091604E-2</v>
      </c>
      <c r="BK67" s="24">
        <v>7.4610154425884328E-4</v>
      </c>
      <c r="BL67" s="24">
        <v>8.8048538405131587E-3</v>
      </c>
      <c r="BM67" s="24">
        <v>502.71401286637047</v>
      </c>
      <c r="BN67" s="24">
        <v>32.113298821829218</v>
      </c>
      <c r="BO67" s="24">
        <v>6.5278423688451337</v>
      </c>
      <c r="BP67" s="24">
        <v>115.00419341249612</v>
      </c>
      <c r="BQ67" s="24">
        <v>0</v>
      </c>
      <c r="BR67" s="25">
        <v>6489.5438350460699</v>
      </c>
      <c r="BS67" s="26">
        <v>132756.84048608094</v>
      </c>
      <c r="BT67" s="26">
        <v>12023.252261425827</v>
      </c>
      <c r="BU67" s="26">
        <v>29163.731945193187</v>
      </c>
      <c r="BV67" s="26">
        <v>128084.43815378752</v>
      </c>
      <c r="BW67" s="26">
        <v>0</v>
      </c>
      <c r="BX67" s="27">
        <v>243700.79895610112</v>
      </c>
      <c r="BY67" s="26">
        <v>0</v>
      </c>
      <c r="BZ67" s="26">
        <v>0</v>
      </c>
      <c r="CA67" s="27">
        <v>0</v>
      </c>
      <c r="CB67" s="26">
        <v>0</v>
      </c>
      <c r="CC67" s="26">
        <v>15270.407981664917</v>
      </c>
      <c r="CD67" s="26">
        <v>29163.731945193187</v>
      </c>
      <c r="CE67" s="27">
        <v>44434.139926858101</v>
      </c>
      <c r="CF67" s="25">
        <v>288134.93888295919</v>
      </c>
      <c r="CG67" s="26">
        <v>17594.165718005232</v>
      </c>
      <c r="CH67" s="25">
        <v>277030.31700000004</v>
      </c>
      <c r="CI67" s="37" t="s">
        <v>166</v>
      </c>
      <c r="CJ67" s="35">
        <v>92</v>
      </c>
      <c r="CM67" s="30"/>
    </row>
    <row r="68" spans="1:91" ht="32" customHeight="1" x14ac:dyDescent="0.2">
      <c r="A68" s="35">
        <v>93</v>
      </c>
      <c r="B68" s="36" t="s">
        <v>87</v>
      </c>
      <c r="C68" s="24">
        <v>3.8113427450370678</v>
      </c>
      <c r="D68" s="24">
        <v>0</v>
      </c>
      <c r="E68" s="24">
        <v>0</v>
      </c>
      <c r="F68" s="24">
        <v>0</v>
      </c>
      <c r="G68" s="289">
        <v>0</v>
      </c>
      <c r="H68" s="24">
        <v>0</v>
      </c>
      <c r="I68" s="24">
        <v>0</v>
      </c>
      <c r="J68" s="24">
        <v>0</v>
      </c>
      <c r="K68" s="24">
        <v>0</v>
      </c>
      <c r="L68" s="24">
        <v>0</v>
      </c>
      <c r="M68" s="24">
        <v>0</v>
      </c>
      <c r="N68" s="24">
        <v>0</v>
      </c>
      <c r="O68" s="24">
        <v>0</v>
      </c>
      <c r="P68" s="70">
        <v>0</v>
      </c>
      <c r="Q68" s="24">
        <v>266.50391106161834</v>
      </c>
      <c r="R68" s="24">
        <v>232.26768931630988</v>
      </c>
      <c r="S68" s="24">
        <v>16.340366501475835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v>0</v>
      </c>
      <c r="AA68" s="24">
        <v>0</v>
      </c>
      <c r="AB68" s="24">
        <v>0</v>
      </c>
      <c r="AC68" s="24">
        <v>0</v>
      </c>
      <c r="AD68" s="24">
        <v>0</v>
      </c>
      <c r="AE68" s="24">
        <v>0</v>
      </c>
      <c r="AF68" s="24">
        <v>3174.3100661182207</v>
      </c>
      <c r="AG68" s="24">
        <v>0</v>
      </c>
      <c r="AH68" s="24">
        <v>0.72273789013031298</v>
      </c>
      <c r="AI68" s="24">
        <v>143463.51221142834</v>
      </c>
      <c r="AJ68" s="24">
        <v>21.3710883554227</v>
      </c>
      <c r="AK68" s="24">
        <v>2.3374251951165941</v>
      </c>
      <c r="AL68" s="24">
        <v>0</v>
      </c>
      <c r="AM68" s="24">
        <v>0</v>
      </c>
      <c r="AN68" s="24">
        <v>591737.34203913552</v>
      </c>
      <c r="AO68" s="24">
        <v>0</v>
      </c>
      <c r="AP68" s="24">
        <v>0</v>
      </c>
      <c r="AQ68" s="24">
        <v>0</v>
      </c>
      <c r="AR68" s="24">
        <v>0</v>
      </c>
      <c r="AS68" s="24">
        <v>0</v>
      </c>
      <c r="AT68" s="24">
        <v>76.59690143847746</v>
      </c>
      <c r="AU68" s="24">
        <v>46.695506805851977</v>
      </c>
      <c r="AV68" s="24">
        <v>315.97915108351174</v>
      </c>
      <c r="AW68" s="24">
        <v>0.62755402510549729</v>
      </c>
      <c r="AX68" s="24">
        <v>1624.3553149811139</v>
      </c>
      <c r="AY68" s="24">
        <v>108.50848276260128</v>
      </c>
      <c r="AZ68" s="24">
        <v>1.3749968152093901</v>
      </c>
      <c r="BA68" s="24">
        <v>99.506827126490734</v>
      </c>
      <c r="BB68" s="24">
        <v>18.236108908252454</v>
      </c>
      <c r="BC68" s="24">
        <v>4054.9090371446305</v>
      </c>
      <c r="BD68" s="24">
        <v>0</v>
      </c>
      <c r="BE68" s="24">
        <v>40.404228581096071</v>
      </c>
      <c r="BF68" s="24">
        <v>665.24860060919173</v>
      </c>
      <c r="BG68" s="24">
        <v>35064.337771355669</v>
      </c>
      <c r="BH68" s="24">
        <v>137859.08308042178</v>
      </c>
      <c r="BI68" s="24">
        <v>3924.6223688843779</v>
      </c>
      <c r="BJ68" s="24">
        <v>12.891950553421928</v>
      </c>
      <c r="BK68" s="24">
        <v>0.11803628568393616</v>
      </c>
      <c r="BL68" s="24">
        <v>1.392963533343867</v>
      </c>
      <c r="BM68" s="24">
        <v>79531.392605490575</v>
      </c>
      <c r="BN68" s="24">
        <v>5080.4539183100833</v>
      </c>
      <c r="BO68" s="24">
        <v>1032.7310976337978</v>
      </c>
      <c r="BP68" s="24">
        <v>18194.129114117761</v>
      </c>
      <c r="BQ68" s="24">
        <v>0</v>
      </c>
      <c r="BR68" s="25">
        <v>1026672.1144946151</v>
      </c>
      <c r="BS68" s="26">
        <v>21002669.77154975</v>
      </c>
      <c r="BT68" s="26">
        <v>1902127.1966263854</v>
      </c>
      <c r="BU68" s="26">
        <v>4613820.4939813158</v>
      </c>
      <c r="BV68" s="26">
        <v>20263476.80141224</v>
      </c>
      <c r="BW68" s="26">
        <v>0</v>
      </c>
      <c r="BX68" s="27">
        <v>38554453.275607057</v>
      </c>
      <c r="BY68" s="26">
        <v>0</v>
      </c>
      <c r="BZ68" s="26">
        <v>0</v>
      </c>
      <c r="CA68" s="27">
        <v>0</v>
      </c>
      <c r="CB68" s="26">
        <v>0</v>
      </c>
      <c r="CC68" s="26">
        <v>2415840.3811167227</v>
      </c>
      <c r="CD68" s="26">
        <v>4613820.4939813158</v>
      </c>
      <c r="CE68" s="27">
        <v>7029660.8750980385</v>
      </c>
      <c r="CF68" s="25">
        <v>45584114.150705099</v>
      </c>
      <c r="CG68" s="26">
        <v>2783468.2651997027</v>
      </c>
      <c r="CH68" s="25">
        <v>43827318.000000007</v>
      </c>
      <c r="CI68" s="37" t="s">
        <v>167</v>
      </c>
      <c r="CJ68" s="35">
        <v>93</v>
      </c>
      <c r="CM68" s="30"/>
    </row>
    <row r="69" spans="1:91" ht="32" customHeight="1" x14ac:dyDescent="0.2">
      <c r="A69" s="35">
        <v>94</v>
      </c>
      <c r="B69" s="36" t="s">
        <v>88</v>
      </c>
      <c r="C69" s="24">
        <v>69.626229361506788</v>
      </c>
      <c r="D69" s="24">
        <v>0</v>
      </c>
      <c r="E69" s="24">
        <v>0.40554240483923398</v>
      </c>
      <c r="F69" s="24">
        <v>9.5502057938009752</v>
      </c>
      <c r="G69" s="289">
        <v>13.522555123990307</v>
      </c>
      <c r="H69" s="24">
        <v>1.3064017601367501</v>
      </c>
      <c r="I69" s="24">
        <v>6.6514073795526846E-2</v>
      </c>
      <c r="J69" s="24">
        <v>232.33600309313064</v>
      </c>
      <c r="K69" s="24">
        <v>506.45781447859963</v>
      </c>
      <c r="L69" s="24">
        <v>277.36369984444985</v>
      </c>
      <c r="M69" s="24">
        <v>9.5293934684419934</v>
      </c>
      <c r="N69" s="24">
        <v>2414.2926630910724</v>
      </c>
      <c r="O69" s="24">
        <v>0.21573601868978293</v>
      </c>
      <c r="P69" s="70">
        <v>940393.72928944335</v>
      </c>
      <c r="Q69" s="24">
        <v>3020.3478054239504</v>
      </c>
      <c r="R69" s="24">
        <v>2632.350181124099</v>
      </c>
      <c r="S69" s="24">
        <v>563.14188418685444</v>
      </c>
      <c r="T69" s="24">
        <v>0.87662471073333326</v>
      </c>
      <c r="U69" s="24">
        <v>0.17874657243365757</v>
      </c>
      <c r="V69" s="24">
        <v>4.2734548290771092E-2</v>
      </c>
      <c r="W69" s="24">
        <v>2.9890423903770662E-2</v>
      </c>
      <c r="X69" s="24">
        <v>8.1158998052285186E-2</v>
      </c>
      <c r="Y69" s="24">
        <v>5.4019701474135075E-2</v>
      </c>
      <c r="Z69" s="24">
        <v>1396.8153399609648</v>
      </c>
      <c r="AA69" s="24">
        <v>9.3107908184299811E-3</v>
      </c>
      <c r="AB69" s="24">
        <v>0.6046312506007463</v>
      </c>
      <c r="AC69" s="24">
        <v>1.0083646830503645E-2</v>
      </c>
      <c r="AD69" s="24">
        <v>1.1197009800647012E-3</v>
      </c>
      <c r="AE69" s="24">
        <v>79.899083354324148</v>
      </c>
      <c r="AF69" s="24">
        <v>22169.979583866378</v>
      </c>
      <c r="AG69" s="24">
        <v>0.489691423706759</v>
      </c>
      <c r="AH69" s="24">
        <v>180780.08373480235</v>
      </c>
      <c r="AI69" s="24">
        <v>986626.4645150688</v>
      </c>
      <c r="AJ69" s="24">
        <v>798.97419882464965</v>
      </c>
      <c r="AK69" s="24">
        <v>238122.94833829888</v>
      </c>
      <c r="AL69" s="24">
        <v>11.882560376613196</v>
      </c>
      <c r="AM69" s="24">
        <v>2.8042293752972687</v>
      </c>
      <c r="AN69" s="24">
        <v>0.62150114049795269</v>
      </c>
      <c r="AO69" s="24">
        <v>249.26658672962662</v>
      </c>
      <c r="AP69" s="24">
        <v>539507.60621320177</v>
      </c>
      <c r="AQ69" s="24">
        <v>10041.691036004311</v>
      </c>
      <c r="AR69" s="24">
        <v>10041.691036004311</v>
      </c>
      <c r="AS69" s="24">
        <v>149.32809534170002</v>
      </c>
      <c r="AT69" s="24">
        <v>2546.5359400747675</v>
      </c>
      <c r="AU69" s="24">
        <v>1548.3534316209041</v>
      </c>
      <c r="AV69" s="24">
        <v>10461.58317239626</v>
      </c>
      <c r="AW69" s="24">
        <v>21.289651146923081</v>
      </c>
      <c r="AX69" s="24">
        <v>4415.5882956214573</v>
      </c>
      <c r="AY69" s="24">
        <v>3598.9254083924852</v>
      </c>
      <c r="AZ69" s="24">
        <v>45.710400976534522</v>
      </c>
      <c r="BA69" s="24">
        <v>799.58515198403131</v>
      </c>
      <c r="BB69" s="24">
        <v>145.08606169507996</v>
      </c>
      <c r="BC69" s="24">
        <v>28071.220727306732</v>
      </c>
      <c r="BD69" s="24">
        <v>1.1837297006667074</v>
      </c>
      <c r="BE69" s="24">
        <v>317.40417041887724</v>
      </c>
      <c r="BF69" s="24">
        <v>5222.4211152741291</v>
      </c>
      <c r="BG69" s="24">
        <v>1235.6199204188963</v>
      </c>
      <c r="BH69" s="24">
        <v>4852.3723519187415</v>
      </c>
      <c r="BI69" s="24">
        <v>17678.249429605308</v>
      </c>
      <c r="BJ69" s="24">
        <v>550.54973684523179</v>
      </c>
      <c r="BK69" s="24">
        <v>5.1005174154052328</v>
      </c>
      <c r="BL69" s="24">
        <v>66.060359237808157</v>
      </c>
      <c r="BM69" s="24">
        <v>11493.62138798613</v>
      </c>
      <c r="BN69" s="24">
        <v>222191.08296197871</v>
      </c>
      <c r="BO69" s="24">
        <v>36868.958321322192</v>
      </c>
      <c r="BP69" s="24">
        <v>2783.4982997660936</v>
      </c>
      <c r="BQ69" s="24">
        <v>0</v>
      </c>
      <c r="BR69" s="25">
        <v>3295046.6765259132</v>
      </c>
      <c r="BS69" s="26">
        <v>1694881.9900962014</v>
      </c>
      <c r="BT69" s="26">
        <v>0</v>
      </c>
      <c r="BU69" s="26">
        <v>0</v>
      </c>
      <c r="BV69" s="26">
        <v>0</v>
      </c>
      <c r="BW69" s="26">
        <v>11043040.292463791</v>
      </c>
      <c r="BX69" s="27">
        <v>12737922.282559993</v>
      </c>
      <c r="BY69" s="26">
        <v>0</v>
      </c>
      <c r="BZ69" s="26">
        <v>0</v>
      </c>
      <c r="CA69" s="27">
        <v>0</v>
      </c>
      <c r="CB69" s="26">
        <v>0</v>
      </c>
      <c r="CC69" s="26">
        <v>0</v>
      </c>
      <c r="CD69" s="26">
        <v>0</v>
      </c>
      <c r="CE69" s="27">
        <v>0</v>
      </c>
      <c r="CF69" s="25">
        <v>12737922.282559993</v>
      </c>
      <c r="CG69" s="26">
        <v>0</v>
      </c>
      <c r="CH69" s="25">
        <v>16032968.959085906</v>
      </c>
      <c r="CI69" s="37" t="s">
        <v>168</v>
      </c>
      <c r="CJ69" s="35">
        <v>94</v>
      </c>
      <c r="CM69" s="30"/>
    </row>
    <row r="70" spans="1:91" ht="32" customHeight="1" x14ac:dyDescent="0.2">
      <c r="A70" s="44">
        <v>95</v>
      </c>
      <c r="B70" s="45" t="s">
        <v>89</v>
      </c>
      <c r="C70" s="24">
        <v>115966.00558824232</v>
      </c>
      <c r="D70" s="24">
        <v>0</v>
      </c>
      <c r="E70" s="24">
        <v>149739.19313767416</v>
      </c>
      <c r="F70" s="24">
        <v>33899.569086680654</v>
      </c>
      <c r="G70" s="289">
        <v>249635.42283277825</v>
      </c>
      <c r="H70" s="24">
        <v>68986.397191251832</v>
      </c>
      <c r="I70" s="24">
        <v>14518.572651329485</v>
      </c>
      <c r="J70" s="24">
        <v>2084.3270241203481</v>
      </c>
      <c r="K70" s="24">
        <v>784.31359050380343</v>
      </c>
      <c r="L70" s="24">
        <v>658.08595053182137</v>
      </c>
      <c r="M70" s="24">
        <v>85.302712095470255</v>
      </c>
      <c r="N70" s="24">
        <v>22559.981087508077</v>
      </c>
      <c r="O70" s="24">
        <v>3626.1370343671852</v>
      </c>
      <c r="P70" s="70">
        <v>35662.722011364509</v>
      </c>
      <c r="Q70" s="24">
        <v>5912.1551383203478</v>
      </c>
      <c r="R70" s="24">
        <v>4842.2235794437356</v>
      </c>
      <c r="S70" s="24">
        <v>3579.6672468536099</v>
      </c>
      <c r="T70" s="24">
        <v>67216.219539893093</v>
      </c>
      <c r="U70" s="24">
        <v>16271.520311425505</v>
      </c>
      <c r="V70" s="24">
        <v>1271.2782747613364</v>
      </c>
      <c r="W70" s="24">
        <v>479.80747472865687</v>
      </c>
      <c r="X70" s="24">
        <v>8771.1818790761554</v>
      </c>
      <c r="Y70" s="24">
        <v>1512.8900279438367</v>
      </c>
      <c r="Z70" s="24">
        <v>1319.1536270634278</v>
      </c>
      <c r="AA70" s="24">
        <v>214.14739041768576</v>
      </c>
      <c r="AB70" s="24">
        <v>2910.1997164317081</v>
      </c>
      <c r="AC70" s="24">
        <v>380.25236156560533</v>
      </c>
      <c r="AD70" s="24">
        <v>51.305946191989371</v>
      </c>
      <c r="AE70" s="24">
        <v>10153.774159866927</v>
      </c>
      <c r="AF70" s="24">
        <v>63332.045911130866</v>
      </c>
      <c r="AG70" s="24">
        <v>1880798.5974741131</v>
      </c>
      <c r="AH70" s="24">
        <v>254109.29453237387</v>
      </c>
      <c r="AI70" s="24">
        <v>1414847.359601937</v>
      </c>
      <c r="AJ70" s="24">
        <v>83205.436587376971</v>
      </c>
      <c r="AK70" s="24">
        <v>124964.26244746553</v>
      </c>
      <c r="AL70" s="24">
        <v>137754.97080919897</v>
      </c>
      <c r="AM70" s="24">
        <v>32509.536959447552</v>
      </c>
      <c r="AN70" s="24">
        <v>5112.4554358091409</v>
      </c>
      <c r="AO70" s="24">
        <v>2887288.0644881334</v>
      </c>
      <c r="AP70" s="24">
        <v>275794.30273830844</v>
      </c>
      <c r="AQ70" s="24">
        <v>20528.264372167017</v>
      </c>
      <c r="AR70" s="24">
        <v>20528.264372167017</v>
      </c>
      <c r="AS70" s="24">
        <v>324975.80027920089</v>
      </c>
      <c r="AT70" s="24">
        <v>6873.8157865506982</v>
      </c>
      <c r="AU70" s="24">
        <v>941.68143739907828</v>
      </c>
      <c r="AV70" s="24">
        <v>7904.9672012420597</v>
      </c>
      <c r="AW70" s="24">
        <v>153.92438999486765</v>
      </c>
      <c r="AX70" s="24">
        <v>5640.2686412966714</v>
      </c>
      <c r="AY70" s="24">
        <v>20812.737301962767</v>
      </c>
      <c r="AZ70" s="24">
        <v>62.371511667671633</v>
      </c>
      <c r="BA70" s="24">
        <v>18313.651032623191</v>
      </c>
      <c r="BB70" s="24">
        <v>858.29191294439715</v>
      </c>
      <c r="BC70" s="24">
        <v>310787.99489746417</v>
      </c>
      <c r="BD70" s="24">
        <v>2018.419702607916</v>
      </c>
      <c r="BE70" s="24">
        <v>441.03584779265185</v>
      </c>
      <c r="BF70" s="24">
        <v>3581.2460503749408</v>
      </c>
      <c r="BG70" s="24">
        <v>1599825.1395427275</v>
      </c>
      <c r="BH70" s="24">
        <v>326458.62391196314</v>
      </c>
      <c r="BI70" s="24">
        <v>1230577.2325227794</v>
      </c>
      <c r="BJ70" s="24">
        <v>333.53803118225983</v>
      </c>
      <c r="BK70" s="24">
        <v>65.124116200725368</v>
      </c>
      <c r="BL70" s="24">
        <v>653.75899906971756</v>
      </c>
      <c r="BM70" s="24">
        <v>180847.27536080414</v>
      </c>
      <c r="BN70" s="24">
        <v>19898.5024919436</v>
      </c>
      <c r="BO70" s="24">
        <v>5225.6424574514731</v>
      </c>
      <c r="BP70" s="24">
        <v>25156.422933880749</v>
      </c>
      <c r="BQ70" s="24">
        <v>0</v>
      </c>
      <c r="BR70" s="25">
        <v>12116272.128663188</v>
      </c>
      <c r="BS70" s="26">
        <v>9378692.8367057573</v>
      </c>
      <c r="BT70" s="26">
        <v>0</v>
      </c>
      <c r="BU70" s="26">
        <v>0</v>
      </c>
      <c r="BV70" s="26">
        <v>0</v>
      </c>
      <c r="BW70" s="26">
        <v>0</v>
      </c>
      <c r="BX70" s="27">
        <v>9378692.8367057573</v>
      </c>
      <c r="BY70" s="26">
        <v>0</v>
      </c>
      <c r="BZ70" s="26">
        <v>0</v>
      </c>
      <c r="CA70" s="27">
        <v>0</v>
      </c>
      <c r="CB70" s="26">
        <v>0</v>
      </c>
      <c r="CC70" s="26">
        <v>0</v>
      </c>
      <c r="CD70" s="26">
        <v>0</v>
      </c>
      <c r="CE70" s="27">
        <v>0</v>
      </c>
      <c r="CF70" s="25">
        <v>9378692.8367057573</v>
      </c>
      <c r="CG70" s="26">
        <v>0</v>
      </c>
      <c r="CH70" s="25">
        <v>21494964.965368945</v>
      </c>
      <c r="CI70" s="46" t="s">
        <v>169</v>
      </c>
      <c r="CJ70" s="44">
        <v>95</v>
      </c>
      <c r="CM70" s="30"/>
    </row>
    <row r="71" spans="1:91" s="41" customFormat="1" ht="32" customHeight="1" x14ac:dyDescent="0.2">
      <c r="A71" s="47">
        <v>96</v>
      </c>
      <c r="B71" s="48" t="s">
        <v>90</v>
      </c>
      <c r="C71" s="24">
        <v>0</v>
      </c>
      <c r="D71" s="24">
        <v>0</v>
      </c>
      <c r="E71" s="24">
        <v>0</v>
      </c>
      <c r="F71" s="24">
        <v>0</v>
      </c>
      <c r="G71" s="289">
        <v>0</v>
      </c>
      <c r="H71" s="24">
        <v>0</v>
      </c>
      <c r="I71" s="24">
        <v>0</v>
      </c>
      <c r="J71" s="24">
        <v>0</v>
      </c>
      <c r="K71" s="24">
        <v>0</v>
      </c>
      <c r="L71" s="24">
        <v>0</v>
      </c>
      <c r="M71" s="24">
        <v>0</v>
      </c>
      <c r="N71" s="24">
        <v>0</v>
      </c>
      <c r="O71" s="24">
        <v>0</v>
      </c>
      <c r="P71" s="70">
        <v>0</v>
      </c>
      <c r="Q71" s="24">
        <v>0</v>
      </c>
      <c r="R71" s="24">
        <v>0</v>
      </c>
      <c r="S71" s="24">
        <v>0</v>
      </c>
      <c r="T71" s="24">
        <v>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v>0</v>
      </c>
      <c r="AA71" s="24">
        <v>0</v>
      </c>
      <c r="AB71" s="24">
        <v>0</v>
      </c>
      <c r="AC71" s="24">
        <v>0</v>
      </c>
      <c r="AD71" s="24">
        <v>0</v>
      </c>
      <c r="AE71" s="24">
        <v>0</v>
      </c>
      <c r="AF71" s="24">
        <v>336421.95441472833</v>
      </c>
      <c r="AG71" s="24">
        <v>8152478.0667789029</v>
      </c>
      <c r="AH71" s="24">
        <v>2.4761656827000262</v>
      </c>
      <c r="AI71" s="24">
        <v>0</v>
      </c>
      <c r="AJ71" s="24">
        <v>0</v>
      </c>
      <c r="AK71" s="24">
        <v>1969.3480881649186</v>
      </c>
      <c r="AL71" s="24">
        <v>0</v>
      </c>
      <c r="AM71" s="24">
        <v>0</v>
      </c>
      <c r="AN71" s="24">
        <v>0</v>
      </c>
      <c r="AO71" s="24">
        <v>0</v>
      </c>
      <c r="AP71" s="24">
        <v>0</v>
      </c>
      <c r="AQ71" s="24">
        <v>0</v>
      </c>
      <c r="AR71" s="24">
        <v>0</v>
      </c>
      <c r="AS71" s="24">
        <v>0</v>
      </c>
      <c r="AT71" s="24">
        <v>497.95625134904611</v>
      </c>
      <c r="AU71" s="24">
        <v>303.56736483083688</v>
      </c>
      <c r="AV71" s="24">
        <v>2054.1796159258206</v>
      </c>
      <c r="AW71" s="24">
        <v>4.079727038456439</v>
      </c>
      <c r="AX71" s="24">
        <v>866.80579565396829</v>
      </c>
      <c r="AY71" s="24">
        <v>705.41335617128573</v>
      </c>
      <c r="AZ71" s="24">
        <v>8.9388506174559392</v>
      </c>
      <c r="BA71" s="24">
        <v>144.32110559683252</v>
      </c>
      <c r="BB71" s="24">
        <v>26.448993254278808</v>
      </c>
      <c r="BC71" s="24">
        <v>5186.0394031359174</v>
      </c>
      <c r="BD71" s="24">
        <v>0</v>
      </c>
      <c r="BE71" s="24">
        <v>58.600832807164799</v>
      </c>
      <c r="BF71" s="24">
        <v>48302.082241992153</v>
      </c>
      <c r="BG71" s="24">
        <v>1074181.2206523069</v>
      </c>
      <c r="BH71" s="24">
        <v>297711.30728313763</v>
      </c>
      <c r="BI71" s="24">
        <v>736044.16073648317</v>
      </c>
      <c r="BJ71" s="24">
        <v>51.468336543906197</v>
      </c>
      <c r="BK71" s="24">
        <v>0.4712344536848177</v>
      </c>
      <c r="BL71" s="24">
        <v>5.5611069582097432</v>
      </c>
      <c r="BM71" s="24">
        <v>697540.06039445964</v>
      </c>
      <c r="BN71" s="24">
        <v>24475.372914764561</v>
      </c>
      <c r="BO71" s="24">
        <v>3729.9511117787911</v>
      </c>
      <c r="BP71" s="24">
        <v>2194.6119848893218</v>
      </c>
      <c r="BQ71" s="24">
        <v>0</v>
      </c>
      <c r="BR71" s="25">
        <v>11384964.464741629</v>
      </c>
      <c r="BS71" s="26">
        <v>11063470.833903173</v>
      </c>
      <c r="BT71" s="26">
        <v>0</v>
      </c>
      <c r="BU71" s="26">
        <v>0</v>
      </c>
      <c r="BV71" s="26">
        <v>0</v>
      </c>
      <c r="BW71" s="26">
        <v>14730.94284149829</v>
      </c>
      <c r="BX71" s="27">
        <v>11078201.776744671</v>
      </c>
      <c r="BY71" s="26">
        <v>0</v>
      </c>
      <c r="BZ71" s="26">
        <v>0</v>
      </c>
      <c r="CA71" s="27">
        <v>0</v>
      </c>
      <c r="CB71" s="26">
        <v>0</v>
      </c>
      <c r="CC71" s="26">
        <v>0</v>
      </c>
      <c r="CD71" s="26">
        <v>0</v>
      </c>
      <c r="CE71" s="27">
        <v>0</v>
      </c>
      <c r="CF71" s="25">
        <v>11078201.776744671</v>
      </c>
      <c r="CG71" s="26">
        <v>0</v>
      </c>
      <c r="CH71" s="25">
        <v>22463166.2414863</v>
      </c>
      <c r="CI71" s="46" t="s">
        <v>170</v>
      </c>
      <c r="CJ71" s="47">
        <v>96</v>
      </c>
      <c r="CK71" s="2"/>
      <c r="CL71" s="2"/>
      <c r="CM71" s="30"/>
    </row>
    <row r="72" spans="1:91" s="41" customFormat="1" ht="32" customHeight="1" x14ac:dyDescent="0.2">
      <c r="A72" s="47">
        <v>97</v>
      </c>
      <c r="B72" s="48" t="s">
        <v>91</v>
      </c>
      <c r="C72" s="24">
        <v>0</v>
      </c>
      <c r="D72" s="24">
        <v>0</v>
      </c>
      <c r="E72" s="24">
        <v>0</v>
      </c>
      <c r="F72" s="24">
        <v>0</v>
      </c>
      <c r="G72" s="289">
        <v>0</v>
      </c>
      <c r="H72" s="24">
        <v>0</v>
      </c>
      <c r="I72" s="24">
        <v>0</v>
      </c>
      <c r="J72" s="24">
        <v>0</v>
      </c>
      <c r="K72" s="24">
        <v>0</v>
      </c>
      <c r="L72" s="24">
        <v>0</v>
      </c>
      <c r="M72" s="24">
        <v>0</v>
      </c>
      <c r="N72" s="24">
        <v>0</v>
      </c>
      <c r="O72" s="24">
        <v>0</v>
      </c>
      <c r="P72" s="70">
        <v>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0</v>
      </c>
      <c r="Z72" s="24">
        <v>0</v>
      </c>
      <c r="AA72" s="24">
        <v>0</v>
      </c>
      <c r="AB72" s="24">
        <v>0</v>
      </c>
      <c r="AC72" s="24">
        <v>0</v>
      </c>
      <c r="AD72" s="24">
        <v>0</v>
      </c>
      <c r="AE72" s="24">
        <v>0</v>
      </c>
      <c r="AF72" s="24">
        <v>0</v>
      </c>
      <c r="AG72" s="24">
        <v>0</v>
      </c>
      <c r="AH72" s="24">
        <v>0</v>
      </c>
      <c r="AI72" s="24">
        <v>0</v>
      </c>
      <c r="AJ72" s="24">
        <v>0</v>
      </c>
      <c r="AK72" s="24">
        <v>0</v>
      </c>
      <c r="AL72" s="24">
        <v>0</v>
      </c>
      <c r="AM72" s="24">
        <v>0</v>
      </c>
      <c r="AN72" s="24">
        <v>0</v>
      </c>
      <c r="AO72" s="24">
        <v>0</v>
      </c>
      <c r="AP72" s="24">
        <v>0</v>
      </c>
      <c r="AQ72" s="24">
        <v>0</v>
      </c>
      <c r="AR72" s="24">
        <v>0</v>
      </c>
      <c r="AS72" s="24">
        <v>0</v>
      </c>
      <c r="AT72" s="24">
        <v>0</v>
      </c>
      <c r="AU72" s="24">
        <v>0</v>
      </c>
      <c r="AV72" s="24">
        <v>0</v>
      </c>
      <c r="AW72" s="24">
        <v>0</v>
      </c>
      <c r="AX72" s="24">
        <v>0</v>
      </c>
      <c r="AY72" s="24">
        <v>0</v>
      </c>
      <c r="AZ72" s="24">
        <v>0</v>
      </c>
      <c r="BA72" s="24">
        <v>0</v>
      </c>
      <c r="BB72" s="24">
        <v>0</v>
      </c>
      <c r="BC72" s="24">
        <v>0</v>
      </c>
      <c r="BD72" s="24">
        <v>0</v>
      </c>
      <c r="BE72" s="24">
        <v>0</v>
      </c>
      <c r="BF72" s="24">
        <v>0</v>
      </c>
      <c r="BG72" s="24">
        <v>0</v>
      </c>
      <c r="BH72" s="24">
        <v>0</v>
      </c>
      <c r="BI72" s="24">
        <v>0</v>
      </c>
      <c r="BJ72" s="24">
        <v>0</v>
      </c>
      <c r="BK72" s="24">
        <v>0</v>
      </c>
      <c r="BL72" s="24">
        <v>0</v>
      </c>
      <c r="BM72" s="24">
        <v>0</v>
      </c>
      <c r="BN72" s="24">
        <v>0</v>
      </c>
      <c r="BO72" s="24">
        <v>0</v>
      </c>
      <c r="BP72" s="24">
        <v>0</v>
      </c>
      <c r="BQ72" s="24">
        <v>0</v>
      </c>
      <c r="BR72" s="25">
        <v>0</v>
      </c>
      <c r="BS72" s="26">
        <v>1731103.8937081348</v>
      </c>
      <c r="BT72" s="26">
        <v>0</v>
      </c>
      <c r="BU72" s="26">
        <v>0</v>
      </c>
      <c r="BV72" s="26">
        <v>0</v>
      </c>
      <c r="BW72" s="26">
        <v>0</v>
      </c>
      <c r="BX72" s="27">
        <v>1731103.8937081348</v>
      </c>
      <c r="BY72" s="26">
        <v>0</v>
      </c>
      <c r="BZ72" s="26">
        <v>0</v>
      </c>
      <c r="CA72" s="27">
        <v>0</v>
      </c>
      <c r="CB72" s="26">
        <v>0</v>
      </c>
      <c r="CC72" s="26">
        <v>0</v>
      </c>
      <c r="CD72" s="26">
        <v>0</v>
      </c>
      <c r="CE72" s="27">
        <v>0</v>
      </c>
      <c r="CF72" s="25">
        <v>1731103.8937081348</v>
      </c>
      <c r="CG72" s="26">
        <v>0</v>
      </c>
      <c r="CH72" s="25">
        <v>1731103.8937081348</v>
      </c>
      <c r="CI72" s="46" t="s">
        <v>171</v>
      </c>
      <c r="CJ72" s="47">
        <v>97</v>
      </c>
      <c r="CK72" s="2"/>
      <c r="CL72" s="2"/>
      <c r="CM72" s="30"/>
    </row>
    <row r="73" spans="1:91" s="49" customFormat="1" ht="32" customHeight="1" x14ac:dyDescent="0.2">
      <c r="A73" s="587" t="s">
        <v>189</v>
      </c>
      <c r="B73" s="587"/>
      <c r="C73" s="25">
        <v>222107816.33869287</v>
      </c>
      <c r="D73" s="25">
        <v>5421838.2897962891</v>
      </c>
      <c r="E73" s="26">
        <v>14546790.214241166</v>
      </c>
      <c r="F73" s="25">
        <v>18962811.179769795</v>
      </c>
      <c r="G73" s="290">
        <v>216106866.39801767</v>
      </c>
      <c r="H73" s="25">
        <v>11347877.974825915</v>
      </c>
      <c r="I73" s="25">
        <v>5026744.6979482183</v>
      </c>
      <c r="J73" s="25">
        <v>21628315.646997847</v>
      </c>
      <c r="K73" s="25">
        <v>7864547.538792883</v>
      </c>
      <c r="L73" s="25">
        <v>5836603.6980198538</v>
      </c>
      <c r="M73" s="25">
        <v>481966.97296950355</v>
      </c>
      <c r="N73" s="25">
        <v>12439030.744468577</v>
      </c>
      <c r="O73" s="25">
        <v>1978662.3894464164</v>
      </c>
      <c r="P73" s="71">
        <v>192593954.5145582</v>
      </c>
      <c r="Q73" s="25">
        <v>33155607.445180658</v>
      </c>
      <c r="R73" s="25">
        <v>18641490.140828539</v>
      </c>
      <c r="S73" s="25">
        <v>10375698.290807102</v>
      </c>
      <c r="T73" s="25">
        <v>38529734.074771076</v>
      </c>
      <c r="U73" s="25">
        <v>79925956.775367156</v>
      </c>
      <c r="V73" s="25">
        <v>11806985.484435475</v>
      </c>
      <c r="W73" s="25">
        <v>5661308.5110039506</v>
      </c>
      <c r="X73" s="25">
        <v>20141290.890929315</v>
      </c>
      <c r="Y73" s="25">
        <v>7509816.0168711748</v>
      </c>
      <c r="Z73" s="25">
        <v>17547434.700054988</v>
      </c>
      <c r="AA73" s="25">
        <v>738992.33890062582</v>
      </c>
      <c r="AB73" s="25">
        <v>4662755.2088778652</v>
      </c>
      <c r="AC73" s="25">
        <v>733834.92375540989</v>
      </c>
      <c r="AD73" s="25">
        <v>6613.0846363198034</v>
      </c>
      <c r="AE73" s="25">
        <v>64529594.135630608</v>
      </c>
      <c r="AF73" s="25">
        <v>7390307.3490407187</v>
      </c>
      <c r="AG73" s="25">
        <v>107887046.28294508</v>
      </c>
      <c r="AH73" s="25">
        <v>76191636.027214691</v>
      </c>
      <c r="AI73" s="25">
        <v>68666136.206769869</v>
      </c>
      <c r="AJ73" s="25">
        <v>3285610.4749168749</v>
      </c>
      <c r="AK73" s="25">
        <v>36088114.435229421</v>
      </c>
      <c r="AL73" s="25">
        <v>1246830.0759249532</v>
      </c>
      <c r="AM73" s="25">
        <v>368087.56654505455</v>
      </c>
      <c r="AN73" s="25">
        <v>1217700.1774681043</v>
      </c>
      <c r="AO73" s="25">
        <v>34490150.771737359</v>
      </c>
      <c r="AP73" s="25">
        <v>12750812.821513694</v>
      </c>
      <c r="AQ73" s="25">
        <v>1036266.7878189367</v>
      </c>
      <c r="AR73" s="25">
        <v>812539.58490184636</v>
      </c>
      <c r="AS73" s="25">
        <v>43427251.397501335</v>
      </c>
      <c r="AT73" s="25">
        <v>1490439.0669644007</v>
      </c>
      <c r="AU73" s="25">
        <v>758815.07790582627</v>
      </c>
      <c r="AV73" s="25">
        <v>4611127.4031215124</v>
      </c>
      <c r="AW73" s="25">
        <v>23300.996187633409</v>
      </c>
      <c r="AX73" s="25">
        <v>1935127.555993424</v>
      </c>
      <c r="AY73" s="25">
        <v>1833115.2797353757</v>
      </c>
      <c r="AZ73" s="25">
        <v>23625.701352543798</v>
      </c>
      <c r="BA73" s="25">
        <v>1442623.1488935652</v>
      </c>
      <c r="BB73" s="25">
        <v>131073.04429390703</v>
      </c>
      <c r="BC73" s="25">
        <v>19493489.77983094</v>
      </c>
      <c r="BD73" s="25">
        <v>154461.311037648</v>
      </c>
      <c r="BE73" s="25">
        <v>215519.4761549957</v>
      </c>
      <c r="BF73" s="25">
        <v>2438571.2023328701</v>
      </c>
      <c r="BG73" s="25">
        <v>48067452.736822695</v>
      </c>
      <c r="BH73" s="25">
        <v>12336300.710105233</v>
      </c>
      <c r="BI73" s="25">
        <v>47570328.205044627</v>
      </c>
      <c r="BJ73" s="25">
        <v>63086.070767497644</v>
      </c>
      <c r="BK73" s="25">
        <v>2227.5048455070396</v>
      </c>
      <c r="BL73" s="25">
        <v>57218.339248922181</v>
      </c>
      <c r="BM73" s="25">
        <v>6405634.1007343689</v>
      </c>
      <c r="BN73" s="25">
        <v>8521301.0179654639</v>
      </c>
      <c r="BO73" s="25">
        <v>1243992.9824591177</v>
      </c>
      <c r="BP73" s="25">
        <v>2276607.4916198016</v>
      </c>
      <c r="BQ73" s="25">
        <v>0</v>
      </c>
      <c r="BR73" s="25">
        <v>1606264866.7835414</v>
      </c>
      <c r="BS73" s="25">
        <v>2685920283.143146</v>
      </c>
      <c r="BT73" s="25">
        <v>40480760.000000007</v>
      </c>
      <c r="BU73" s="25">
        <v>28120360.17175594</v>
      </c>
      <c r="BV73" s="25">
        <v>329748525.11173767</v>
      </c>
      <c r="BW73" s="25">
        <v>34039140.143143937</v>
      </c>
      <c r="BX73" s="27">
        <v>3062068348.2262712</v>
      </c>
      <c r="BY73" s="25">
        <v>379650638.41559917</v>
      </c>
      <c r="BZ73" s="25">
        <v>128645811.43587045</v>
      </c>
      <c r="CA73" s="27">
        <v>508296449.85146952</v>
      </c>
      <c r="CB73" s="25">
        <v>135688738.32318264</v>
      </c>
      <c r="CC73" s="25">
        <v>209866491.85922277</v>
      </c>
      <c r="CD73" s="25">
        <v>30154915.920000002</v>
      </c>
      <c r="CE73" s="27">
        <v>375710146.10240525</v>
      </c>
      <c r="CF73" s="25">
        <v>3946074944.1801462</v>
      </c>
      <c r="CG73" s="25">
        <v>572094521.3034687</v>
      </c>
      <c r="CH73" s="25">
        <v>4980245289.6602182</v>
      </c>
      <c r="CI73" s="588" t="s">
        <v>190</v>
      </c>
      <c r="CJ73" s="588"/>
      <c r="CK73" s="2"/>
      <c r="CL73" s="2"/>
      <c r="CM73" s="30"/>
    </row>
    <row r="74" spans="1:91" ht="32" customHeight="1" x14ac:dyDescent="0.2">
      <c r="A74" s="589" t="s">
        <v>191</v>
      </c>
      <c r="B74" s="589"/>
      <c r="C74" s="26">
        <v>1760704.3137464323</v>
      </c>
      <c r="D74" s="26">
        <v>-46888.160121488974</v>
      </c>
      <c r="E74" s="26">
        <v>78518.362518856113</v>
      </c>
      <c r="F74" s="26">
        <v>203113.80673478177</v>
      </c>
      <c r="G74" s="290">
        <v>920734.96358667954</v>
      </c>
      <c r="H74" s="26">
        <v>262503.9112303367</v>
      </c>
      <c r="I74" s="26">
        <v>1766951.3259156467</v>
      </c>
      <c r="J74" s="26">
        <v>1126295.6362386125</v>
      </c>
      <c r="K74" s="26">
        <v>530524.47480428021</v>
      </c>
      <c r="L74" s="26">
        <v>83017.434888693111</v>
      </c>
      <c r="M74" s="26">
        <v>52989.092037082941</v>
      </c>
      <c r="N74" s="26">
        <v>474527.8249479009</v>
      </c>
      <c r="O74" s="26">
        <v>22007.292533303884</v>
      </c>
      <c r="P74" s="71">
        <v>1039566.3847634373</v>
      </c>
      <c r="Q74" s="26">
        <v>1326355.7605866522</v>
      </c>
      <c r="R74" s="26">
        <v>1155811.7679796966</v>
      </c>
      <c r="S74" s="26">
        <v>737453.16992802743</v>
      </c>
      <c r="T74" s="26">
        <v>-803059.97744049795</v>
      </c>
      <c r="U74" s="26">
        <v>4361138.6917127455</v>
      </c>
      <c r="V74" s="26">
        <v>623500.03515722405</v>
      </c>
      <c r="W74" s="26">
        <v>365559.55999930599</v>
      </c>
      <c r="X74" s="26">
        <v>1086598.5550765635</v>
      </c>
      <c r="Y74" s="26">
        <v>287519.7632620231</v>
      </c>
      <c r="Z74" s="26">
        <v>1170802.3734585245</v>
      </c>
      <c r="AA74" s="26">
        <v>16887.89584511521</v>
      </c>
      <c r="AB74" s="26">
        <v>750456.09422819735</v>
      </c>
      <c r="AC74" s="26">
        <v>37041.1321504191</v>
      </c>
      <c r="AD74" s="26">
        <v>287.53621409443997</v>
      </c>
      <c r="AE74" s="26">
        <v>-7765823.8898562351</v>
      </c>
      <c r="AF74" s="26">
        <v>-632703.85889595281</v>
      </c>
      <c r="AG74" s="26">
        <v>3813046.7432540008</v>
      </c>
      <c r="AH74" s="26">
        <v>-8208353.1092155119</v>
      </c>
      <c r="AI74" s="26">
        <v>-8350025.0750773661</v>
      </c>
      <c r="AJ74" s="26">
        <v>-62659.161501219569</v>
      </c>
      <c r="AK74" s="26">
        <v>620931.7567921743</v>
      </c>
      <c r="AL74" s="26">
        <v>-49837.969092010258</v>
      </c>
      <c r="AM74" s="26">
        <v>-12327.900366056041</v>
      </c>
      <c r="AN74" s="26">
        <v>-14593.686634056459</v>
      </c>
      <c r="AO74" s="26">
        <v>-1103139.9096520368</v>
      </c>
      <c r="AP74" s="26">
        <v>-77298.653927480715</v>
      </c>
      <c r="AQ74" s="26">
        <v>-6250.7004657232592</v>
      </c>
      <c r="AR74" s="26">
        <v>-4534.6944263013766</v>
      </c>
      <c r="AS74" s="26">
        <v>493349.90688129602</v>
      </c>
      <c r="AT74" s="26">
        <v>43061.671102820248</v>
      </c>
      <c r="AU74" s="26">
        <v>25540.403358184969</v>
      </c>
      <c r="AV74" s="26">
        <v>174556.78072150753</v>
      </c>
      <c r="AW74" s="26">
        <v>-1175.7321684047251</v>
      </c>
      <c r="AX74" s="26">
        <v>81894.286750739033</v>
      </c>
      <c r="AY74" s="26">
        <v>71387.225716907065</v>
      </c>
      <c r="AZ74" s="26">
        <v>760.33604350733685</v>
      </c>
      <c r="BA74" s="26">
        <v>-182476.32272871112</v>
      </c>
      <c r="BB74" s="26">
        <v>2782.5857905333951</v>
      </c>
      <c r="BC74" s="26">
        <v>458427.30414213898</v>
      </c>
      <c r="BD74" s="26">
        <v>-12341.38073785473</v>
      </c>
      <c r="BE74" s="26">
        <v>-2001.9648173763258</v>
      </c>
      <c r="BF74" s="26">
        <v>107582.56284953578</v>
      </c>
      <c r="BG74" s="26">
        <v>-201140.77970154723</v>
      </c>
      <c r="BH74" s="26">
        <v>100919.84383729057</v>
      </c>
      <c r="BI74" s="26">
        <v>1156837.7424171253</v>
      </c>
      <c r="BJ74" s="26">
        <v>-7046.6294530393916</v>
      </c>
      <c r="BK74" s="26">
        <v>-85.639670315664446</v>
      </c>
      <c r="BL74" s="26">
        <v>-2169.4871264207704</v>
      </c>
      <c r="BM74" s="26">
        <v>-260331.47088218361</v>
      </c>
      <c r="BN74" s="26">
        <v>604592.49728029524</v>
      </c>
      <c r="BO74" s="26">
        <v>70423.434306886687</v>
      </c>
      <c r="BP74" s="26">
        <v>-95934.073312098975</v>
      </c>
      <c r="BQ74" s="26">
        <v>0</v>
      </c>
      <c r="BR74" s="25">
        <v>164762.01351968301</v>
      </c>
      <c r="BS74" s="26">
        <v>45666536.453192189</v>
      </c>
      <c r="BT74" s="26">
        <v>0</v>
      </c>
      <c r="BU74" s="26">
        <v>2034555.7482440609</v>
      </c>
      <c r="BV74" s="26">
        <v>-159679.34455423476</v>
      </c>
      <c r="BW74" s="26">
        <v>796.57547515006127</v>
      </c>
      <c r="BX74" s="27">
        <v>43473097.935869001</v>
      </c>
      <c r="BY74" s="26">
        <v>24207295.524422251</v>
      </c>
      <c r="BZ74" s="26">
        <v>-4300551.9776730947</v>
      </c>
      <c r="CA74" s="27">
        <v>19906743.546749156</v>
      </c>
      <c r="CB74" s="26">
        <v>0</v>
      </c>
      <c r="CC74" s="26">
        <v>0</v>
      </c>
      <c r="CD74" s="26">
        <v>0</v>
      </c>
      <c r="CE74" s="27">
        <v>0</v>
      </c>
      <c r="CF74" s="25">
        <v>0</v>
      </c>
      <c r="CG74" s="26">
        <v>0</v>
      </c>
      <c r="CH74" s="25">
        <v>0</v>
      </c>
      <c r="CI74" s="590" t="s">
        <v>192</v>
      </c>
      <c r="CJ74" s="590"/>
    </row>
    <row r="75" spans="1:91" s="49" customFormat="1" ht="32" customHeight="1" x14ac:dyDescent="0.2">
      <c r="A75" s="587" t="s">
        <v>193</v>
      </c>
      <c r="B75" s="587"/>
      <c r="C75" s="25">
        <v>223868520.6524393</v>
      </c>
      <c r="D75" s="25">
        <v>5374950.1296747997</v>
      </c>
      <c r="E75" s="26">
        <v>14625308.576760022</v>
      </c>
      <c r="F75" s="25">
        <v>19165924.986504577</v>
      </c>
      <c r="G75" s="290">
        <v>217027601.36160436</v>
      </c>
      <c r="H75" s="25">
        <v>11610381.886056252</v>
      </c>
      <c r="I75" s="25">
        <v>6793696.0238638651</v>
      </c>
      <c r="J75" s="25">
        <v>22754611.283236459</v>
      </c>
      <c r="K75" s="25">
        <v>8395072.0135971624</v>
      </c>
      <c r="L75" s="25">
        <v>5919621.1329085473</v>
      </c>
      <c r="M75" s="25">
        <v>534956.06500658649</v>
      </c>
      <c r="N75" s="25">
        <v>12913558.569416478</v>
      </c>
      <c r="O75" s="25">
        <v>2000669.6819797202</v>
      </c>
      <c r="P75" s="71">
        <v>193633520.89932165</v>
      </c>
      <c r="Q75" s="25">
        <v>34481963.205767311</v>
      </c>
      <c r="R75" s="25">
        <v>19797301.908808235</v>
      </c>
      <c r="S75" s="25">
        <v>11113151.460735129</v>
      </c>
      <c r="T75" s="25">
        <v>37726674.097330578</v>
      </c>
      <c r="U75" s="25">
        <v>84287095.467079908</v>
      </c>
      <c r="V75" s="25">
        <v>12430485.519592699</v>
      </c>
      <c r="W75" s="25">
        <v>6026868.0710032564</v>
      </c>
      <c r="X75" s="25">
        <v>21227889.446005877</v>
      </c>
      <c r="Y75" s="25">
        <v>7797335.780133198</v>
      </c>
      <c r="Z75" s="25">
        <v>18718237.073513512</v>
      </c>
      <c r="AA75" s="25">
        <v>755880.23474574101</v>
      </c>
      <c r="AB75" s="25">
        <v>5413211.3031060621</v>
      </c>
      <c r="AC75" s="25">
        <v>770876.05590582895</v>
      </c>
      <c r="AD75" s="25">
        <v>6900.6208504142433</v>
      </c>
      <c r="AE75" s="25">
        <v>56763770.245774373</v>
      </c>
      <c r="AF75" s="25">
        <v>6757603.4901447659</v>
      </c>
      <c r="AG75" s="25">
        <v>111700093.02619909</v>
      </c>
      <c r="AH75" s="25">
        <v>67983282.917999178</v>
      </c>
      <c r="AI75" s="25">
        <v>60316111.131692499</v>
      </c>
      <c r="AJ75" s="25">
        <v>3222951.3134156554</v>
      </c>
      <c r="AK75" s="25">
        <v>36709046.192021593</v>
      </c>
      <c r="AL75" s="25">
        <v>1196992.1068329429</v>
      </c>
      <c r="AM75" s="25">
        <v>355759.66617899854</v>
      </c>
      <c r="AN75" s="25">
        <v>1203106.4908340478</v>
      </c>
      <c r="AO75" s="25">
        <v>33387010.862085324</v>
      </c>
      <c r="AP75" s="25">
        <v>12673514.167586213</v>
      </c>
      <c r="AQ75" s="25">
        <v>1030016.0873532135</v>
      </c>
      <c r="AR75" s="25">
        <v>808004.89047554496</v>
      </c>
      <c r="AS75" s="25">
        <v>43920601.30438263</v>
      </c>
      <c r="AT75" s="25">
        <v>1533500.7380672209</v>
      </c>
      <c r="AU75" s="25">
        <v>784355.48126401124</v>
      </c>
      <c r="AV75" s="25">
        <v>4785684.1838430203</v>
      </c>
      <c r="AW75" s="25">
        <v>22125.264019228685</v>
      </c>
      <c r="AX75" s="25">
        <v>2017021.842744163</v>
      </c>
      <c r="AY75" s="25">
        <v>1904502.5054522827</v>
      </c>
      <c r="AZ75" s="25">
        <v>24386.037396051135</v>
      </c>
      <c r="BA75" s="25">
        <v>1260146.826164854</v>
      </c>
      <c r="BB75" s="25">
        <v>133855.63008444043</v>
      </c>
      <c r="BC75" s="25">
        <v>19951917.08397308</v>
      </c>
      <c r="BD75" s="25">
        <v>142119.93029979328</v>
      </c>
      <c r="BE75" s="25">
        <v>213517.51133761939</v>
      </c>
      <c r="BF75" s="25">
        <v>2546153.7651824057</v>
      </c>
      <c r="BG75" s="25">
        <v>47866311.957121149</v>
      </c>
      <c r="BH75" s="25">
        <v>12437220.553942524</v>
      </c>
      <c r="BI75" s="25">
        <v>48727165.947461754</v>
      </c>
      <c r="BJ75" s="25">
        <v>56039.44131445825</v>
      </c>
      <c r="BK75" s="25">
        <v>2141.8651751913753</v>
      </c>
      <c r="BL75" s="25">
        <v>55048.852122501412</v>
      </c>
      <c r="BM75" s="25">
        <v>6145302.629852185</v>
      </c>
      <c r="BN75" s="25">
        <v>9125893.5152457599</v>
      </c>
      <c r="BO75" s="25">
        <v>1314416.4167660044</v>
      </c>
      <c r="BP75" s="25">
        <v>2180673.4183077025</v>
      </c>
      <c r="BQ75" s="25">
        <v>0</v>
      </c>
      <c r="BR75" s="25">
        <v>1606429628.7970612</v>
      </c>
      <c r="BS75" s="25">
        <v>2731586819.5963383</v>
      </c>
      <c r="BT75" s="25">
        <v>40480760.000000007</v>
      </c>
      <c r="BU75" s="25">
        <v>30154915.920000002</v>
      </c>
      <c r="BV75" s="25">
        <v>329588845.76718342</v>
      </c>
      <c r="BW75" s="25">
        <v>34039936.718619086</v>
      </c>
      <c r="BX75" s="27">
        <v>3105541446.1621404</v>
      </c>
      <c r="BY75" s="25">
        <v>403857933.9400214</v>
      </c>
      <c r="BZ75" s="25">
        <v>124345259.45819736</v>
      </c>
      <c r="CA75" s="27">
        <v>528203193.39821869</v>
      </c>
      <c r="CB75" s="25">
        <v>135688738.32318264</v>
      </c>
      <c r="CC75" s="25">
        <v>209866491.85922277</v>
      </c>
      <c r="CD75" s="25">
        <v>30154915.920000002</v>
      </c>
      <c r="CE75" s="27">
        <v>375710146.10240525</v>
      </c>
      <c r="CF75" s="25">
        <v>3946074944.1801462</v>
      </c>
      <c r="CG75" s="25">
        <v>572094521.3034687</v>
      </c>
      <c r="CH75" s="25">
        <v>4980245289.6602182</v>
      </c>
      <c r="CI75" s="588" t="s">
        <v>194</v>
      </c>
      <c r="CJ75" s="588"/>
      <c r="CK75" s="2"/>
      <c r="CL75" s="2"/>
    </row>
    <row r="76" spans="1:91" s="49" customFormat="1" ht="32" customHeight="1" x14ac:dyDescent="0.2">
      <c r="A76" s="591" t="s">
        <v>195</v>
      </c>
      <c r="B76" s="591"/>
      <c r="C76" s="25">
        <v>359878335.12521917</v>
      </c>
      <c r="D76" s="25">
        <v>38435835.8703252</v>
      </c>
      <c r="E76" s="26">
        <v>234756597.36356282</v>
      </c>
      <c r="F76" s="25">
        <v>50048040.104655124</v>
      </c>
      <c r="G76" s="290">
        <v>72794495.515901297</v>
      </c>
      <c r="H76" s="25">
        <v>12025481.500564784</v>
      </c>
      <c r="I76" s="25">
        <v>6253590.6000049915</v>
      </c>
      <c r="J76" s="25">
        <v>9183955.5226306021</v>
      </c>
      <c r="K76" s="25">
        <v>20801997.032111883</v>
      </c>
      <c r="L76" s="25">
        <v>3672958.6247339938</v>
      </c>
      <c r="M76" s="25">
        <v>5833657.9804756697</v>
      </c>
      <c r="N76" s="25">
        <v>5939275.6504343674</v>
      </c>
      <c r="O76" s="25">
        <v>29620380.975483302</v>
      </c>
      <c r="P76" s="71">
        <v>124520035.4227204</v>
      </c>
      <c r="Q76" s="25">
        <v>34534104.780564032</v>
      </c>
      <c r="R76" s="25">
        <v>13346026.497533955</v>
      </c>
      <c r="S76" s="25">
        <v>6552470.0356518198</v>
      </c>
      <c r="T76" s="25">
        <v>26892859.218474403</v>
      </c>
      <c r="U76" s="25">
        <v>86271218.501142919</v>
      </c>
      <c r="V76" s="25">
        <v>16787024.228689633</v>
      </c>
      <c r="W76" s="25">
        <v>2125246.1083118599</v>
      </c>
      <c r="X76" s="25">
        <v>9381444.6239808537</v>
      </c>
      <c r="Y76" s="25">
        <v>3391730.510531201</v>
      </c>
      <c r="Z76" s="25">
        <v>6503621.7148285918</v>
      </c>
      <c r="AA76" s="25">
        <v>549918.01769284776</v>
      </c>
      <c r="AB76" s="25">
        <v>14967840.553574689</v>
      </c>
      <c r="AC76" s="25">
        <v>24332711.071872286</v>
      </c>
      <c r="AD76" s="25">
        <v>29548741.014928505</v>
      </c>
      <c r="AE76" s="25">
        <v>60199741.825140774</v>
      </c>
      <c r="AF76" s="25">
        <v>12549057.514499288</v>
      </c>
      <c r="AG76" s="25">
        <v>195722678.1246509</v>
      </c>
      <c r="AH76" s="25">
        <v>506917256.34002149</v>
      </c>
      <c r="AI76" s="25">
        <v>157326881.06061772</v>
      </c>
      <c r="AJ76" s="25">
        <v>77811795.260396332</v>
      </c>
      <c r="AK76" s="25">
        <v>65001965.869761541</v>
      </c>
      <c r="AL76" s="25">
        <v>1428412.2269968218</v>
      </c>
      <c r="AM76" s="25">
        <v>3596130.097821001</v>
      </c>
      <c r="AN76" s="25">
        <v>2748783.2731659515</v>
      </c>
      <c r="AO76" s="25">
        <v>65779611.286928326</v>
      </c>
      <c r="AP76" s="25">
        <v>118807223.22039224</v>
      </c>
      <c r="AQ76" s="25">
        <v>15141752.912646765</v>
      </c>
      <c r="AR76" s="25">
        <v>1424635.9095244547</v>
      </c>
      <c r="AS76" s="25">
        <v>232835660.21376497</v>
      </c>
      <c r="AT76" s="25">
        <v>8125554.0175618269</v>
      </c>
      <c r="AU76" s="25">
        <v>5467889.9040120328</v>
      </c>
      <c r="AV76" s="25">
        <v>11901732.180183377</v>
      </c>
      <c r="AW76" s="25">
        <v>6972399.3910038173</v>
      </c>
      <c r="AX76" s="25">
        <v>10189039.243158145</v>
      </c>
      <c r="AY76" s="25">
        <v>8774229.2023609579</v>
      </c>
      <c r="AZ76" s="25">
        <v>100625.21020181978</v>
      </c>
      <c r="BA76" s="25">
        <v>3483402.2828266183</v>
      </c>
      <c r="BB76" s="25">
        <v>1954974.3818623677</v>
      </c>
      <c r="BC76" s="25">
        <v>24894877.661896281</v>
      </c>
      <c r="BD76" s="25">
        <v>3328026.368654442</v>
      </c>
      <c r="BE76" s="25">
        <v>2206627.7198820715</v>
      </c>
      <c r="BF76" s="25">
        <v>11778508.831338968</v>
      </c>
      <c r="BG76" s="25">
        <v>155054780.84011364</v>
      </c>
      <c r="BH76" s="25">
        <v>150584233.95267552</v>
      </c>
      <c r="BI76" s="25">
        <v>115578048.73355284</v>
      </c>
      <c r="BJ76" s="25">
        <v>169420.49090193375</v>
      </c>
      <c r="BK76" s="25">
        <v>4893.6036864878533</v>
      </c>
      <c r="BL76" s="25">
        <v>221981.46487749857</v>
      </c>
      <c r="BM76" s="25">
        <v>37682015.370147817</v>
      </c>
      <c r="BN76" s="25">
        <v>6907075.4438401442</v>
      </c>
      <c r="BO76" s="25">
        <v>20180548.548602935</v>
      </c>
      <c r="BP76" s="25">
        <v>20282492.823178597</v>
      </c>
      <c r="BQ76" s="25">
        <v>1731103.8937081348</v>
      </c>
      <c r="BR76" s="25">
        <v>3373815660.8631582</v>
      </c>
      <c r="BS76" s="50"/>
      <c r="BT76" s="50"/>
      <c r="BU76" s="50"/>
      <c r="BV76" s="50"/>
      <c r="BW76" s="50"/>
      <c r="BX76" s="50"/>
      <c r="BY76" s="50"/>
      <c r="BZ76" s="50"/>
      <c r="CA76" s="50"/>
      <c r="CB76" s="50"/>
      <c r="CC76" s="50"/>
      <c r="CD76" s="50"/>
      <c r="CE76" s="50"/>
      <c r="CF76" s="50"/>
      <c r="CG76" s="50"/>
      <c r="CH76" s="50"/>
      <c r="CI76" s="588" t="s">
        <v>196</v>
      </c>
      <c r="CJ76" s="588"/>
      <c r="CK76" s="2"/>
      <c r="CL76" s="2"/>
    </row>
    <row r="77" spans="1:91" ht="32" customHeight="1" x14ac:dyDescent="0.2">
      <c r="A77" s="592" t="s">
        <v>197</v>
      </c>
      <c r="B77" s="592"/>
      <c r="C77" s="26">
        <v>80476156.065405324</v>
      </c>
      <c r="D77" s="26">
        <v>8125941.7044193177</v>
      </c>
      <c r="E77" s="26">
        <v>6814903.6098369956</v>
      </c>
      <c r="F77" s="26">
        <v>8804263.5647375342</v>
      </c>
      <c r="G77" s="290">
        <v>11811300.728158515</v>
      </c>
      <c r="H77" s="26">
        <v>1914751.532744657</v>
      </c>
      <c r="I77" s="26">
        <v>1918057.2078645255</v>
      </c>
      <c r="J77" s="26">
        <v>6173186.277913372</v>
      </c>
      <c r="K77" s="26">
        <v>2140807.9648072226</v>
      </c>
      <c r="L77" s="26">
        <v>74532.00534986773</v>
      </c>
      <c r="M77" s="26">
        <v>125833.73429759493</v>
      </c>
      <c r="N77" s="26">
        <v>1569455.3282468296</v>
      </c>
      <c r="O77" s="26">
        <v>1174853.4829643355</v>
      </c>
      <c r="P77" s="71">
        <v>10892264.042786559</v>
      </c>
      <c r="Q77" s="26">
        <v>5637970.8475057259</v>
      </c>
      <c r="R77" s="26">
        <v>4753009.1934930617</v>
      </c>
      <c r="S77" s="26">
        <v>1508341.923040519</v>
      </c>
      <c r="T77" s="26">
        <v>5742540.6706028022</v>
      </c>
      <c r="U77" s="26">
        <v>6671322.0149720805</v>
      </c>
      <c r="V77" s="26">
        <v>1720912.0484188707</v>
      </c>
      <c r="W77" s="26">
        <v>938810.36339518195</v>
      </c>
      <c r="X77" s="26">
        <v>3198612.466132428</v>
      </c>
      <c r="Y77" s="26">
        <v>1624733.6485686307</v>
      </c>
      <c r="Z77" s="26">
        <v>1190994.6467205868</v>
      </c>
      <c r="AA77" s="26">
        <v>426776.19791651022</v>
      </c>
      <c r="AB77" s="26">
        <v>3906149.2732316614</v>
      </c>
      <c r="AC77" s="26">
        <v>2580650.0711581805</v>
      </c>
      <c r="AD77" s="26">
        <v>3250307.800019932</v>
      </c>
      <c r="AE77" s="26">
        <v>42082235.555486932</v>
      </c>
      <c r="AF77" s="26">
        <v>9331250</v>
      </c>
      <c r="AG77" s="26">
        <v>35584667.794482313</v>
      </c>
      <c r="AH77" s="26">
        <v>51854127.356499292</v>
      </c>
      <c r="AI77" s="26">
        <v>59069824.714779012</v>
      </c>
      <c r="AJ77" s="26">
        <v>6285076.3276864877</v>
      </c>
      <c r="AK77" s="26">
        <v>8999823.9516043738</v>
      </c>
      <c r="AL77" s="26">
        <v>1261676.6386671078</v>
      </c>
      <c r="AM77" s="26">
        <v>194473.68658357483</v>
      </c>
      <c r="AN77" s="26">
        <v>2285180.5499999998</v>
      </c>
      <c r="AO77" s="26">
        <v>14980810.36921878</v>
      </c>
      <c r="AP77" s="26">
        <v>39088284.61505159</v>
      </c>
      <c r="AQ77" s="26">
        <v>6354575.945892469</v>
      </c>
      <c r="AR77" s="26">
        <v>728340</v>
      </c>
      <c r="AS77" s="26">
        <v>4413972.8663749974</v>
      </c>
      <c r="AT77" s="26">
        <v>1667584.6053435472</v>
      </c>
      <c r="AU77" s="26">
        <v>608421.15074392629</v>
      </c>
      <c r="AV77" s="26">
        <v>2152406.52119296</v>
      </c>
      <c r="AW77" s="26">
        <v>27927.279801584064</v>
      </c>
      <c r="AX77" s="26">
        <v>1314335.5591416815</v>
      </c>
      <c r="AY77" s="26">
        <v>3262208.0760496478</v>
      </c>
      <c r="AZ77" s="26">
        <v>12311.909398932075</v>
      </c>
      <c r="BA77" s="26">
        <v>776859.62129720778</v>
      </c>
      <c r="BB77" s="26">
        <v>181156.43539567242</v>
      </c>
      <c r="BC77" s="26">
        <v>2222899.5526337442</v>
      </c>
      <c r="BD77" s="26">
        <v>734037.74336512503</v>
      </c>
      <c r="BE77" s="26">
        <v>373643.08668456535</v>
      </c>
      <c r="BF77" s="26">
        <v>1897510.9492306011</v>
      </c>
      <c r="BG77" s="26">
        <v>138549628</v>
      </c>
      <c r="BH77" s="26">
        <v>120585164</v>
      </c>
      <c r="BI77" s="26">
        <v>73135388</v>
      </c>
      <c r="BJ77" s="26">
        <v>20259.185336933719</v>
      </c>
      <c r="BK77" s="26">
        <v>4500.3384174547973</v>
      </c>
      <c r="BL77" s="26">
        <v>24007.305</v>
      </c>
      <c r="BM77" s="26">
        <v>23179429</v>
      </c>
      <c r="BN77" s="26">
        <v>6233297.4850036968</v>
      </c>
      <c r="BO77" s="26">
        <v>389190.81162084593</v>
      </c>
      <c r="BP77" s="26">
        <v>2467121.2864951878</v>
      </c>
      <c r="BQ77" s="26">
        <v>986436.32953596755</v>
      </c>
      <c r="BR77" s="25">
        <v>848487483.01872492</v>
      </c>
      <c r="BS77" s="50"/>
      <c r="BT77" s="50"/>
      <c r="BU77" s="50"/>
      <c r="BV77" s="50"/>
      <c r="BW77" s="50"/>
      <c r="BX77" s="50"/>
      <c r="BY77" s="50"/>
      <c r="BZ77" s="50"/>
      <c r="CA77" s="50"/>
      <c r="CB77" s="50"/>
      <c r="CC77" s="50"/>
      <c r="CD77" s="50"/>
      <c r="CE77" s="50"/>
      <c r="CF77" s="50"/>
      <c r="CG77" s="50"/>
      <c r="CH77" s="50"/>
      <c r="CI77" s="593" t="s">
        <v>198</v>
      </c>
      <c r="CJ77" s="593"/>
    </row>
    <row r="78" spans="1:91" s="204" customFormat="1" ht="32" customHeight="1" x14ac:dyDescent="0.2">
      <c r="A78" s="594" t="s">
        <v>199</v>
      </c>
      <c r="B78" s="594"/>
      <c r="C78" s="71">
        <v>5110.0461256264507</v>
      </c>
      <c r="D78" s="71">
        <v>0</v>
      </c>
      <c r="E78" s="71">
        <v>329469</v>
      </c>
      <c r="F78" s="71">
        <v>14178</v>
      </c>
      <c r="G78" s="71">
        <v>207745</v>
      </c>
      <c r="H78" s="71">
        <v>51475</v>
      </c>
      <c r="I78" s="71">
        <v>395848</v>
      </c>
      <c r="J78" s="71">
        <v>34800</v>
      </c>
      <c r="K78" s="71">
        <v>46604</v>
      </c>
      <c r="L78" s="71">
        <v>443</v>
      </c>
      <c r="M78" s="71">
        <v>3353</v>
      </c>
      <c r="N78" s="71">
        <v>26483</v>
      </c>
      <c r="O78" s="71">
        <v>10607</v>
      </c>
      <c r="P78" s="71">
        <v>37929</v>
      </c>
      <c r="Q78" s="71">
        <v>250922</v>
      </c>
      <c r="R78" s="71">
        <v>72239</v>
      </c>
      <c r="S78" s="71">
        <v>18933</v>
      </c>
      <c r="T78" s="71">
        <v>181559</v>
      </c>
      <c r="U78" s="71">
        <v>120419</v>
      </c>
      <c r="V78" s="71">
        <v>117944</v>
      </c>
      <c r="W78" s="71">
        <v>9524</v>
      </c>
      <c r="X78" s="71">
        <v>58952</v>
      </c>
      <c r="Y78" s="71">
        <v>27710</v>
      </c>
      <c r="Z78" s="71">
        <v>464216</v>
      </c>
      <c r="AA78" s="71">
        <v>4954</v>
      </c>
      <c r="AB78" s="71">
        <v>2570</v>
      </c>
      <c r="AC78" s="71">
        <v>19112</v>
      </c>
      <c r="AD78" s="71">
        <v>2555</v>
      </c>
      <c r="AE78" s="71">
        <v>250922</v>
      </c>
      <c r="AF78" s="71">
        <v>2118</v>
      </c>
      <c r="AG78" s="71">
        <v>18933</v>
      </c>
      <c r="AH78" s="71">
        <v>181559</v>
      </c>
      <c r="AI78" s="71">
        <v>120419</v>
      </c>
      <c r="AJ78" s="71">
        <v>117944</v>
      </c>
      <c r="AK78" s="71">
        <v>9524</v>
      </c>
      <c r="AL78" s="71">
        <v>58952</v>
      </c>
      <c r="AM78" s="71">
        <v>10162.946854928372</v>
      </c>
      <c r="AN78" s="71">
        <v>0</v>
      </c>
      <c r="AO78" s="71">
        <v>2586785.2138345009</v>
      </c>
      <c r="AP78" s="71">
        <v>2801608</v>
      </c>
      <c r="AQ78" s="71">
        <v>3218</v>
      </c>
      <c r="AR78" s="71">
        <v>10673</v>
      </c>
      <c r="AS78" s="71">
        <v>19112</v>
      </c>
      <c r="AT78" s="71">
        <v>2555</v>
      </c>
      <c r="AU78" s="71">
        <v>1569.7806454015499</v>
      </c>
      <c r="AV78" s="71">
        <v>184045.84532511141</v>
      </c>
      <c r="AW78" s="71">
        <v>14.862940835001757</v>
      </c>
      <c r="AX78" s="71">
        <v>10402.724097929558</v>
      </c>
      <c r="AY78" s="71">
        <v>2645.5782507958024</v>
      </c>
      <c r="AZ78" s="71">
        <v>48.418415609787786</v>
      </c>
      <c r="BA78" s="71">
        <v>10879.837690908067</v>
      </c>
      <c r="BB78" s="71">
        <v>1453.9037033204345</v>
      </c>
      <c r="BC78" s="71">
        <v>116619.20819379871</v>
      </c>
      <c r="BD78" s="71">
        <v>697.16727015882691</v>
      </c>
      <c r="BE78" s="71">
        <v>2161.4215417568362</v>
      </c>
      <c r="BF78" s="71">
        <v>25229.293526726538</v>
      </c>
      <c r="BG78" s="71">
        <v>108959</v>
      </c>
      <c r="BH78" s="71">
        <v>28323</v>
      </c>
      <c r="BI78" s="71">
        <v>164719.10048982006</v>
      </c>
      <c r="BJ78" s="71">
        <v>158.15597041582996</v>
      </c>
      <c r="BK78" s="71">
        <v>9.9179332838760335</v>
      </c>
      <c r="BL78" s="71">
        <v>4136.4569999999994</v>
      </c>
      <c r="BM78" s="71">
        <v>6185</v>
      </c>
      <c r="BN78" s="71">
        <v>0</v>
      </c>
      <c r="BO78" s="71">
        <v>3528.9192215488347</v>
      </c>
      <c r="BP78" s="71">
        <v>12412.965727109102</v>
      </c>
      <c r="BQ78" s="71">
        <v>0</v>
      </c>
      <c r="BR78" s="71">
        <v>9394338.7647595853</v>
      </c>
      <c r="BS78" s="203"/>
      <c r="BT78" s="203"/>
      <c r="BU78" s="203"/>
      <c r="BV78" s="203"/>
      <c r="BW78" s="203"/>
      <c r="BX78" s="203"/>
      <c r="BY78" s="203"/>
      <c r="BZ78" s="203"/>
      <c r="CA78" s="203"/>
      <c r="CB78" s="203"/>
      <c r="CC78" s="203"/>
      <c r="CD78" s="203"/>
      <c r="CE78" s="203"/>
      <c r="CF78" s="203"/>
      <c r="CG78" s="203"/>
      <c r="CH78" s="203"/>
      <c r="CI78" s="595" t="s">
        <v>200</v>
      </c>
      <c r="CJ78" s="595"/>
      <c r="CK78" s="66"/>
      <c r="CL78" s="66"/>
    </row>
    <row r="79" spans="1:91" s="204" customFormat="1" ht="32" customHeight="1" x14ac:dyDescent="0.2">
      <c r="A79" s="594" t="s">
        <v>201</v>
      </c>
      <c r="B79" s="594"/>
      <c r="C79" s="71">
        <v>0</v>
      </c>
      <c r="D79" s="71">
        <v>0</v>
      </c>
      <c r="E79" s="71">
        <v>0</v>
      </c>
      <c r="F79" s="71">
        <v>0</v>
      </c>
      <c r="G79" s="71">
        <v>5107932</v>
      </c>
      <c r="H79" s="71">
        <v>16152</v>
      </c>
      <c r="I79" s="71">
        <v>1300</v>
      </c>
      <c r="J79" s="71">
        <v>326021</v>
      </c>
      <c r="K79" s="71">
        <v>183685</v>
      </c>
      <c r="L79" s="71">
        <v>653</v>
      </c>
      <c r="M79" s="71">
        <v>0</v>
      </c>
      <c r="N79" s="71">
        <v>37197</v>
      </c>
      <c r="O79" s="71">
        <v>43809</v>
      </c>
      <c r="P79" s="71">
        <v>115471209</v>
      </c>
      <c r="Q79" s="71">
        <v>158051</v>
      </c>
      <c r="R79" s="71">
        <v>1631</v>
      </c>
      <c r="S79" s="71">
        <v>86273</v>
      </c>
      <c r="T79" s="71">
        <v>8938</v>
      </c>
      <c r="U79" s="71">
        <v>131360</v>
      </c>
      <c r="V79" s="71">
        <v>3337</v>
      </c>
      <c r="W79" s="71">
        <v>90052</v>
      </c>
      <c r="X79" s="71">
        <v>159244</v>
      </c>
      <c r="Y79" s="71">
        <v>221252</v>
      </c>
      <c r="Z79" s="71">
        <v>1815</v>
      </c>
      <c r="AA79" s="71">
        <v>0</v>
      </c>
      <c r="AB79" s="71">
        <v>534</v>
      </c>
      <c r="AC79" s="71">
        <v>5677</v>
      </c>
      <c r="AD79" s="71">
        <v>0</v>
      </c>
      <c r="AE79" s="71">
        <v>158051</v>
      </c>
      <c r="AF79" s="71">
        <v>1171731.5975882814</v>
      </c>
      <c r="AG79" s="71">
        <v>86273</v>
      </c>
      <c r="AH79" s="71">
        <v>8938</v>
      </c>
      <c r="AI79" s="71">
        <v>131360</v>
      </c>
      <c r="AJ79" s="71">
        <v>3337</v>
      </c>
      <c r="AK79" s="71">
        <v>90052</v>
      </c>
      <c r="AL79" s="71">
        <v>159244</v>
      </c>
      <c r="AM79" s="71">
        <v>0</v>
      </c>
      <c r="AN79" s="71">
        <v>0</v>
      </c>
      <c r="AO79" s="71">
        <v>30</v>
      </c>
      <c r="AP79" s="71">
        <v>0</v>
      </c>
      <c r="AQ79" s="71">
        <v>0</v>
      </c>
      <c r="AR79" s="71">
        <v>0</v>
      </c>
      <c r="AS79" s="71">
        <v>5677</v>
      </c>
      <c r="AT79" s="71">
        <v>0</v>
      </c>
      <c r="AU79" s="71">
        <v>1878.8059545526366</v>
      </c>
      <c r="AV79" s="71">
        <v>2618.4853936526169</v>
      </c>
      <c r="AW79" s="71">
        <v>64.839806839337683</v>
      </c>
      <c r="AX79" s="71">
        <v>221255.60500642925</v>
      </c>
      <c r="AY79" s="71">
        <v>0</v>
      </c>
      <c r="AZ79" s="71">
        <v>7615.8987860681009</v>
      </c>
      <c r="BA79" s="71">
        <v>155.50587286595987</v>
      </c>
      <c r="BB79" s="71">
        <v>0</v>
      </c>
      <c r="BC79" s="71">
        <v>212.95276388614863</v>
      </c>
      <c r="BD79" s="71">
        <v>0</v>
      </c>
      <c r="BE79" s="71">
        <v>0</v>
      </c>
      <c r="BF79" s="71">
        <v>5.8542957202667232</v>
      </c>
      <c r="BG79" s="71">
        <v>0</v>
      </c>
      <c r="BH79" s="71">
        <v>225119.86340787835</v>
      </c>
      <c r="BI79" s="71">
        <v>1664050.8162849844</v>
      </c>
      <c r="BJ79" s="71">
        <v>0</v>
      </c>
      <c r="BK79" s="71">
        <v>70.520172319600434</v>
      </c>
      <c r="BL79" s="71">
        <v>367.71614428547201</v>
      </c>
      <c r="BM79" s="71">
        <v>94177</v>
      </c>
      <c r="BN79" s="71">
        <v>48113.979927797322</v>
      </c>
      <c r="BO79" s="71">
        <v>7878.1047365435697</v>
      </c>
      <c r="BP79" s="71">
        <v>19669.409706784787</v>
      </c>
      <c r="BQ79" s="71">
        <v>0</v>
      </c>
      <c r="BR79" s="71">
        <v>126164070.95584886</v>
      </c>
      <c r="BS79" s="203"/>
      <c r="BT79" s="203"/>
      <c r="BU79" s="203"/>
      <c r="BV79" s="203"/>
      <c r="BW79" s="203"/>
      <c r="BX79" s="203"/>
      <c r="BY79" s="203"/>
      <c r="BZ79" s="203"/>
      <c r="CA79" s="203"/>
      <c r="CB79" s="203"/>
      <c r="CC79" s="203"/>
      <c r="CD79" s="203"/>
      <c r="CE79" s="203"/>
      <c r="CF79" s="205"/>
      <c r="CG79" s="203"/>
      <c r="CH79" s="203"/>
      <c r="CI79" s="595" t="s">
        <v>202</v>
      </c>
      <c r="CJ79" s="595"/>
      <c r="CK79" s="66"/>
      <c r="CL79" s="66"/>
    </row>
    <row r="80" spans="1:91" ht="32" customHeight="1" x14ac:dyDescent="0.2">
      <c r="A80" s="592" t="s">
        <v>203</v>
      </c>
      <c r="B80" s="592"/>
      <c r="C80" s="26">
        <v>279397069.01368821</v>
      </c>
      <c r="D80" s="26">
        <v>30309894.165905882</v>
      </c>
      <c r="E80" s="26">
        <v>227612224.75372583</v>
      </c>
      <c r="F80" s="26">
        <v>41229598.539917588</v>
      </c>
      <c r="G80" s="290">
        <v>65883381.787742779</v>
      </c>
      <c r="H80" s="26">
        <v>10075406.967820127</v>
      </c>
      <c r="I80" s="26">
        <v>3940985.3921404658</v>
      </c>
      <c r="J80" s="26">
        <v>3301990.2447172301</v>
      </c>
      <c r="K80" s="26">
        <v>18798270.06730466</v>
      </c>
      <c r="L80" s="26">
        <v>3598636.6193841263</v>
      </c>
      <c r="M80" s="26">
        <v>5704471.2461780747</v>
      </c>
      <c r="N80" s="26">
        <v>4380534.3221875373</v>
      </c>
      <c r="O80" s="26">
        <v>28478729.492518965</v>
      </c>
      <c r="P80" s="71">
        <v>229061051.37993383</v>
      </c>
      <c r="Q80" s="26">
        <v>28803262.933058307</v>
      </c>
      <c r="R80" s="26">
        <v>8522409.3040408939</v>
      </c>
      <c r="S80" s="26">
        <v>5111468.1126113012</v>
      </c>
      <c r="T80" s="26">
        <v>20977697.547871601</v>
      </c>
      <c r="U80" s="26">
        <v>79610837.486170843</v>
      </c>
      <c r="V80" s="26">
        <v>14951505.180270763</v>
      </c>
      <c r="W80" s="26">
        <v>1266963.7449166779</v>
      </c>
      <c r="X80" s="26">
        <v>6283124.1578484252</v>
      </c>
      <c r="Y80" s="26">
        <v>1960538.8619625703</v>
      </c>
      <c r="Z80" s="26">
        <v>4850226.0681080054</v>
      </c>
      <c r="AA80" s="26">
        <v>118187.81977633754</v>
      </c>
      <c r="AB80" s="26">
        <v>11059655.280343028</v>
      </c>
      <c r="AC80" s="26">
        <v>21738626.000714105</v>
      </c>
      <c r="AD80" s="26">
        <v>26295878.214908574</v>
      </c>
      <c r="AE80" s="26">
        <v>18024635.269653842</v>
      </c>
      <c r="AF80" s="26">
        <v>4387421.1120875692</v>
      </c>
      <c r="AG80" s="26">
        <v>160205350.33016858</v>
      </c>
      <c r="AH80" s="26">
        <v>454890507.98352218</v>
      </c>
      <c r="AI80" s="26">
        <v>98267997.345838696</v>
      </c>
      <c r="AJ80" s="26">
        <v>71412111.932709843</v>
      </c>
      <c r="AK80" s="26">
        <v>56082669.918157168</v>
      </c>
      <c r="AL80" s="26">
        <v>267027.58832971402</v>
      </c>
      <c r="AM80" s="26">
        <v>3391493.4643824976</v>
      </c>
      <c r="AN80" s="26">
        <v>463602.72316595167</v>
      </c>
      <c r="AO80" s="26">
        <v>48212045.703875042</v>
      </c>
      <c r="AP80" s="26">
        <v>76917330.60534066</v>
      </c>
      <c r="AQ80" s="26">
        <v>8783958.9667542949</v>
      </c>
      <c r="AR80" s="26">
        <v>685622.90952445474</v>
      </c>
      <c r="AS80" s="26">
        <v>228408252.34738997</v>
      </c>
      <c r="AT80" s="26">
        <v>6455414.4122182801</v>
      </c>
      <c r="AU80" s="26">
        <v>4859777.7785772579</v>
      </c>
      <c r="AV80" s="26">
        <v>9567898.299058957</v>
      </c>
      <c r="AW80" s="26">
        <v>6944522.0880682375</v>
      </c>
      <c r="AX80" s="26">
        <v>9085556.564924961</v>
      </c>
      <c r="AY80" s="26">
        <v>5509375.548060514</v>
      </c>
      <c r="AZ80" s="26">
        <v>95880.781173346011</v>
      </c>
      <c r="BA80" s="26">
        <v>2695818.3297113688</v>
      </c>
      <c r="BB80" s="26">
        <v>1772364.0427633747</v>
      </c>
      <c r="BC80" s="26">
        <v>22555571.853832625</v>
      </c>
      <c r="BD80" s="26">
        <v>2593291.4580191583</v>
      </c>
      <c r="BE80" s="26">
        <v>1830823.2116557492</v>
      </c>
      <c r="BF80" s="26">
        <v>9855774.4428773616</v>
      </c>
      <c r="BG80" s="26">
        <v>16396193.84011364</v>
      </c>
      <c r="BH80" s="26">
        <v>30195866.816083401</v>
      </c>
      <c r="BI80" s="26">
        <v>43941992.44934801</v>
      </c>
      <c r="BJ80" s="26">
        <v>149003.14959458422</v>
      </c>
      <c r="BK80" s="26">
        <v>453.86750806878041</v>
      </c>
      <c r="BL80" s="26">
        <v>194205.41902178407</v>
      </c>
      <c r="BM80" s="26">
        <v>14590578.370147817</v>
      </c>
      <c r="BN80" s="26">
        <v>721891.93876424478</v>
      </c>
      <c r="BO80" s="26">
        <v>19795706.922497083</v>
      </c>
      <c r="BP80" s="26">
        <v>17822627.980663087</v>
      </c>
      <c r="BQ80" s="26">
        <v>744667.56417216721</v>
      </c>
      <c r="BR80" s="25">
        <v>2642097910.0355225</v>
      </c>
      <c r="BS80" s="50"/>
      <c r="BT80" s="50"/>
      <c r="BU80" s="50"/>
      <c r="BV80" s="50"/>
      <c r="BW80" s="50"/>
      <c r="BX80" s="50"/>
      <c r="BY80" s="50"/>
      <c r="BZ80" s="50"/>
      <c r="CA80" s="50"/>
      <c r="CB80" s="50"/>
      <c r="CC80" s="50"/>
      <c r="CD80" s="50"/>
      <c r="CE80" s="50"/>
      <c r="CF80" s="50"/>
      <c r="CG80" s="50"/>
      <c r="CH80" s="50"/>
      <c r="CI80" s="593" t="s">
        <v>204</v>
      </c>
      <c r="CJ80" s="593"/>
    </row>
    <row r="81" spans="1:90" ht="32" customHeight="1" x14ac:dyDescent="0.2">
      <c r="A81" s="592" t="s">
        <v>205</v>
      </c>
      <c r="B81" s="592"/>
      <c r="C81" s="26">
        <v>12779926.42891025</v>
      </c>
      <c r="D81" s="26">
        <v>172444.936513383</v>
      </c>
      <c r="E81" s="26">
        <v>8459663</v>
      </c>
      <c r="F81" s="26">
        <v>3991866.8809587173</v>
      </c>
      <c r="G81" s="290">
        <v>5431583.8247003183</v>
      </c>
      <c r="H81" s="26">
        <v>1396207.8114251939</v>
      </c>
      <c r="I81" s="26">
        <v>513757.73106340953</v>
      </c>
      <c r="J81" s="26">
        <v>1633937.2325586593</v>
      </c>
      <c r="K81" s="26">
        <v>3295892.8382571405</v>
      </c>
      <c r="L81" s="26">
        <v>542493.29455927282</v>
      </c>
      <c r="M81" s="26">
        <v>144670.15257911311</v>
      </c>
      <c r="N81" s="26">
        <v>772785.78199424956</v>
      </c>
      <c r="O81" s="26">
        <v>924641.15063075884</v>
      </c>
      <c r="P81" s="71">
        <v>929675.00343590882</v>
      </c>
      <c r="Q81" s="26">
        <v>2324398.6156215705</v>
      </c>
      <c r="R81" s="26">
        <v>87370.933283279228</v>
      </c>
      <c r="S81" s="26">
        <v>471610.2339626826</v>
      </c>
      <c r="T81" s="26">
        <v>3905659.8013029448</v>
      </c>
      <c r="U81" s="26">
        <v>4645566.379539093</v>
      </c>
      <c r="V81" s="26">
        <v>1077676.0049838999</v>
      </c>
      <c r="W81" s="26">
        <v>688116.19314945478</v>
      </c>
      <c r="X81" s="26">
        <v>781895.48927214369</v>
      </c>
      <c r="Y81" s="26">
        <v>168481.69081827105</v>
      </c>
      <c r="Z81" s="26">
        <v>359175.69428501191</v>
      </c>
      <c r="AA81" s="26">
        <v>76151.184651252435</v>
      </c>
      <c r="AB81" s="26">
        <v>2445726.22280169</v>
      </c>
      <c r="AC81" s="26">
        <v>678726.39632676705</v>
      </c>
      <c r="AD81" s="26">
        <v>7708133.087921978</v>
      </c>
      <c r="AE81" s="26">
        <v>8571069.9499999993</v>
      </c>
      <c r="AF81" s="26">
        <v>455004.50835045124</v>
      </c>
      <c r="AG81" s="26">
        <v>13456547.719264884</v>
      </c>
      <c r="AH81" s="26">
        <v>10228853.271179935</v>
      </c>
      <c r="AI81" s="26">
        <v>22851976.823807653</v>
      </c>
      <c r="AJ81" s="26">
        <v>0</v>
      </c>
      <c r="AK81" s="26">
        <v>1567164.3664817042</v>
      </c>
      <c r="AL81" s="26">
        <v>233479.34918177733</v>
      </c>
      <c r="AM81" s="26">
        <v>251011.76608088726</v>
      </c>
      <c r="AN81" s="26">
        <v>582594.03282672958</v>
      </c>
      <c r="AO81" s="26">
        <v>16614276.979960566</v>
      </c>
      <c r="AP81" s="26">
        <v>3096431</v>
      </c>
      <c r="AQ81" s="26">
        <v>121231</v>
      </c>
      <c r="AR81" s="26">
        <v>51216</v>
      </c>
      <c r="AS81" s="26">
        <v>11581218.274111675</v>
      </c>
      <c r="AT81" s="26">
        <v>142893.70325643837</v>
      </c>
      <c r="AU81" s="26">
        <v>286674.14470981091</v>
      </c>
      <c r="AV81" s="26">
        <v>349673.52906099265</v>
      </c>
      <c r="AW81" s="26">
        <v>2258.5584482979561</v>
      </c>
      <c r="AX81" s="26">
        <v>141230.01836566746</v>
      </c>
      <c r="AY81" s="26">
        <v>68772.132712992039</v>
      </c>
      <c r="AZ81" s="26">
        <v>2958.5233604429245</v>
      </c>
      <c r="BA81" s="26">
        <v>290550.58274168475</v>
      </c>
      <c r="BB81" s="26">
        <v>10747.294278580917</v>
      </c>
      <c r="BC81" s="26">
        <v>1294113.8426749236</v>
      </c>
      <c r="BD81" s="26">
        <v>8492.6144520527851</v>
      </c>
      <c r="BE81" s="26">
        <v>43358.709915835083</v>
      </c>
      <c r="BF81" s="26">
        <v>131582.72876506837</v>
      </c>
      <c r="BG81" s="26">
        <v>16210662</v>
      </c>
      <c r="BH81" s="26">
        <v>4983897</v>
      </c>
      <c r="BI81" s="26">
        <v>8319279.6096276399</v>
      </c>
      <c r="BJ81" s="26">
        <v>9771.9620851980781</v>
      </c>
      <c r="BK81" s="26">
        <v>590.58233496840387</v>
      </c>
      <c r="BL81" s="26">
        <v>3079.4969999999998</v>
      </c>
      <c r="BM81" s="26">
        <v>1696737</v>
      </c>
      <c r="BN81" s="26">
        <v>402938.13352585497</v>
      </c>
      <c r="BO81" s="26">
        <v>65976.433939319482</v>
      </c>
      <c r="BP81" s="26">
        <v>164724.58205911782</v>
      </c>
      <c r="BQ81" s="26">
        <v>0</v>
      </c>
      <c r="BR81" s="25">
        <v>190701272.22006756</v>
      </c>
      <c r="BS81" s="50"/>
      <c r="BT81" s="50"/>
      <c r="BU81" s="50"/>
      <c r="BV81" s="50"/>
      <c r="BW81" s="50"/>
      <c r="BX81" s="50"/>
      <c r="BY81" s="50"/>
      <c r="BZ81" s="50"/>
      <c r="CA81" s="50"/>
      <c r="CB81" s="50"/>
      <c r="CC81" s="50"/>
      <c r="CD81" s="50"/>
      <c r="CE81" s="50"/>
      <c r="CF81" s="50"/>
      <c r="CG81" s="50"/>
      <c r="CH81" s="50"/>
      <c r="CI81" s="593" t="s">
        <v>206</v>
      </c>
      <c r="CJ81" s="593"/>
    </row>
    <row r="82" spans="1:90" ht="32" customHeight="1" x14ac:dyDescent="0.2">
      <c r="A82" s="592" t="s">
        <v>207</v>
      </c>
      <c r="B82" s="592"/>
      <c r="C82" s="26">
        <v>266617142.58477795</v>
      </c>
      <c r="D82" s="26">
        <v>30137449.229392499</v>
      </c>
      <c r="E82" s="26">
        <v>219152561.75372583</v>
      </c>
      <c r="F82" s="26">
        <v>37237731.658958867</v>
      </c>
      <c r="G82" s="290">
        <v>60451797.96304246</v>
      </c>
      <c r="H82" s="26">
        <v>8679199.1563949324</v>
      </c>
      <c r="I82" s="26">
        <v>3427227.6610770561</v>
      </c>
      <c r="J82" s="26">
        <v>1668053.0121585708</v>
      </c>
      <c r="K82" s="26">
        <v>15502377.229047518</v>
      </c>
      <c r="L82" s="26">
        <v>3056143.3248248533</v>
      </c>
      <c r="M82" s="26">
        <v>5559801.0935989618</v>
      </c>
      <c r="N82" s="26">
        <v>3607748.5401932877</v>
      </c>
      <c r="O82" s="26">
        <v>27554088.341888208</v>
      </c>
      <c r="P82" s="71">
        <v>228131376.37649792</v>
      </c>
      <c r="Q82" s="26">
        <v>26478864.317436736</v>
      </c>
      <c r="R82" s="26">
        <v>8435038.3707576152</v>
      </c>
      <c r="S82" s="26">
        <v>4639857.8786486182</v>
      </c>
      <c r="T82" s="26">
        <v>17072037.746568657</v>
      </c>
      <c r="U82" s="26">
        <v>74965271.106631756</v>
      </c>
      <c r="V82" s="26">
        <v>13873829.175286863</v>
      </c>
      <c r="W82" s="26">
        <v>578847.55176722317</v>
      </c>
      <c r="X82" s="26">
        <v>5501228.6685762815</v>
      </c>
      <c r="Y82" s="26">
        <v>1792057.1711442992</v>
      </c>
      <c r="Z82" s="26">
        <v>4491050.3738229936</v>
      </c>
      <c r="AA82" s="26">
        <v>42036.6351250851</v>
      </c>
      <c r="AB82" s="26">
        <v>8613929.0575413369</v>
      </c>
      <c r="AC82" s="26">
        <v>21059899.604387339</v>
      </c>
      <c r="AD82" s="26">
        <v>18587745.126986597</v>
      </c>
      <c r="AE82" s="26">
        <v>9453565.3196538426</v>
      </c>
      <c r="AF82" s="26">
        <v>3932416.6037371177</v>
      </c>
      <c r="AG82" s="26">
        <v>146748802.61090368</v>
      </c>
      <c r="AH82" s="26">
        <v>444661654.71234226</v>
      </c>
      <c r="AI82" s="26">
        <v>75416020.522031039</v>
      </c>
      <c r="AJ82" s="26">
        <v>71412111.932709843</v>
      </c>
      <c r="AK82" s="26">
        <v>54515505.551675461</v>
      </c>
      <c r="AL82" s="26">
        <v>33548.239147936692</v>
      </c>
      <c r="AM82" s="26">
        <v>3140481.6983016105</v>
      </c>
      <c r="AN82" s="26">
        <v>-118991.30966077792</v>
      </c>
      <c r="AO82" s="26">
        <v>31597768.723914474</v>
      </c>
      <c r="AP82" s="26">
        <v>73820899.60534066</v>
      </c>
      <c r="AQ82" s="26">
        <v>8662727.9667542949</v>
      </c>
      <c r="AR82" s="26">
        <v>634406.90952445474</v>
      </c>
      <c r="AS82" s="26">
        <v>216827034.07327828</v>
      </c>
      <c r="AT82" s="26">
        <v>6312520.7089618417</v>
      </c>
      <c r="AU82" s="26">
        <v>4573103.6338674473</v>
      </c>
      <c r="AV82" s="26">
        <v>9218224.7699979637</v>
      </c>
      <c r="AW82" s="26">
        <v>6942263.5296199396</v>
      </c>
      <c r="AX82" s="26">
        <v>8944326.5465592928</v>
      </c>
      <c r="AY82" s="26">
        <v>5440603.4153475221</v>
      </c>
      <c r="AZ82" s="26">
        <v>92922.257812903088</v>
      </c>
      <c r="BA82" s="26">
        <v>2405267.746969684</v>
      </c>
      <c r="BB82" s="26">
        <v>1761616.7484847938</v>
      </c>
      <c r="BC82" s="26">
        <v>21261458.011157703</v>
      </c>
      <c r="BD82" s="26">
        <v>2584798.8435671055</v>
      </c>
      <c r="BE82" s="26">
        <v>1787464.5017399141</v>
      </c>
      <c r="BF82" s="26">
        <v>9724191.714112293</v>
      </c>
      <c r="BG82" s="26">
        <v>185531.84011363983</v>
      </c>
      <c r="BH82" s="26">
        <v>25211969.816083401</v>
      </c>
      <c r="BI82" s="26">
        <v>35622712.839720368</v>
      </c>
      <c r="BJ82" s="26">
        <v>139231.18750938613</v>
      </c>
      <c r="BK82" s="26">
        <v>-136.71482689962346</v>
      </c>
      <c r="BL82" s="26">
        <v>191125.92202178406</v>
      </c>
      <c r="BM82" s="26">
        <v>12893841.370147817</v>
      </c>
      <c r="BN82" s="26">
        <v>318953.80523838982</v>
      </c>
      <c r="BO82" s="26">
        <v>19729730.488557763</v>
      </c>
      <c r="BP82" s="26">
        <v>17657903.398603968</v>
      </c>
      <c r="BQ82" s="26">
        <v>744667.56417216721</v>
      </c>
      <c r="BR82" s="25">
        <v>2451396637.815455</v>
      </c>
      <c r="BS82" s="50"/>
      <c r="BT82" s="50"/>
      <c r="BU82" s="50"/>
      <c r="BV82" s="50"/>
      <c r="BW82" s="50"/>
      <c r="BX82" s="50"/>
      <c r="BY82" s="50"/>
      <c r="BZ82" s="50"/>
      <c r="CA82" s="50"/>
      <c r="CB82" s="50"/>
      <c r="CC82" s="50"/>
      <c r="CD82" s="50"/>
      <c r="CE82" s="50"/>
      <c r="CF82" s="50"/>
      <c r="CG82" s="50"/>
      <c r="CH82" s="50"/>
      <c r="CI82" s="593" t="s">
        <v>208</v>
      </c>
      <c r="CJ82" s="593"/>
    </row>
    <row r="83" spans="1:90" s="49" customFormat="1" ht="32" customHeight="1" x14ac:dyDescent="0.2">
      <c r="A83" s="596" t="s">
        <v>209</v>
      </c>
      <c r="B83" s="596"/>
      <c r="C83" s="25">
        <v>583746855.77765846</v>
      </c>
      <c r="D83" s="25">
        <v>43810786</v>
      </c>
      <c r="E83" s="26">
        <v>249381905.94032285</v>
      </c>
      <c r="F83" s="25">
        <v>69213965.091159701</v>
      </c>
      <c r="G83" s="290">
        <v>289822096.87750566</v>
      </c>
      <c r="H83" s="25">
        <v>23635863.386621036</v>
      </c>
      <c r="I83" s="25">
        <v>13047286.623868857</v>
      </c>
      <c r="J83" s="25">
        <v>31938566.805867061</v>
      </c>
      <c r="K83" s="25">
        <v>29197069.045709047</v>
      </c>
      <c r="L83" s="25">
        <v>9592579.7576425411</v>
      </c>
      <c r="M83" s="25">
        <v>6368614.0454822564</v>
      </c>
      <c r="N83" s="25">
        <v>18852834.219850846</v>
      </c>
      <c r="O83" s="25">
        <v>31621050.657463022</v>
      </c>
      <c r="P83" s="71">
        <v>318153556.32204205</v>
      </c>
      <c r="Q83" s="25">
        <v>69016067.986331344</v>
      </c>
      <c r="R83" s="25">
        <v>33143328.40634219</v>
      </c>
      <c r="S83" s="25">
        <v>17665621.496386949</v>
      </c>
      <c r="T83" s="25">
        <v>64619533.315804981</v>
      </c>
      <c r="U83" s="25">
        <v>170558313.96822283</v>
      </c>
      <c r="V83" s="25">
        <v>29217509.748282332</v>
      </c>
      <c r="W83" s="25">
        <v>8152114.1793151163</v>
      </c>
      <c r="X83" s="25">
        <v>30609334.069986731</v>
      </c>
      <c r="Y83" s="25">
        <v>11189066.290664399</v>
      </c>
      <c r="Z83" s="25">
        <v>25221858.788342103</v>
      </c>
      <c r="AA83" s="25">
        <v>1305798.2524385888</v>
      </c>
      <c r="AB83" s="25">
        <v>20381051.856680751</v>
      </c>
      <c r="AC83" s="25">
        <v>25103587.127778117</v>
      </c>
      <c r="AD83" s="25">
        <v>29555641.635778919</v>
      </c>
      <c r="AE83" s="25">
        <v>116963512.07091515</v>
      </c>
      <c r="AF83" s="25">
        <v>19306661.004644055</v>
      </c>
      <c r="AG83" s="25">
        <v>307422771.15085</v>
      </c>
      <c r="AH83" s="25">
        <v>574900539.25802064</v>
      </c>
      <c r="AI83" s="25">
        <v>217642992.19231021</v>
      </c>
      <c r="AJ83" s="25">
        <v>81034746.573811993</v>
      </c>
      <c r="AK83" s="25">
        <v>101711012.06178313</v>
      </c>
      <c r="AL83" s="25">
        <v>2625404.3338297647</v>
      </c>
      <c r="AM83" s="25">
        <v>3951889.7639999995</v>
      </c>
      <c r="AN83" s="25">
        <v>3951889.7639999995</v>
      </c>
      <c r="AO83" s="25">
        <v>99166622.149013653</v>
      </c>
      <c r="AP83" s="25">
        <v>131480737.38797845</v>
      </c>
      <c r="AQ83" s="25">
        <v>16171768.999999978</v>
      </c>
      <c r="AR83" s="25">
        <v>2232640.7999999998</v>
      </c>
      <c r="AS83" s="25">
        <v>276756261.51814759</v>
      </c>
      <c r="AT83" s="25">
        <v>9659054.7556290478</v>
      </c>
      <c r="AU83" s="25">
        <v>6252245.3852760438</v>
      </c>
      <c r="AV83" s="25">
        <v>16687416.364026397</v>
      </c>
      <c r="AW83" s="25">
        <v>6994524.6550230458</v>
      </c>
      <c r="AX83" s="25">
        <v>12206061.085902307</v>
      </c>
      <c r="AY83" s="25">
        <v>10678731.707813241</v>
      </c>
      <c r="AZ83" s="25">
        <v>125011.24759787091</v>
      </c>
      <c r="BA83" s="25">
        <v>4743549.1089914721</v>
      </c>
      <c r="BB83" s="25">
        <v>2088830.0119468081</v>
      </c>
      <c r="BC83" s="25">
        <v>44846794.745869361</v>
      </c>
      <c r="BD83" s="25">
        <v>3470146.2989542354</v>
      </c>
      <c r="BE83" s="25">
        <v>2420145.2312196908</v>
      </c>
      <c r="BF83" s="25">
        <v>14324662.596521374</v>
      </c>
      <c r="BG83" s="25">
        <v>202921092.79723477</v>
      </c>
      <c r="BH83" s="25">
        <v>163021454.50661805</v>
      </c>
      <c r="BI83" s="25">
        <v>164305214.6810146</v>
      </c>
      <c r="BJ83" s="25">
        <v>225459.93221639199</v>
      </c>
      <c r="BK83" s="25">
        <v>7035.4688616792282</v>
      </c>
      <c r="BL83" s="25">
        <v>277030.31699999998</v>
      </c>
      <c r="BM83" s="25">
        <v>43827318</v>
      </c>
      <c r="BN83" s="25">
        <v>16032968.959085904</v>
      </c>
      <c r="BO83" s="25">
        <v>21494964.965368938</v>
      </c>
      <c r="BP83" s="25">
        <v>22463166.2414863</v>
      </c>
      <c r="BQ83" s="25">
        <v>1731103.8937081348</v>
      </c>
      <c r="BR83" s="25">
        <v>4980245289.6602192</v>
      </c>
      <c r="BS83" s="50"/>
      <c r="BT83" s="50"/>
      <c r="BU83" s="50"/>
      <c r="BV83" s="50"/>
      <c r="BW83" s="50"/>
      <c r="BX83" s="50"/>
      <c r="BY83" s="50"/>
      <c r="BZ83" s="50"/>
      <c r="CA83" s="50"/>
      <c r="CB83" s="50"/>
      <c r="CC83" s="50"/>
      <c r="CD83" s="50"/>
      <c r="CE83" s="50"/>
      <c r="CF83" s="50"/>
      <c r="CG83" s="50"/>
      <c r="CH83" s="50"/>
      <c r="CI83" s="597" t="s">
        <v>210</v>
      </c>
      <c r="CJ83" s="597"/>
      <c r="CK83" s="2"/>
      <c r="CL83" s="2"/>
    </row>
    <row r="84" spans="1:90" s="49" customFormat="1" ht="32" customHeight="1" x14ac:dyDescent="0.2">
      <c r="A84" s="51"/>
      <c r="B84" s="51"/>
      <c r="C84" s="50"/>
      <c r="D84" s="52"/>
      <c r="E84" s="52"/>
      <c r="F84" s="52"/>
      <c r="G84" s="291"/>
      <c r="H84" s="52"/>
      <c r="I84" s="52"/>
      <c r="J84" s="52"/>
      <c r="K84" s="52"/>
      <c r="L84" s="52"/>
      <c r="M84" s="52"/>
      <c r="N84" s="52"/>
      <c r="O84" s="52"/>
      <c r="P84" s="79"/>
      <c r="Q84" s="52"/>
      <c r="R84" s="52"/>
      <c r="S84" s="52"/>
      <c r="T84" s="52"/>
      <c r="U84" s="52"/>
      <c r="V84" s="52"/>
      <c r="W84" s="52"/>
      <c r="X84" s="52"/>
      <c r="Y84" s="52"/>
      <c r="Z84" s="52"/>
      <c r="AA84" s="52"/>
      <c r="AB84" s="52"/>
      <c r="AC84" s="52"/>
      <c r="AD84" s="52"/>
      <c r="AE84" s="52"/>
      <c r="AF84" s="52"/>
      <c r="AG84" s="52"/>
      <c r="AH84" s="52"/>
      <c r="AI84" s="52"/>
      <c r="AJ84" s="52"/>
      <c r="AK84" s="52"/>
      <c r="AL84" s="52"/>
      <c r="AM84" s="52"/>
      <c r="AN84" s="52"/>
      <c r="AO84" s="52"/>
      <c r="AP84" s="52"/>
      <c r="AQ84" s="52"/>
      <c r="AR84" s="52"/>
      <c r="AS84" s="52"/>
      <c r="AT84" s="52"/>
      <c r="AU84" s="52"/>
      <c r="AV84" s="52"/>
      <c r="AW84" s="52"/>
      <c r="AX84" s="52"/>
      <c r="AY84" s="52"/>
      <c r="AZ84" s="52"/>
      <c r="BA84" s="52"/>
      <c r="BB84" s="52"/>
      <c r="BC84" s="52"/>
      <c r="BD84" s="52"/>
      <c r="BE84" s="52"/>
      <c r="BF84" s="52"/>
      <c r="BG84" s="52"/>
      <c r="BH84" s="52"/>
      <c r="BI84" s="52"/>
      <c r="BJ84" s="52"/>
      <c r="BK84" s="52"/>
      <c r="BL84" s="52"/>
      <c r="BM84" s="52"/>
      <c r="BN84" s="52"/>
      <c r="BO84" s="52"/>
      <c r="BP84" s="52"/>
      <c r="BQ84" s="52"/>
      <c r="BR84" s="52"/>
      <c r="BS84" s="52"/>
      <c r="BT84" s="52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3"/>
      <c r="CJ84" s="53"/>
      <c r="CK84" s="2"/>
      <c r="CL84" s="2"/>
    </row>
    <row r="85" spans="1:90" s="300" customFormat="1" ht="35" customHeight="1" x14ac:dyDescent="0.2">
      <c r="A85" s="296"/>
      <c r="B85" s="297"/>
      <c r="C85" s="298">
        <v>6025.7094709881158</v>
      </c>
      <c r="D85" s="298">
        <v>452.23552901188441</v>
      </c>
      <c r="E85" s="298">
        <v>32.045129192154583</v>
      </c>
      <c r="F85" s="298">
        <v>8.8938708078454205</v>
      </c>
      <c r="G85" s="298">
        <v>642.68076467454159</v>
      </c>
      <c r="H85" s="298">
        <v>52.412548659037704</v>
      </c>
      <c r="I85" s="298">
        <v>28.932370011455699</v>
      </c>
      <c r="J85" s="298">
        <v>70.823801078490831</v>
      </c>
      <c r="K85" s="298">
        <v>64.744527290072426</v>
      </c>
      <c r="L85" s="298">
        <v>21.271554378577555</v>
      </c>
      <c r="M85" s="298">
        <v>14.122407465699473</v>
      </c>
      <c r="N85" s="298">
        <v>41.80617711084026</v>
      </c>
      <c r="O85" s="298">
        <v>70.119708729248529</v>
      </c>
      <c r="P85" s="298">
        <v>705.50580188299148</v>
      </c>
      <c r="Q85" s="298">
        <v>153.04319382877321</v>
      </c>
      <c r="R85" s="298">
        <v>73.495361028494074</v>
      </c>
      <c r="S85" s="298">
        <v>39.173531811646221</v>
      </c>
      <c r="T85" s="298">
        <v>143.29387417918741</v>
      </c>
      <c r="U85" s="298">
        <v>378.21321708615949</v>
      </c>
      <c r="V85" s="298">
        <v>64.789854566708016</v>
      </c>
      <c r="W85" s="298">
        <v>18.077320642293131</v>
      </c>
      <c r="X85" s="298">
        <v>67.876226271980968</v>
      </c>
      <c r="Y85" s="298">
        <v>24.811764724473814</v>
      </c>
      <c r="Z85" s="298">
        <v>55.929494911687335</v>
      </c>
      <c r="AA85" s="298">
        <v>2.8956088180626463</v>
      </c>
      <c r="AB85" s="298">
        <v>45.195001117044569</v>
      </c>
      <c r="AC85" s="298">
        <v>55.667227396306266</v>
      </c>
      <c r="AD85" s="298">
        <v>65.539662336227408</v>
      </c>
      <c r="AE85" s="298">
        <v>202.41300000000001</v>
      </c>
      <c r="AF85" s="298">
        <v>306.85000000000002</v>
      </c>
      <c r="AG85" s="298" t="s">
        <v>211</v>
      </c>
      <c r="AH85" s="298">
        <v>3003.9490000000001</v>
      </c>
      <c r="AI85" s="298">
        <v>1375.3810658445213</v>
      </c>
      <c r="AJ85" s="298">
        <v>512.09393415547845</v>
      </c>
      <c r="AK85" s="298">
        <v>667.84199999999998</v>
      </c>
      <c r="AL85" s="298">
        <v>4.5047629593476994</v>
      </c>
      <c r="AM85" s="298">
        <v>6.7807942566788082</v>
      </c>
      <c r="AN85" s="298">
        <v>6.7807942566788082</v>
      </c>
      <c r="AO85" s="298">
        <v>170.15364852729468</v>
      </c>
      <c r="AP85" s="298">
        <v>158.94429632618554</v>
      </c>
      <c r="AQ85" s="298">
        <v>19.54971119814876</v>
      </c>
      <c r="AR85" s="298">
        <v>2.6989924756657011</v>
      </c>
      <c r="AS85" s="298">
        <v>36.113999999999997</v>
      </c>
      <c r="AT85" s="298">
        <v>58.164584632027527</v>
      </c>
      <c r="AU85" s="298">
        <v>37.64956976148838</v>
      </c>
      <c r="AV85" s="298">
        <v>100.4877460529607</v>
      </c>
      <c r="AW85" s="298">
        <v>42.11940314561307</v>
      </c>
      <c r="AX85" s="298">
        <v>73.502065265849751</v>
      </c>
      <c r="AY85" s="298">
        <v>64.304842440182227</v>
      </c>
      <c r="AZ85" s="298">
        <v>0.75278870187833091</v>
      </c>
      <c r="BA85" s="298">
        <v>13.238222137740753</v>
      </c>
      <c r="BB85" s="298">
        <v>5.8294738961837602</v>
      </c>
      <c r="BC85" s="298">
        <v>125.15772839499675</v>
      </c>
      <c r="BD85" s="298">
        <v>9.6844296328539805</v>
      </c>
      <c r="BE85" s="298">
        <v>6.7541031915851573</v>
      </c>
      <c r="BF85" s="298">
        <v>39.977042746639583</v>
      </c>
      <c r="BG85" s="298">
        <v>1728.8610000000001</v>
      </c>
      <c r="BH85" s="298">
        <v>2282.7570000000001</v>
      </c>
      <c r="BI85" s="298">
        <v>779.59400000000005</v>
      </c>
      <c r="BJ85" s="298">
        <v>0.59398733770473988</v>
      </c>
      <c r="BK85" s="298">
        <v>1.8535352945296461E-2</v>
      </c>
      <c r="BL85" s="298">
        <v>0.72985252342041795</v>
      </c>
      <c r="BM85" s="298">
        <v>115.46562478592955</v>
      </c>
      <c r="BN85" s="298">
        <v>162.41107725174007</v>
      </c>
      <c r="BO85" s="298">
        <v>217.74010942219257</v>
      </c>
      <c r="BP85" s="298">
        <v>227.54781332606731</v>
      </c>
      <c r="BQ85" s="298">
        <v>330.29</v>
      </c>
      <c r="BR85" s="298">
        <f>SUM(C85:BQ85)</f>
        <v>22316.992000000013</v>
      </c>
      <c r="BS85" s="299"/>
      <c r="BT85" s="299"/>
      <c r="BU85" s="297"/>
      <c r="BV85" s="297"/>
      <c r="CF85" s="301"/>
      <c r="CG85" s="296"/>
      <c r="CH85" s="302"/>
      <c r="CI85" s="598" t="s">
        <v>212</v>
      </c>
      <c r="CJ85" s="598"/>
      <c r="CK85" s="303"/>
      <c r="CL85" s="303"/>
    </row>
    <row r="86" spans="1:90" s="59" customFormat="1" ht="14" customHeight="1" x14ac:dyDescent="0.2">
      <c r="G86" s="292"/>
      <c r="P86" s="65"/>
    </row>
    <row r="87" spans="1:90" x14ac:dyDescent="0.2">
      <c r="D87" s="56"/>
      <c r="E87" s="56"/>
      <c r="F87" s="56"/>
      <c r="G87" s="293"/>
      <c r="H87" s="56"/>
      <c r="I87" s="56"/>
      <c r="J87" s="56"/>
      <c r="K87" s="56"/>
      <c r="L87" s="56"/>
      <c r="M87" s="56"/>
      <c r="N87" s="56"/>
      <c r="O87" s="56"/>
      <c r="P87" s="80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56"/>
      <c r="AB87" s="56"/>
      <c r="AC87" s="56"/>
      <c r="AD87" s="56"/>
      <c r="AE87" s="56"/>
      <c r="AF87" s="56"/>
      <c r="AG87" s="56"/>
      <c r="AH87" s="56"/>
      <c r="AI87" s="56"/>
      <c r="AJ87" s="56"/>
      <c r="AK87" s="56"/>
      <c r="AL87" s="56"/>
      <c r="AM87" s="56"/>
      <c r="AN87" s="56"/>
      <c r="AO87" s="56"/>
      <c r="AP87" s="56"/>
      <c r="AQ87" s="56"/>
      <c r="AR87" s="56"/>
      <c r="AS87" s="56"/>
      <c r="AT87" s="56"/>
      <c r="AU87" s="56"/>
      <c r="AV87" s="56"/>
      <c r="AW87" s="56"/>
      <c r="AX87" s="56"/>
      <c r="AY87" s="56"/>
      <c r="AZ87" s="56"/>
      <c r="BA87" s="56"/>
      <c r="BB87" s="56"/>
      <c r="BC87" s="56"/>
      <c r="BD87" s="56"/>
      <c r="BE87" s="56"/>
      <c r="BF87" s="56"/>
      <c r="BG87" s="56"/>
      <c r="BH87" s="56"/>
      <c r="BI87" s="57"/>
      <c r="BJ87" s="57"/>
      <c r="BK87" s="57"/>
      <c r="BL87" s="57"/>
      <c r="BM87" s="57"/>
      <c r="BN87" s="57"/>
      <c r="BO87" s="57"/>
      <c r="BP87" s="57"/>
      <c r="BQ87" s="57"/>
      <c r="BR87" s="58"/>
      <c r="BS87" s="59"/>
      <c r="BT87" s="59"/>
    </row>
    <row r="88" spans="1:90" s="308" customFormat="1" ht="29" customHeight="1" x14ac:dyDescent="0.2">
      <c r="A88" s="296"/>
      <c r="B88" s="304"/>
      <c r="C88" s="305">
        <f>5.50009250812365%*C77</f>
        <v>4426263.030579255</v>
      </c>
      <c r="D88" s="305">
        <f t="shared" ref="D88:BQ88" si="0">5.50009250812365%*D77</f>
        <v>446934.31089926214</v>
      </c>
      <c r="E88" s="305">
        <f t="shared" si="0"/>
        <v>374826.00288049277</v>
      </c>
      <c r="F88" s="305">
        <f t="shared" si="0"/>
        <v>484242.64071958937</v>
      </c>
      <c r="G88" s="305">
        <f t="shared" si="0"/>
        <v>649632.46646140062</v>
      </c>
      <c r="H88" s="305">
        <f t="shared" si="0"/>
        <v>105313.10560167165</v>
      </c>
      <c r="I88" s="305">
        <f t="shared" si="0"/>
        <v>105494.92079128243</v>
      </c>
      <c r="J88" s="305">
        <f t="shared" si="0"/>
        <v>339530.95598403062</v>
      </c>
      <c r="K88" s="305">
        <f t="shared" si="0"/>
        <v>117746.41848567645</v>
      </c>
      <c r="L88" s="305">
        <f t="shared" si="0"/>
        <v>4099.329242402393</v>
      </c>
      <c r="M88" s="305">
        <f t="shared" si="0"/>
        <v>6920.9717927942393</v>
      </c>
      <c r="N88" s="305">
        <f t="shared" si="0"/>
        <v>86321.494927251319</v>
      </c>
      <c r="O88" s="305">
        <f t="shared" si="0"/>
        <v>64618.028397951181</v>
      </c>
      <c r="P88" s="305">
        <f t="shared" si="0"/>
        <v>599084.59858234972</v>
      </c>
      <c r="Q88" s="305">
        <f>5.50009250812365%*Q77</f>
        <v>310093.6121938579</v>
      </c>
      <c r="R88" s="305">
        <f t="shared" si="0"/>
        <v>261419.90256174022</v>
      </c>
      <c r="S88" s="305">
        <f t="shared" si="0"/>
        <v>82960.201106039778</v>
      </c>
      <c r="T88" s="305">
        <f t="shared" si="0"/>
        <v>315845.04919977835</v>
      </c>
      <c r="U88" s="305">
        <f t="shared" si="0"/>
        <v>366928.88233828312</v>
      </c>
      <c r="V88" s="305">
        <f t="shared" si="0"/>
        <v>94651.754646483547</v>
      </c>
      <c r="W88" s="305">
        <f t="shared" si="0"/>
        <v>51635.438462586819</v>
      </c>
      <c r="X88" s="305">
        <f t="shared" si="0"/>
        <v>175926.64461365881</v>
      </c>
      <c r="Y88" s="305">
        <f t="shared" si="0"/>
        <v>89361.853681887296</v>
      </c>
      <c r="Z88" s="305">
        <f>5.50009250812365%*Z77</f>
        <v>65505.807336432728</v>
      </c>
      <c r="AA88" s="305">
        <f t="shared" si="0"/>
        <v>23473.085688060943</v>
      </c>
      <c r="AB88" s="305">
        <f t="shared" si="0"/>
        <v>214841.82353314103</v>
      </c>
      <c r="AC88" s="305">
        <f t="shared" si="0"/>
        <v>141938.14122465873</v>
      </c>
      <c r="AD88" s="305">
        <f t="shared" si="0"/>
        <v>178769.93579985492</v>
      </c>
      <c r="AE88" s="305">
        <f t="shared" si="0"/>
        <v>2314561.8850382837</v>
      </c>
      <c r="AF88" s="305">
        <f t="shared" si="0"/>
        <v>513227.38216428814</v>
      </c>
      <c r="AG88" s="305">
        <f t="shared" si="0"/>
        <v>1957189.6474050111</v>
      </c>
      <c r="AH88" s="305">
        <f t="shared" si="0"/>
        <v>2852024.9738877136</v>
      </c>
      <c r="AI88" s="305">
        <f t="shared" si="0"/>
        <v>3248895.0036993329</v>
      </c>
      <c r="AJ88" s="305">
        <f t="shared" si="0"/>
        <v>345685.01222893753</v>
      </c>
      <c r="AK88" s="305">
        <f t="shared" si="0"/>
        <v>494998.64290651004</v>
      </c>
      <c r="AL88" s="305">
        <f>5.50009250812365%*AL77</f>
        <v>69393.382280075894</v>
      </c>
      <c r="AM88" s="305">
        <f t="shared" si="0"/>
        <v>10696.232666055068</v>
      </c>
      <c r="AN88" s="305">
        <f t="shared" si="0"/>
        <v>125687.04422764882</v>
      </c>
      <c r="AO88" s="305">
        <f t="shared" si="0"/>
        <v>823958.42877361306</v>
      </c>
      <c r="AP88" s="305">
        <f t="shared" si="0"/>
        <v>2149891.813666502</v>
      </c>
      <c r="AQ88" s="305">
        <f t="shared" si="0"/>
        <v>349507.55552305927</v>
      </c>
      <c r="AR88" s="305">
        <f t="shared" si="0"/>
        <v>40059.373773667794</v>
      </c>
      <c r="AS88" s="305">
        <f t="shared" si="0"/>
        <v>242772.59093410199</v>
      </c>
      <c r="AT88" s="305">
        <f t="shared" si="0"/>
        <v>91718.695945123778</v>
      </c>
      <c r="AU88" s="305">
        <f t="shared" si="0"/>
        <v>33463.72612990639</v>
      </c>
      <c r="AV88" s="305">
        <f t="shared" si="0"/>
        <v>118384.34981649889</v>
      </c>
      <c r="AW88" s="305">
        <f t="shared" si="0"/>
        <v>1536.0262240896545</v>
      </c>
      <c r="AX88" s="305">
        <f>5.50009250812365%*AX77</f>
        <v>72289.671619956716</v>
      </c>
      <c r="AY88" s="305">
        <f t="shared" si="0"/>
        <v>179424.46199021133</v>
      </c>
      <c r="AZ88" s="305">
        <f t="shared" si="0"/>
        <v>677.16640645763459</v>
      </c>
      <c r="BA88" s="305">
        <f t="shared" si="0"/>
        <v>42727.997829605483</v>
      </c>
      <c r="BB88" s="305">
        <f t="shared" si="0"/>
        <v>9963.771531181239</v>
      </c>
      <c r="BC88" s="305">
        <f t="shared" si="0"/>
        <v>122261.53175752271</v>
      </c>
      <c r="BD88" s="305">
        <f t="shared" si="0"/>
        <v>40372.754929625145</v>
      </c>
      <c r="BE88" s="305">
        <f t="shared" si="0"/>
        <v>20550.715417859734</v>
      </c>
      <c r="BF88" s="305">
        <f t="shared" si="0"/>
        <v>104364.85755945825</v>
      </c>
      <c r="BG88" s="305">
        <f t="shared" si="0"/>
        <v>7620357.7096611876</v>
      </c>
      <c r="BH88" s="305">
        <f>5.50009250812365%*BH77</f>
        <v>6632295.5710726166</v>
      </c>
      <c r="BI88" s="305">
        <f t="shared" si="0"/>
        <v>4022513.996175163</v>
      </c>
      <c r="BJ88" s="305">
        <f t="shared" si="0"/>
        <v>1114.2739349235765</v>
      </c>
      <c r="BK88" s="305">
        <f t="shared" si="0"/>
        <v>247.52277613864175</v>
      </c>
      <c r="BL88" s="305">
        <f t="shared" si="0"/>
        <v>1320.4239837073944</v>
      </c>
      <c r="BM88" s="305">
        <f t="shared" si="0"/>
        <v>1274890.0378548407</v>
      </c>
      <c r="BN88" s="305">
        <f t="shared" si="0"/>
        <v>342837.12798174826</v>
      </c>
      <c r="BO88" s="305">
        <f t="shared" si="0"/>
        <v>21405.854672263777</v>
      </c>
      <c r="BP88" s="305">
        <f>5.50009250812365%*BP77</f>
        <v>135693.95304484564</v>
      </c>
      <c r="BQ88" s="305">
        <f t="shared" si="0"/>
        <v>54254.910658217676</v>
      </c>
      <c r="BR88" s="305">
        <f>5.50009250812365%*BR77</f>
        <v>46667596.485879816</v>
      </c>
      <c r="BS88" s="306"/>
      <c r="BT88" s="306"/>
      <c r="BU88" s="307"/>
      <c r="BV88" s="307"/>
      <c r="CF88" s="309"/>
      <c r="CG88" s="310"/>
      <c r="CH88" s="302"/>
      <c r="CI88" s="599" t="s">
        <v>213</v>
      </c>
      <c r="CJ88" s="599"/>
      <c r="CK88" s="311"/>
      <c r="CL88" s="311"/>
    </row>
    <row r="89" spans="1:90" s="49" customFormat="1" x14ac:dyDescent="0.2">
      <c r="E89" s="2"/>
      <c r="F89" s="2"/>
      <c r="G89" s="294"/>
      <c r="H89" s="2"/>
      <c r="I89" s="2"/>
      <c r="J89" s="2"/>
      <c r="K89" s="2"/>
      <c r="L89" s="2"/>
      <c r="M89" s="2"/>
      <c r="N89" s="2"/>
      <c r="O89" s="2"/>
      <c r="P89" s="66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</row>
    <row r="90" spans="1:90" s="49" customFormat="1" x14ac:dyDescent="0.2">
      <c r="E90" s="2"/>
      <c r="F90" s="2"/>
      <c r="G90" s="294"/>
      <c r="H90" s="2"/>
      <c r="I90" s="2"/>
      <c r="J90" s="2"/>
      <c r="K90" s="2"/>
      <c r="L90" s="2"/>
      <c r="M90" s="2"/>
      <c r="N90" s="2"/>
      <c r="O90" s="2"/>
      <c r="P90" s="66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</row>
    <row r="91" spans="1:90" s="49" customFormat="1" x14ac:dyDescent="0.2">
      <c r="E91" s="2"/>
      <c r="F91" s="2"/>
      <c r="G91" s="294"/>
      <c r="H91" s="2"/>
      <c r="I91" s="2"/>
      <c r="J91" s="2"/>
      <c r="K91" s="2"/>
      <c r="L91" s="2"/>
      <c r="M91" s="2"/>
      <c r="N91" s="2"/>
      <c r="O91" s="2"/>
      <c r="P91" s="66"/>
      <c r="Q91" s="219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</row>
    <row r="92" spans="1:90" s="49" customFormat="1" x14ac:dyDescent="0.2">
      <c r="E92" s="2"/>
      <c r="F92" s="2"/>
      <c r="G92" s="294"/>
      <c r="H92" s="2"/>
      <c r="I92" s="2"/>
      <c r="J92" s="2"/>
      <c r="K92" s="2"/>
      <c r="L92" s="2"/>
      <c r="M92" s="2"/>
      <c r="N92" s="2"/>
      <c r="O92" s="2"/>
      <c r="P92" s="66"/>
      <c r="Q92" s="219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</row>
    <row r="93" spans="1:90" s="49" customFormat="1" x14ac:dyDescent="0.2">
      <c r="E93" s="2"/>
      <c r="F93" s="2"/>
      <c r="G93" s="294"/>
      <c r="H93" s="2"/>
      <c r="I93" s="2"/>
      <c r="J93" s="2"/>
      <c r="K93" s="2"/>
      <c r="L93" s="2"/>
      <c r="M93" s="2"/>
      <c r="N93" s="2"/>
      <c r="O93" s="2"/>
      <c r="P93" s="66"/>
      <c r="Q93" s="217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</row>
    <row r="94" spans="1:90" s="49" customFormat="1" x14ac:dyDescent="0.2">
      <c r="E94" s="2"/>
      <c r="F94" s="2"/>
      <c r="G94" s="294"/>
      <c r="H94" s="2"/>
      <c r="I94" s="2"/>
      <c r="J94" s="2"/>
      <c r="K94" s="2"/>
      <c r="L94" s="2"/>
      <c r="M94" s="2"/>
      <c r="N94" s="2"/>
      <c r="O94" s="2"/>
      <c r="P94" s="66"/>
      <c r="Q94" s="217"/>
      <c r="R94" s="217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</row>
    <row r="95" spans="1:90" s="49" customFormat="1" x14ac:dyDescent="0.2">
      <c r="E95" s="2"/>
      <c r="F95" s="2"/>
      <c r="G95" s="294"/>
      <c r="H95" s="2"/>
      <c r="I95" s="2"/>
      <c r="J95" s="2"/>
      <c r="K95" s="2"/>
      <c r="L95" s="2"/>
      <c r="M95" s="2"/>
      <c r="N95" s="2"/>
      <c r="O95" s="2"/>
      <c r="P95" s="66"/>
      <c r="Q95" s="218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</row>
    <row r="96" spans="1:90" s="49" customFormat="1" x14ac:dyDescent="0.2">
      <c r="E96" s="2"/>
      <c r="F96" s="2"/>
      <c r="G96" s="294"/>
      <c r="H96" s="2"/>
      <c r="I96" s="2"/>
      <c r="J96" s="2"/>
      <c r="K96" s="2"/>
      <c r="L96" s="2"/>
      <c r="M96" s="2"/>
      <c r="N96" s="2"/>
      <c r="O96" s="2"/>
      <c r="P96" s="66"/>
      <c r="Q96" s="223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</row>
    <row r="97" spans="5:88" s="49" customFormat="1" x14ac:dyDescent="0.2">
      <c r="E97" s="2"/>
      <c r="F97" s="2"/>
      <c r="G97" s="294"/>
      <c r="H97" s="2"/>
      <c r="I97" s="2"/>
      <c r="J97" s="2"/>
      <c r="K97" s="2"/>
      <c r="L97" s="2"/>
      <c r="M97" s="2"/>
      <c r="N97" s="2"/>
      <c r="O97" s="2"/>
      <c r="P97" s="66"/>
      <c r="Q97" s="220"/>
      <c r="R97" s="22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</row>
    <row r="98" spans="5:88" s="49" customFormat="1" x14ac:dyDescent="0.2">
      <c r="E98" s="2"/>
      <c r="F98" s="2"/>
      <c r="G98" s="294"/>
      <c r="H98" s="2"/>
      <c r="I98" s="2"/>
      <c r="J98" s="2"/>
      <c r="K98" s="2"/>
      <c r="L98" s="2"/>
      <c r="M98" s="2"/>
      <c r="N98" s="2"/>
      <c r="O98" s="2"/>
      <c r="P98" s="66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</row>
    <row r="99" spans="5:88" s="49" customFormat="1" x14ac:dyDescent="0.2">
      <c r="E99" s="2"/>
      <c r="F99" s="2"/>
      <c r="G99" s="294"/>
      <c r="H99" s="2"/>
      <c r="I99" s="2"/>
      <c r="J99" s="2"/>
      <c r="K99" s="2"/>
      <c r="L99" s="2"/>
      <c r="M99" s="2"/>
      <c r="N99" s="2"/>
      <c r="O99" s="2"/>
      <c r="P99" s="66"/>
      <c r="Q99" s="2"/>
      <c r="R99" s="221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</row>
    <row r="100" spans="5:88" s="49" customFormat="1" x14ac:dyDescent="0.2">
      <c r="E100" s="2"/>
      <c r="F100" s="2"/>
      <c r="G100" s="294"/>
      <c r="H100" s="2"/>
      <c r="I100" s="2"/>
      <c r="J100" s="2"/>
      <c r="K100" s="2"/>
      <c r="L100" s="2"/>
      <c r="M100" s="2"/>
      <c r="N100" s="2"/>
      <c r="O100" s="2"/>
      <c r="P100" s="66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</row>
    <row r="101" spans="5:88" s="49" customFormat="1" x14ac:dyDescent="0.2">
      <c r="E101" s="2"/>
      <c r="F101" s="2"/>
      <c r="G101" s="294"/>
      <c r="H101" s="2"/>
      <c r="I101" s="2"/>
      <c r="J101" s="2"/>
      <c r="K101" s="2"/>
      <c r="L101" s="2"/>
      <c r="M101" s="2"/>
      <c r="N101" s="2"/>
      <c r="O101" s="2"/>
      <c r="P101" s="66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</row>
    <row r="102" spans="5:88" s="49" customFormat="1" x14ac:dyDescent="0.2">
      <c r="E102" s="2"/>
      <c r="F102" s="2"/>
      <c r="G102" s="294"/>
      <c r="H102" s="2"/>
      <c r="I102" s="2"/>
      <c r="J102" s="2"/>
      <c r="K102" s="2"/>
      <c r="L102" s="2"/>
      <c r="M102" s="2"/>
      <c r="N102" s="2"/>
      <c r="O102" s="2"/>
      <c r="P102" s="66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</row>
    <row r="103" spans="5:88" s="49" customFormat="1" x14ac:dyDescent="0.2">
      <c r="E103" s="2"/>
      <c r="F103" s="2"/>
      <c r="G103" s="294"/>
      <c r="H103" s="2"/>
      <c r="I103" s="2"/>
      <c r="J103" s="2"/>
      <c r="K103" s="2"/>
      <c r="L103" s="2"/>
      <c r="M103" s="2"/>
      <c r="N103" s="2"/>
      <c r="O103" s="2"/>
      <c r="P103" s="66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</row>
    <row r="104" spans="5:88" s="49" customFormat="1" x14ac:dyDescent="0.2">
      <c r="E104" s="2"/>
      <c r="F104" s="2"/>
      <c r="G104" s="294"/>
      <c r="H104" s="2"/>
      <c r="I104" s="2"/>
      <c r="J104" s="2"/>
      <c r="K104" s="2"/>
      <c r="L104" s="2"/>
      <c r="M104" s="2"/>
      <c r="N104" s="2"/>
      <c r="O104" s="2"/>
      <c r="P104" s="66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</row>
    <row r="105" spans="5:88" s="49" customFormat="1" x14ac:dyDescent="0.2">
      <c r="E105" s="2"/>
      <c r="F105" s="2"/>
      <c r="G105" s="294"/>
      <c r="H105" s="2"/>
      <c r="I105" s="2"/>
      <c r="J105" s="2"/>
      <c r="K105" s="2"/>
      <c r="L105" s="2"/>
      <c r="M105" s="2"/>
      <c r="N105" s="2"/>
      <c r="O105" s="2"/>
      <c r="P105" s="66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</row>
    <row r="106" spans="5:88" s="49" customFormat="1" x14ac:dyDescent="0.2">
      <c r="E106" s="2"/>
      <c r="F106" s="2"/>
      <c r="G106" s="294"/>
      <c r="H106" s="2"/>
      <c r="I106" s="2"/>
      <c r="J106" s="2"/>
      <c r="K106" s="2"/>
      <c r="L106" s="2"/>
      <c r="M106" s="2"/>
      <c r="N106" s="2"/>
      <c r="O106" s="2"/>
      <c r="P106" s="66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</row>
    <row r="107" spans="5:88" s="49" customFormat="1" x14ac:dyDescent="0.2">
      <c r="E107" s="2"/>
      <c r="F107" s="2"/>
      <c r="G107" s="294"/>
      <c r="H107" s="2"/>
      <c r="I107" s="2"/>
      <c r="J107" s="2"/>
      <c r="K107" s="2"/>
      <c r="L107" s="2"/>
      <c r="M107" s="2"/>
      <c r="N107" s="2"/>
      <c r="O107" s="2"/>
      <c r="P107" s="66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</row>
    <row r="108" spans="5:88" s="49" customFormat="1" x14ac:dyDescent="0.2">
      <c r="E108" s="2"/>
      <c r="F108" s="2"/>
      <c r="G108" s="294"/>
      <c r="H108" s="2"/>
      <c r="I108" s="2"/>
      <c r="J108" s="2"/>
      <c r="K108" s="2"/>
      <c r="L108" s="2"/>
      <c r="M108" s="2"/>
      <c r="N108" s="2"/>
      <c r="O108" s="2"/>
      <c r="P108" s="66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</row>
    <row r="109" spans="5:88" s="49" customFormat="1" x14ac:dyDescent="0.2">
      <c r="E109" s="2"/>
      <c r="F109" s="2"/>
      <c r="G109" s="294"/>
      <c r="H109" s="2"/>
      <c r="I109" s="2"/>
      <c r="J109" s="2"/>
      <c r="K109" s="2"/>
      <c r="L109" s="2"/>
      <c r="M109" s="2"/>
      <c r="N109" s="2"/>
      <c r="O109" s="2"/>
      <c r="P109" s="66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</row>
    <row r="110" spans="5:88" s="49" customFormat="1" x14ac:dyDescent="0.2">
      <c r="E110" s="2"/>
      <c r="F110" s="2"/>
      <c r="G110" s="294"/>
      <c r="H110" s="2"/>
      <c r="I110" s="2"/>
      <c r="J110" s="2"/>
      <c r="K110" s="2"/>
      <c r="L110" s="2"/>
      <c r="M110" s="2"/>
      <c r="N110" s="2"/>
      <c r="O110" s="2"/>
      <c r="P110" s="66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</row>
    <row r="111" spans="5:88" s="49" customFormat="1" x14ac:dyDescent="0.2">
      <c r="E111" s="2"/>
      <c r="F111" s="2"/>
      <c r="G111" s="294"/>
      <c r="H111" s="2"/>
      <c r="I111" s="2"/>
      <c r="J111" s="2"/>
      <c r="K111" s="2"/>
      <c r="L111" s="2"/>
      <c r="M111" s="2"/>
      <c r="N111" s="2"/>
      <c r="O111" s="2"/>
      <c r="P111" s="66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</row>
    <row r="112" spans="5:88" s="49" customFormat="1" x14ac:dyDescent="0.2">
      <c r="E112" s="2"/>
      <c r="F112" s="2"/>
      <c r="G112" s="294"/>
      <c r="H112" s="2"/>
      <c r="I112" s="2"/>
      <c r="J112" s="2"/>
      <c r="K112" s="2"/>
      <c r="L112" s="2"/>
      <c r="M112" s="2"/>
      <c r="N112" s="2"/>
      <c r="O112" s="2"/>
      <c r="P112" s="66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</row>
    <row r="113" spans="5:88" s="49" customFormat="1" x14ac:dyDescent="0.2">
      <c r="E113" s="2"/>
      <c r="F113" s="2"/>
      <c r="G113" s="294"/>
      <c r="H113" s="2"/>
      <c r="I113" s="2"/>
      <c r="J113" s="2"/>
      <c r="K113" s="2"/>
      <c r="L113" s="2"/>
      <c r="M113" s="2"/>
      <c r="N113" s="2"/>
      <c r="O113" s="2"/>
      <c r="P113" s="66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</row>
    <row r="114" spans="5:88" s="49" customFormat="1" x14ac:dyDescent="0.2">
      <c r="E114" s="2"/>
      <c r="F114" s="2"/>
      <c r="G114" s="294"/>
      <c r="H114" s="2"/>
      <c r="I114" s="2"/>
      <c r="J114" s="2"/>
      <c r="K114" s="2"/>
      <c r="L114" s="2"/>
      <c r="M114" s="2"/>
      <c r="N114" s="2"/>
      <c r="O114" s="2"/>
      <c r="P114" s="66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</row>
    <row r="115" spans="5:88" s="49" customFormat="1" x14ac:dyDescent="0.2">
      <c r="E115" s="2"/>
      <c r="F115" s="2"/>
      <c r="G115" s="294"/>
      <c r="H115" s="2"/>
      <c r="I115" s="2"/>
      <c r="J115" s="2"/>
      <c r="K115" s="2"/>
      <c r="L115" s="2"/>
      <c r="M115" s="2"/>
      <c r="N115" s="2"/>
      <c r="O115" s="2"/>
      <c r="P115" s="66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</row>
    <row r="116" spans="5:88" s="49" customFormat="1" x14ac:dyDescent="0.2">
      <c r="E116" s="2"/>
      <c r="F116" s="2"/>
      <c r="G116" s="294"/>
      <c r="H116" s="2"/>
      <c r="I116" s="2"/>
      <c r="J116" s="2"/>
      <c r="K116" s="2"/>
      <c r="L116" s="2"/>
      <c r="M116" s="2"/>
      <c r="N116" s="2"/>
      <c r="O116" s="2"/>
      <c r="P116" s="66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</row>
    <row r="117" spans="5:88" s="49" customFormat="1" x14ac:dyDescent="0.2">
      <c r="E117" s="2"/>
      <c r="F117" s="2"/>
      <c r="G117" s="294"/>
      <c r="H117" s="2"/>
      <c r="I117" s="2"/>
      <c r="J117" s="2"/>
      <c r="K117" s="2"/>
      <c r="L117" s="2"/>
      <c r="M117" s="2"/>
      <c r="N117" s="2"/>
      <c r="O117" s="2"/>
      <c r="P117" s="66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</row>
    <row r="118" spans="5:88" x14ac:dyDescent="0.2">
      <c r="E118" s="2"/>
      <c r="F118" s="2"/>
      <c r="G118" s="294"/>
      <c r="H118" s="2"/>
      <c r="I118" s="2"/>
      <c r="J118" s="2"/>
      <c r="K118" s="2"/>
      <c r="L118" s="2"/>
      <c r="M118" s="2"/>
      <c r="N118" s="2"/>
      <c r="O118" s="2"/>
      <c r="P118" s="66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</row>
    <row r="119" spans="5:88" x14ac:dyDescent="0.2">
      <c r="E119" s="2"/>
      <c r="F119" s="2"/>
      <c r="G119" s="294"/>
      <c r="H119" s="2"/>
      <c r="I119" s="2"/>
      <c r="J119" s="2"/>
      <c r="K119" s="2"/>
      <c r="L119" s="2"/>
      <c r="M119" s="2"/>
      <c r="N119" s="2"/>
      <c r="O119" s="2"/>
      <c r="P119" s="66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</row>
    <row r="120" spans="5:88" x14ac:dyDescent="0.2">
      <c r="E120" s="2"/>
      <c r="F120" s="2"/>
      <c r="G120" s="294"/>
      <c r="H120" s="2"/>
      <c r="I120" s="2"/>
      <c r="J120" s="2"/>
      <c r="K120" s="2"/>
      <c r="L120" s="2"/>
      <c r="M120" s="2"/>
      <c r="N120" s="2"/>
      <c r="O120" s="2"/>
      <c r="P120" s="66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</row>
    <row r="121" spans="5:88" x14ac:dyDescent="0.2">
      <c r="E121" s="2"/>
      <c r="F121" s="2"/>
      <c r="G121" s="294"/>
      <c r="H121" s="2"/>
      <c r="I121" s="2"/>
      <c r="J121" s="2"/>
      <c r="K121" s="2"/>
      <c r="L121" s="2"/>
      <c r="M121" s="2"/>
      <c r="N121" s="2"/>
      <c r="O121" s="2"/>
      <c r="P121" s="66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</row>
    <row r="122" spans="5:88" x14ac:dyDescent="0.2">
      <c r="E122" s="2"/>
      <c r="F122" s="2"/>
      <c r="G122" s="294"/>
      <c r="H122" s="2"/>
      <c r="I122" s="2"/>
      <c r="J122" s="2"/>
      <c r="K122" s="2"/>
      <c r="L122" s="2"/>
      <c r="M122" s="2"/>
      <c r="N122" s="2"/>
      <c r="O122" s="2"/>
      <c r="P122" s="66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</row>
    <row r="123" spans="5:88" x14ac:dyDescent="0.2">
      <c r="E123" s="2"/>
      <c r="F123" s="2"/>
      <c r="G123" s="294"/>
      <c r="H123" s="2"/>
      <c r="I123" s="2"/>
      <c r="J123" s="2"/>
      <c r="K123" s="2"/>
      <c r="L123" s="2"/>
      <c r="M123" s="2"/>
      <c r="N123" s="2"/>
      <c r="O123" s="2"/>
      <c r="P123" s="66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</row>
    <row r="124" spans="5:88" x14ac:dyDescent="0.2">
      <c r="E124" s="2"/>
      <c r="F124" s="2"/>
      <c r="G124" s="294"/>
      <c r="H124" s="2"/>
      <c r="I124" s="2"/>
      <c r="J124" s="2"/>
      <c r="K124" s="2"/>
      <c r="L124" s="2"/>
      <c r="M124" s="2"/>
      <c r="N124" s="2"/>
      <c r="O124" s="2"/>
      <c r="P124" s="66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</row>
    <row r="125" spans="5:88" x14ac:dyDescent="0.2">
      <c r="E125" s="2"/>
      <c r="F125" s="2"/>
      <c r="G125" s="294"/>
      <c r="H125" s="2"/>
      <c r="I125" s="2"/>
      <c r="J125" s="2"/>
      <c r="K125" s="2"/>
      <c r="L125" s="2"/>
      <c r="M125" s="2"/>
      <c r="N125" s="2"/>
      <c r="O125" s="2"/>
      <c r="P125" s="66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</row>
    <row r="126" spans="5:88" x14ac:dyDescent="0.2">
      <c r="E126" s="2"/>
      <c r="F126" s="2"/>
      <c r="G126" s="294"/>
      <c r="H126" s="2"/>
      <c r="I126" s="2"/>
      <c r="J126" s="2"/>
      <c r="K126" s="2"/>
      <c r="L126" s="2"/>
      <c r="M126" s="2"/>
      <c r="N126" s="2"/>
      <c r="O126" s="2"/>
      <c r="P126" s="66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</row>
    <row r="127" spans="5:88" x14ac:dyDescent="0.2">
      <c r="E127" s="2"/>
      <c r="F127" s="2"/>
      <c r="G127" s="294"/>
      <c r="H127" s="2"/>
      <c r="I127" s="2"/>
      <c r="J127" s="2"/>
      <c r="K127" s="2"/>
      <c r="L127" s="2"/>
      <c r="M127" s="2"/>
      <c r="N127" s="2"/>
      <c r="O127" s="2"/>
      <c r="P127" s="66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</row>
    <row r="128" spans="5:88" x14ac:dyDescent="0.2">
      <c r="E128" s="2"/>
      <c r="F128" s="2"/>
      <c r="G128" s="294"/>
      <c r="H128" s="2"/>
      <c r="I128" s="2"/>
      <c r="J128" s="2"/>
      <c r="K128" s="2"/>
      <c r="L128" s="2"/>
      <c r="M128" s="2"/>
      <c r="N128" s="2"/>
      <c r="O128" s="2"/>
      <c r="P128" s="66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</row>
    <row r="129" spans="5:87" x14ac:dyDescent="0.2">
      <c r="E129" s="2"/>
      <c r="F129" s="2"/>
      <c r="G129" s="294"/>
      <c r="H129" s="2"/>
      <c r="I129" s="2"/>
      <c r="J129" s="2"/>
      <c r="K129" s="2"/>
      <c r="L129" s="2"/>
      <c r="M129" s="2"/>
      <c r="N129" s="2"/>
      <c r="O129" s="2"/>
      <c r="P129" s="66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</row>
    <row r="130" spans="5:87" x14ac:dyDescent="0.2">
      <c r="E130" s="2"/>
      <c r="F130" s="2"/>
      <c r="G130" s="294"/>
      <c r="H130" s="2"/>
      <c r="I130" s="2"/>
      <c r="J130" s="2"/>
      <c r="K130" s="2"/>
      <c r="L130" s="2"/>
      <c r="M130" s="2"/>
      <c r="N130" s="2"/>
      <c r="O130" s="2"/>
      <c r="P130" s="66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</row>
    <row r="131" spans="5:87" x14ac:dyDescent="0.2">
      <c r="E131" s="2"/>
      <c r="F131" s="2"/>
      <c r="G131" s="294"/>
      <c r="H131" s="2"/>
      <c r="I131" s="2"/>
      <c r="J131" s="2"/>
      <c r="K131" s="2"/>
      <c r="L131" s="2"/>
      <c r="M131" s="2"/>
      <c r="N131" s="2"/>
      <c r="O131" s="2"/>
      <c r="P131" s="66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</row>
    <row r="132" spans="5:87" x14ac:dyDescent="0.2">
      <c r="E132" s="2"/>
      <c r="F132" s="2"/>
      <c r="G132" s="294"/>
      <c r="H132" s="2"/>
      <c r="I132" s="2"/>
      <c r="J132" s="2"/>
      <c r="K132" s="2"/>
      <c r="L132" s="2"/>
      <c r="M132" s="2"/>
      <c r="N132" s="2"/>
      <c r="O132" s="2"/>
      <c r="P132" s="66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</row>
    <row r="133" spans="5:87" x14ac:dyDescent="0.2">
      <c r="E133" s="2"/>
      <c r="F133" s="2"/>
      <c r="G133" s="294"/>
      <c r="H133" s="2"/>
      <c r="I133" s="2"/>
      <c r="J133" s="2"/>
      <c r="K133" s="2"/>
      <c r="L133" s="2"/>
      <c r="M133" s="2"/>
      <c r="N133" s="2"/>
      <c r="O133" s="2"/>
      <c r="P133" s="66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</row>
    <row r="134" spans="5:87" x14ac:dyDescent="0.2">
      <c r="E134" s="2"/>
      <c r="F134" s="2"/>
      <c r="G134" s="294"/>
      <c r="H134" s="2"/>
      <c r="I134" s="2"/>
      <c r="J134" s="2"/>
      <c r="K134" s="2"/>
      <c r="L134" s="2"/>
      <c r="M134" s="2"/>
      <c r="N134" s="2"/>
      <c r="O134" s="2"/>
      <c r="P134" s="66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</row>
    <row r="135" spans="5:87" x14ac:dyDescent="0.2">
      <c r="E135" s="2"/>
      <c r="F135" s="2"/>
      <c r="G135" s="294"/>
      <c r="H135" s="2"/>
      <c r="I135" s="2"/>
      <c r="J135" s="2"/>
      <c r="K135" s="2"/>
      <c r="L135" s="2"/>
      <c r="M135" s="2"/>
      <c r="N135" s="2"/>
      <c r="O135" s="2"/>
      <c r="P135" s="66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</row>
    <row r="136" spans="5:87" x14ac:dyDescent="0.2">
      <c r="E136" s="2"/>
      <c r="F136" s="2"/>
      <c r="G136" s="294"/>
      <c r="H136" s="2"/>
      <c r="I136" s="2"/>
      <c r="J136" s="2"/>
      <c r="K136" s="2"/>
      <c r="L136" s="2"/>
      <c r="M136" s="2"/>
      <c r="N136" s="2"/>
      <c r="O136" s="2"/>
      <c r="P136" s="66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</row>
    <row r="137" spans="5:87" x14ac:dyDescent="0.2">
      <c r="E137" s="2"/>
      <c r="F137" s="2"/>
      <c r="G137" s="294"/>
      <c r="H137" s="2"/>
      <c r="I137" s="2"/>
      <c r="J137" s="2"/>
      <c r="K137" s="2"/>
      <c r="L137" s="2"/>
      <c r="M137" s="2"/>
      <c r="N137" s="2"/>
      <c r="O137" s="2"/>
      <c r="P137" s="66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</row>
    <row r="138" spans="5:87" x14ac:dyDescent="0.2">
      <c r="E138" s="2"/>
      <c r="F138" s="2"/>
      <c r="G138" s="294"/>
      <c r="H138" s="2"/>
      <c r="I138" s="2"/>
      <c r="J138" s="2"/>
      <c r="K138" s="2"/>
      <c r="L138" s="2"/>
      <c r="M138" s="2"/>
      <c r="N138" s="2"/>
      <c r="O138" s="2"/>
      <c r="P138" s="66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</row>
    <row r="139" spans="5:87" x14ac:dyDescent="0.2">
      <c r="E139" s="2"/>
      <c r="F139" s="2"/>
      <c r="G139" s="294"/>
      <c r="H139" s="2"/>
      <c r="I139" s="2"/>
      <c r="J139" s="2"/>
      <c r="K139" s="2"/>
      <c r="L139" s="2"/>
      <c r="M139" s="2"/>
      <c r="N139" s="2"/>
      <c r="O139" s="2"/>
      <c r="P139" s="66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</row>
    <row r="140" spans="5:87" x14ac:dyDescent="0.2">
      <c r="E140" s="2"/>
      <c r="F140" s="2"/>
      <c r="G140" s="294"/>
      <c r="H140" s="2"/>
      <c r="I140" s="2"/>
      <c r="J140" s="2"/>
      <c r="K140" s="2"/>
      <c r="L140" s="2"/>
      <c r="M140" s="2"/>
      <c r="N140" s="2"/>
      <c r="O140" s="2"/>
      <c r="P140" s="66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</row>
    <row r="141" spans="5:87" x14ac:dyDescent="0.2">
      <c r="E141" s="2"/>
      <c r="F141" s="2"/>
      <c r="G141" s="294"/>
      <c r="H141" s="2"/>
      <c r="I141" s="2"/>
      <c r="J141" s="2"/>
      <c r="K141" s="2"/>
      <c r="L141" s="2"/>
      <c r="M141" s="2"/>
      <c r="N141" s="2"/>
      <c r="O141" s="2"/>
      <c r="P141" s="66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</row>
    <row r="142" spans="5:87" x14ac:dyDescent="0.2">
      <c r="E142" s="2"/>
      <c r="F142" s="2"/>
      <c r="G142" s="294"/>
      <c r="H142" s="2"/>
      <c r="I142" s="2"/>
      <c r="J142" s="2"/>
      <c r="K142" s="2"/>
      <c r="L142" s="2"/>
      <c r="M142" s="2"/>
      <c r="N142" s="2"/>
      <c r="O142" s="2"/>
      <c r="P142" s="66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</row>
    <row r="143" spans="5:87" x14ac:dyDescent="0.2">
      <c r="E143" s="2"/>
      <c r="F143" s="2"/>
      <c r="G143" s="294"/>
      <c r="H143" s="2"/>
      <c r="I143" s="2"/>
      <c r="J143" s="2"/>
      <c r="K143" s="2"/>
      <c r="L143" s="2"/>
      <c r="M143" s="2"/>
      <c r="N143" s="2"/>
      <c r="O143" s="2"/>
      <c r="P143" s="66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</row>
    <row r="144" spans="5:87" x14ac:dyDescent="0.2">
      <c r="E144" s="2"/>
      <c r="F144" s="2"/>
      <c r="G144" s="294"/>
      <c r="H144" s="2"/>
      <c r="I144" s="2"/>
      <c r="J144" s="2"/>
      <c r="K144" s="2"/>
      <c r="L144" s="2"/>
      <c r="M144" s="2"/>
      <c r="N144" s="2"/>
      <c r="O144" s="2"/>
      <c r="P144" s="66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</row>
    <row r="145" spans="5:87" x14ac:dyDescent="0.2">
      <c r="E145" s="2"/>
      <c r="F145" s="2"/>
      <c r="G145" s="294"/>
      <c r="H145" s="2"/>
      <c r="I145" s="2"/>
      <c r="J145" s="2"/>
      <c r="K145" s="2"/>
      <c r="L145" s="2"/>
      <c r="M145" s="2"/>
      <c r="N145" s="2"/>
      <c r="O145" s="2"/>
      <c r="P145" s="66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</row>
    <row r="146" spans="5:87" x14ac:dyDescent="0.2">
      <c r="E146" s="2"/>
      <c r="F146" s="2"/>
      <c r="G146" s="294"/>
      <c r="H146" s="2"/>
      <c r="I146" s="2"/>
      <c r="J146" s="2"/>
      <c r="K146" s="2"/>
      <c r="L146" s="2"/>
      <c r="M146" s="2"/>
      <c r="N146" s="2"/>
      <c r="O146" s="2"/>
      <c r="P146" s="66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</row>
    <row r="147" spans="5:87" x14ac:dyDescent="0.2">
      <c r="E147" s="2"/>
      <c r="F147" s="2"/>
      <c r="G147" s="294"/>
      <c r="H147" s="2"/>
      <c r="I147" s="2"/>
      <c r="J147" s="2"/>
      <c r="K147" s="2"/>
      <c r="L147" s="2"/>
      <c r="M147" s="2"/>
      <c r="N147" s="2"/>
      <c r="O147" s="2"/>
      <c r="P147" s="66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</row>
    <row r="148" spans="5:87" x14ac:dyDescent="0.2">
      <c r="E148" s="2"/>
      <c r="F148" s="2"/>
      <c r="G148" s="294"/>
      <c r="H148" s="2"/>
      <c r="I148" s="2"/>
      <c r="J148" s="2"/>
      <c r="K148" s="2"/>
      <c r="L148" s="2"/>
      <c r="M148" s="2"/>
      <c r="N148" s="2"/>
      <c r="O148" s="2"/>
      <c r="P148" s="66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</row>
    <row r="149" spans="5:87" x14ac:dyDescent="0.2">
      <c r="E149" s="2"/>
      <c r="F149" s="2"/>
      <c r="G149" s="294"/>
      <c r="H149" s="2"/>
      <c r="I149" s="2"/>
      <c r="J149" s="2"/>
      <c r="K149" s="2"/>
      <c r="L149" s="2"/>
      <c r="M149" s="2"/>
      <c r="N149" s="2"/>
      <c r="O149" s="2"/>
      <c r="P149" s="66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</row>
    <row r="150" spans="5:87" x14ac:dyDescent="0.2">
      <c r="E150" s="2"/>
      <c r="F150" s="2"/>
      <c r="G150" s="294"/>
      <c r="H150" s="2"/>
      <c r="I150" s="2"/>
      <c r="J150" s="2"/>
      <c r="K150" s="2"/>
      <c r="L150" s="2"/>
      <c r="M150" s="2"/>
      <c r="N150" s="2"/>
      <c r="O150" s="2"/>
      <c r="P150" s="66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</row>
    <row r="151" spans="5:87" x14ac:dyDescent="0.2">
      <c r="E151" s="2"/>
      <c r="F151" s="2"/>
      <c r="G151" s="294"/>
      <c r="H151" s="2"/>
      <c r="I151" s="2"/>
      <c r="J151" s="2"/>
      <c r="K151" s="2"/>
      <c r="L151" s="2"/>
      <c r="M151" s="2"/>
      <c r="N151" s="2"/>
      <c r="O151" s="2"/>
      <c r="P151" s="66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</row>
    <row r="152" spans="5:87" x14ac:dyDescent="0.2">
      <c r="E152" s="2"/>
      <c r="F152" s="2"/>
      <c r="G152" s="294"/>
      <c r="H152" s="2"/>
      <c r="I152" s="2"/>
      <c r="J152" s="2"/>
      <c r="K152" s="2"/>
      <c r="L152" s="2"/>
      <c r="M152" s="2"/>
      <c r="N152" s="2"/>
      <c r="O152" s="2"/>
      <c r="P152" s="66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</row>
    <row r="153" spans="5:87" x14ac:dyDescent="0.2">
      <c r="E153" s="2"/>
      <c r="F153" s="2"/>
      <c r="G153" s="294"/>
      <c r="H153" s="2"/>
      <c r="I153" s="2"/>
      <c r="J153" s="2"/>
      <c r="K153" s="2"/>
      <c r="L153" s="2"/>
      <c r="M153" s="2"/>
      <c r="N153" s="2"/>
      <c r="O153" s="2"/>
      <c r="P153" s="66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</row>
    <row r="154" spans="5:87" x14ac:dyDescent="0.2">
      <c r="E154" s="2"/>
      <c r="F154" s="2"/>
      <c r="G154" s="294"/>
      <c r="H154" s="2"/>
      <c r="I154" s="2"/>
      <c r="J154" s="2"/>
      <c r="K154" s="2"/>
      <c r="L154" s="2"/>
      <c r="M154" s="2"/>
      <c r="N154" s="2"/>
      <c r="O154" s="2"/>
      <c r="P154" s="66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</row>
    <row r="155" spans="5:87" x14ac:dyDescent="0.2">
      <c r="E155" s="2"/>
      <c r="F155" s="2"/>
      <c r="G155" s="294"/>
      <c r="H155" s="2"/>
      <c r="I155" s="2"/>
      <c r="J155" s="2"/>
      <c r="K155" s="2"/>
      <c r="L155" s="2"/>
      <c r="M155" s="2"/>
      <c r="N155" s="2"/>
      <c r="O155" s="2"/>
      <c r="P155" s="66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</row>
    <row r="156" spans="5:87" x14ac:dyDescent="0.2">
      <c r="E156" s="2"/>
      <c r="F156" s="2"/>
      <c r="G156" s="294"/>
      <c r="H156" s="2"/>
      <c r="I156" s="2"/>
      <c r="J156" s="2"/>
      <c r="K156" s="2"/>
      <c r="L156" s="2"/>
      <c r="M156" s="2"/>
      <c r="N156" s="2"/>
      <c r="O156" s="2"/>
      <c r="P156" s="66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</row>
    <row r="157" spans="5:87" x14ac:dyDescent="0.2">
      <c r="E157" s="2"/>
      <c r="F157" s="2"/>
      <c r="G157" s="294"/>
      <c r="H157" s="2"/>
      <c r="I157" s="2"/>
      <c r="J157" s="2"/>
      <c r="K157" s="2"/>
      <c r="L157" s="2"/>
      <c r="M157" s="2"/>
      <c r="N157" s="2"/>
      <c r="O157" s="2"/>
      <c r="P157" s="66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</row>
    <row r="158" spans="5:87" x14ac:dyDescent="0.2">
      <c r="E158" s="2"/>
      <c r="F158" s="2"/>
      <c r="G158" s="294"/>
      <c r="H158" s="2"/>
      <c r="I158" s="2"/>
      <c r="J158" s="2"/>
      <c r="K158" s="2"/>
      <c r="L158" s="2"/>
      <c r="M158" s="2"/>
      <c r="N158" s="2"/>
      <c r="O158" s="2"/>
      <c r="P158" s="66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</row>
    <row r="159" spans="5:87" x14ac:dyDescent="0.2">
      <c r="E159" s="2"/>
      <c r="F159" s="2"/>
      <c r="G159" s="294"/>
      <c r="H159" s="2"/>
      <c r="I159" s="2"/>
      <c r="J159" s="2"/>
      <c r="K159" s="2"/>
      <c r="L159" s="2"/>
      <c r="M159" s="2"/>
      <c r="N159" s="2"/>
      <c r="O159" s="2"/>
      <c r="P159" s="66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</row>
    <row r="160" spans="5:87" x14ac:dyDescent="0.2">
      <c r="E160" s="2"/>
      <c r="F160" s="2"/>
      <c r="G160" s="294"/>
      <c r="H160" s="2"/>
      <c r="I160" s="2"/>
      <c r="J160" s="2"/>
      <c r="K160" s="2"/>
      <c r="L160" s="2"/>
      <c r="M160" s="2"/>
      <c r="N160" s="2"/>
      <c r="O160" s="2"/>
      <c r="P160" s="66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</row>
    <row r="161" spans="5:87" x14ac:dyDescent="0.2">
      <c r="E161" s="2"/>
      <c r="F161" s="2"/>
      <c r="G161" s="294"/>
      <c r="H161" s="2"/>
      <c r="I161" s="2"/>
      <c r="J161" s="2"/>
      <c r="K161" s="2"/>
      <c r="L161" s="2"/>
      <c r="M161" s="2"/>
      <c r="N161" s="2"/>
      <c r="O161" s="2"/>
      <c r="P161" s="66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</row>
    <row r="162" spans="5:87" x14ac:dyDescent="0.2">
      <c r="E162" s="2"/>
      <c r="F162" s="2"/>
      <c r="G162" s="294"/>
      <c r="H162" s="2"/>
      <c r="I162" s="2"/>
      <c r="J162" s="2"/>
      <c r="K162" s="2"/>
      <c r="L162" s="2"/>
      <c r="M162" s="2"/>
      <c r="N162" s="2"/>
      <c r="O162" s="2"/>
      <c r="P162" s="66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</row>
    <row r="163" spans="5:87" x14ac:dyDescent="0.2">
      <c r="E163" s="2"/>
      <c r="F163" s="2"/>
      <c r="G163" s="294"/>
      <c r="H163" s="2"/>
      <c r="I163" s="2"/>
      <c r="J163" s="2"/>
      <c r="K163" s="2"/>
      <c r="L163" s="2"/>
      <c r="M163" s="2"/>
      <c r="N163" s="2"/>
      <c r="O163" s="2"/>
      <c r="P163" s="66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</row>
    <row r="164" spans="5:87" x14ac:dyDescent="0.2">
      <c r="E164" s="2"/>
      <c r="F164" s="2"/>
      <c r="G164" s="294"/>
      <c r="H164" s="2"/>
      <c r="I164" s="2"/>
      <c r="J164" s="2"/>
      <c r="K164" s="2"/>
      <c r="L164" s="2"/>
      <c r="M164" s="2"/>
      <c r="N164" s="2"/>
      <c r="O164" s="2"/>
      <c r="P164" s="66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</row>
    <row r="165" spans="5:87" x14ac:dyDescent="0.2">
      <c r="E165" s="2"/>
      <c r="F165" s="2"/>
      <c r="G165" s="294"/>
      <c r="H165" s="2"/>
      <c r="I165" s="2"/>
      <c r="J165" s="2"/>
      <c r="K165" s="2"/>
      <c r="L165" s="2"/>
      <c r="M165" s="2"/>
      <c r="N165" s="2"/>
      <c r="O165" s="2"/>
      <c r="P165" s="66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</row>
    <row r="166" spans="5:87" x14ac:dyDescent="0.2">
      <c r="E166" s="2"/>
      <c r="F166" s="2"/>
      <c r="G166" s="294"/>
      <c r="H166" s="2"/>
      <c r="I166" s="2"/>
      <c r="J166" s="2"/>
      <c r="K166" s="2"/>
      <c r="L166" s="2"/>
      <c r="M166" s="2"/>
      <c r="N166" s="2"/>
      <c r="O166" s="2"/>
      <c r="P166" s="66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</row>
    <row r="167" spans="5:87" x14ac:dyDescent="0.2">
      <c r="E167" s="2"/>
      <c r="F167" s="2"/>
      <c r="G167" s="294"/>
      <c r="H167" s="2"/>
      <c r="I167" s="2"/>
      <c r="J167" s="2"/>
      <c r="K167" s="2"/>
      <c r="L167" s="2"/>
      <c r="M167" s="2"/>
      <c r="N167" s="2"/>
      <c r="O167" s="2"/>
      <c r="P167" s="66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</row>
    <row r="168" spans="5:87" x14ac:dyDescent="0.2">
      <c r="E168" s="2"/>
      <c r="F168" s="2"/>
      <c r="G168" s="294"/>
      <c r="H168" s="2"/>
      <c r="I168" s="2"/>
      <c r="J168" s="2"/>
      <c r="K168" s="2"/>
      <c r="L168" s="2"/>
      <c r="M168" s="2"/>
      <c r="N168" s="2"/>
      <c r="O168" s="2"/>
      <c r="P168" s="66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</row>
    <row r="169" spans="5:87" x14ac:dyDescent="0.2">
      <c r="E169" s="2"/>
      <c r="F169" s="2"/>
      <c r="G169" s="294"/>
      <c r="H169" s="2"/>
      <c r="I169" s="2"/>
      <c r="J169" s="2"/>
      <c r="K169" s="2"/>
      <c r="L169" s="2"/>
      <c r="M169" s="2"/>
      <c r="N169" s="2"/>
      <c r="O169" s="2"/>
      <c r="P169" s="66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</row>
    <row r="170" spans="5:87" x14ac:dyDescent="0.2">
      <c r="E170" s="2"/>
      <c r="F170" s="2"/>
      <c r="G170" s="294"/>
      <c r="H170" s="2"/>
      <c r="I170" s="2"/>
      <c r="J170" s="2"/>
      <c r="K170" s="2"/>
      <c r="L170" s="2"/>
      <c r="M170" s="2"/>
      <c r="N170" s="2"/>
      <c r="O170" s="2"/>
      <c r="P170" s="66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</row>
    <row r="171" spans="5:87" x14ac:dyDescent="0.2">
      <c r="E171" s="2"/>
      <c r="F171" s="2"/>
      <c r="G171" s="294"/>
      <c r="H171" s="2"/>
      <c r="I171" s="2"/>
      <c r="J171" s="2"/>
      <c r="K171" s="2"/>
      <c r="L171" s="2"/>
      <c r="M171" s="2"/>
      <c r="N171" s="2"/>
      <c r="O171" s="2"/>
      <c r="P171" s="66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</row>
    <row r="172" spans="5:87" x14ac:dyDescent="0.2">
      <c r="E172" s="2"/>
      <c r="F172" s="2"/>
      <c r="G172" s="294"/>
      <c r="H172" s="2"/>
      <c r="I172" s="2"/>
      <c r="J172" s="2"/>
      <c r="K172" s="2"/>
      <c r="L172" s="2"/>
      <c r="M172" s="2"/>
      <c r="N172" s="2"/>
      <c r="O172" s="2"/>
      <c r="P172" s="66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</row>
    <row r="173" spans="5:87" x14ac:dyDescent="0.2">
      <c r="E173" s="2"/>
      <c r="F173" s="2"/>
      <c r="G173" s="294"/>
      <c r="H173" s="2"/>
      <c r="I173" s="2"/>
      <c r="J173" s="2"/>
      <c r="K173" s="2"/>
      <c r="L173" s="2"/>
      <c r="M173" s="2"/>
      <c r="N173" s="2"/>
      <c r="O173" s="2"/>
      <c r="P173" s="66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</row>
    <row r="174" spans="5:87" x14ac:dyDescent="0.2">
      <c r="E174" s="2"/>
      <c r="F174" s="2"/>
      <c r="G174" s="294"/>
      <c r="H174" s="2"/>
      <c r="I174" s="2"/>
      <c r="J174" s="2"/>
      <c r="K174" s="2"/>
      <c r="L174" s="2"/>
      <c r="M174" s="2"/>
      <c r="N174" s="2"/>
      <c r="O174" s="2"/>
      <c r="P174" s="66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</row>
    <row r="175" spans="5:87" x14ac:dyDescent="0.2">
      <c r="E175" s="2"/>
      <c r="F175" s="2"/>
      <c r="G175" s="294"/>
      <c r="H175" s="2"/>
      <c r="I175" s="2"/>
      <c r="J175" s="2"/>
      <c r="K175" s="2"/>
      <c r="L175" s="2"/>
      <c r="M175" s="2"/>
      <c r="N175" s="2"/>
      <c r="O175" s="2"/>
      <c r="P175" s="66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</row>
    <row r="176" spans="5:87" x14ac:dyDescent="0.2">
      <c r="E176" s="2"/>
      <c r="F176" s="2"/>
      <c r="G176" s="294"/>
      <c r="H176" s="2"/>
      <c r="I176" s="2"/>
      <c r="J176" s="2"/>
      <c r="K176" s="2"/>
      <c r="L176" s="2"/>
      <c r="M176" s="2"/>
      <c r="N176" s="2"/>
      <c r="O176" s="2"/>
      <c r="P176" s="66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</row>
    <row r="177" spans="5:87" x14ac:dyDescent="0.2">
      <c r="E177" s="2"/>
      <c r="F177" s="2"/>
      <c r="G177" s="294"/>
      <c r="H177" s="2"/>
      <c r="I177" s="2"/>
      <c r="J177" s="2"/>
      <c r="K177" s="2"/>
      <c r="L177" s="2"/>
      <c r="M177" s="2"/>
      <c r="N177" s="2"/>
      <c r="O177" s="2"/>
      <c r="P177" s="66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</row>
    <row r="178" spans="5:87" x14ac:dyDescent="0.2">
      <c r="E178" s="2"/>
      <c r="F178" s="2"/>
      <c r="G178" s="294"/>
      <c r="H178" s="2"/>
      <c r="I178" s="2"/>
      <c r="J178" s="2"/>
      <c r="K178" s="2"/>
      <c r="L178" s="2"/>
      <c r="M178" s="2"/>
      <c r="N178" s="2"/>
      <c r="O178" s="2"/>
      <c r="P178" s="66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</row>
    <row r="179" spans="5:87" x14ac:dyDescent="0.2">
      <c r="E179" s="2"/>
      <c r="F179" s="2"/>
      <c r="G179" s="294"/>
      <c r="H179" s="2"/>
      <c r="I179" s="2"/>
      <c r="J179" s="2"/>
      <c r="K179" s="2"/>
      <c r="L179" s="2"/>
      <c r="M179" s="2"/>
      <c r="N179" s="2"/>
      <c r="O179" s="2"/>
      <c r="P179" s="66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</row>
    <row r="180" spans="5:87" x14ac:dyDescent="0.2">
      <c r="E180" s="2"/>
      <c r="F180" s="2"/>
      <c r="G180" s="294"/>
      <c r="H180" s="2"/>
      <c r="I180" s="2"/>
      <c r="J180" s="2"/>
      <c r="K180" s="2"/>
      <c r="L180" s="2"/>
      <c r="M180" s="2"/>
      <c r="N180" s="2"/>
      <c r="O180" s="2"/>
      <c r="P180" s="66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</row>
    <row r="181" spans="5:87" x14ac:dyDescent="0.2">
      <c r="E181" s="2"/>
      <c r="F181" s="2"/>
      <c r="G181" s="294"/>
      <c r="H181" s="2"/>
      <c r="I181" s="2"/>
      <c r="J181" s="2"/>
      <c r="K181" s="2"/>
      <c r="L181" s="2"/>
      <c r="M181" s="2"/>
      <c r="N181" s="2"/>
      <c r="O181" s="2"/>
      <c r="P181" s="66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</row>
    <row r="182" spans="5:87" x14ac:dyDescent="0.2">
      <c r="E182" s="2"/>
      <c r="F182" s="2"/>
      <c r="G182" s="294"/>
      <c r="H182" s="2"/>
      <c r="I182" s="2"/>
      <c r="J182" s="2"/>
      <c r="K182" s="2"/>
      <c r="L182" s="2"/>
      <c r="M182" s="2"/>
      <c r="N182" s="2"/>
      <c r="O182" s="2"/>
      <c r="P182" s="66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</row>
    <row r="183" spans="5:87" x14ac:dyDescent="0.2">
      <c r="E183" s="2"/>
      <c r="F183" s="2"/>
      <c r="G183" s="294"/>
      <c r="H183" s="2"/>
      <c r="I183" s="2"/>
      <c r="J183" s="2"/>
      <c r="K183" s="2"/>
      <c r="L183" s="2"/>
      <c r="M183" s="2"/>
      <c r="N183" s="2"/>
      <c r="O183" s="2"/>
      <c r="P183" s="66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</row>
    <row r="184" spans="5:87" x14ac:dyDescent="0.2">
      <c r="E184" s="2"/>
      <c r="F184" s="2"/>
      <c r="G184" s="294"/>
      <c r="H184" s="2"/>
      <c r="I184" s="2"/>
      <c r="J184" s="2"/>
      <c r="K184" s="2"/>
      <c r="L184" s="2"/>
      <c r="M184" s="2"/>
      <c r="N184" s="2"/>
      <c r="O184" s="2"/>
      <c r="P184" s="66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</row>
    <row r="185" spans="5:87" x14ac:dyDescent="0.2">
      <c r="E185" s="2"/>
      <c r="F185" s="2"/>
      <c r="G185" s="294"/>
      <c r="H185" s="2"/>
      <c r="I185" s="2"/>
      <c r="J185" s="2"/>
      <c r="K185" s="2"/>
      <c r="L185" s="2"/>
      <c r="M185" s="2"/>
      <c r="N185" s="2"/>
      <c r="O185" s="2"/>
      <c r="P185" s="66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</row>
    <row r="186" spans="5:87" x14ac:dyDescent="0.2">
      <c r="E186" s="2"/>
      <c r="F186" s="2"/>
      <c r="G186" s="294"/>
      <c r="H186" s="2"/>
      <c r="I186" s="2"/>
      <c r="J186" s="2"/>
      <c r="K186" s="2"/>
      <c r="L186" s="2"/>
      <c r="M186" s="2"/>
      <c r="N186" s="2"/>
      <c r="O186" s="2"/>
      <c r="P186" s="66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</row>
    <row r="187" spans="5:87" x14ac:dyDescent="0.2">
      <c r="E187" s="2"/>
      <c r="F187" s="2"/>
      <c r="G187" s="294"/>
      <c r="H187" s="2"/>
      <c r="I187" s="2"/>
      <c r="J187" s="2"/>
      <c r="K187" s="2"/>
      <c r="L187" s="2"/>
      <c r="M187" s="2"/>
      <c r="N187" s="2"/>
      <c r="O187" s="2"/>
      <c r="P187" s="66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</row>
    <row r="188" spans="5:87" x14ac:dyDescent="0.2">
      <c r="E188" s="2"/>
      <c r="F188" s="2"/>
      <c r="G188" s="294"/>
      <c r="H188" s="2"/>
      <c r="I188" s="2"/>
      <c r="J188" s="2"/>
      <c r="K188" s="2"/>
      <c r="L188" s="2"/>
      <c r="M188" s="2"/>
      <c r="N188" s="2"/>
      <c r="O188" s="2"/>
      <c r="P188" s="66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</row>
    <row r="189" spans="5:87" x14ac:dyDescent="0.2">
      <c r="E189" s="2"/>
      <c r="F189" s="2"/>
      <c r="G189" s="294"/>
      <c r="H189" s="2"/>
      <c r="I189" s="2"/>
      <c r="J189" s="2"/>
      <c r="K189" s="2"/>
      <c r="L189" s="2"/>
      <c r="M189" s="2"/>
      <c r="N189" s="2"/>
      <c r="O189" s="2"/>
      <c r="P189" s="66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</row>
    <row r="190" spans="5:87" x14ac:dyDescent="0.2">
      <c r="E190" s="2"/>
      <c r="F190" s="2"/>
      <c r="G190" s="294"/>
      <c r="H190" s="2"/>
      <c r="I190" s="2"/>
      <c r="J190" s="2"/>
      <c r="K190" s="2"/>
      <c r="L190" s="2"/>
      <c r="M190" s="2"/>
      <c r="N190" s="2"/>
      <c r="O190" s="2"/>
      <c r="P190" s="66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</row>
    <row r="191" spans="5:87" x14ac:dyDescent="0.2">
      <c r="E191" s="2"/>
      <c r="F191" s="2"/>
      <c r="G191" s="294"/>
      <c r="H191" s="2"/>
      <c r="I191" s="2"/>
      <c r="J191" s="2"/>
      <c r="K191" s="2"/>
      <c r="L191" s="2"/>
      <c r="M191" s="2"/>
      <c r="N191" s="2"/>
      <c r="O191" s="2"/>
      <c r="P191" s="66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</row>
    <row r="192" spans="5:87" x14ac:dyDescent="0.2">
      <c r="E192" s="2"/>
      <c r="F192" s="2"/>
      <c r="G192" s="294"/>
      <c r="H192" s="2"/>
      <c r="I192" s="2"/>
      <c r="J192" s="2"/>
      <c r="K192" s="2"/>
      <c r="L192" s="2"/>
      <c r="M192" s="2"/>
      <c r="N192" s="2"/>
      <c r="O192" s="2"/>
      <c r="P192" s="66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</row>
    <row r="193" spans="5:87" x14ac:dyDescent="0.2">
      <c r="E193" s="2"/>
      <c r="F193" s="2"/>
      <c r="G193" s="294"/>
      <c r="H193" s="2"/>
      <c r="I193" s="2"/>
      <c r="J193" s="2"/>
      <c r="K193" s="2"/>
      <c r="L193" s="2"/>
      <c r="M193" s="2"/>
      <c r="N193" s="2"/>
      <c r="O193" s="2"/>
      <c r="P193" s="66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</row>
    <row r="194" spans="5:87" x14ac:dyDescent="0.2">
      <c r="E194" s="2"/>
      <c r="F194" s="2"/>
      <c r="G194" s="294"/>
      <c r="H194" s="2"/>
      <c r="I194" s="2"/>
      <c r="J194" s="2"/>
      <c r="K194" s="2"/>
      <c r="L194" s="2"/>
      <c r="M194" s="2"/>
      <c r="N194" s="2"/>
      <c r="O194" s="2"/>
      <c r="P194" s="66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</row>
    <row r="195" spans="5:87" x14ac:dyDescent="0.2">
      <c r="E195" s="2"/>
      <c r="F195" s="2"/>
      <c r="G195" s="294"/>
      <c r="H195" s="2"/>
      <c r="I195" s="2"/>
      <c r="J195" s="2"/>
      <c r="K195" s="2"/>
      <c r="L195" s="2"/>
      <c r="M195" s="2"/>
      <c r="N195" s="2"/>
      <c r="O195" s="2"/>
      <c r="P195" s="66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</row>
    <row r="196" spans="5:87" x14ac:dyDescent="0.2">
      <c r="E196" s="2"/>
      <c r="F196" s="2"/>
      <c r="G196" s="294"/>
      <c r="H196" s="2"/>
      <c r="I196" s="2"/>
      <c r="J196" s="2"/>
      <c r="K196" s="2"/>
      <c r="L196" s="2"/>
      <c r="M196" s="2"/>
      <c r="N196" s="2"/>
      <c r="O196" s="2"/>
      <c r="P196" s="66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</row>
    <row r="197" spans="5:87" x14ac:dyDescent="0.2">
      <c r="E197" s="2"/>
      <c r="F197" s="2"/>
      <c r="G197" s="294"/>
      <c r="H197" s="2"/>
      <c r="I197" s="2"/>
      <c r="J197" s="2"/>
      <c r="K197" s="2"/>
      <c r="L197" s="2"/>
      <c r="M197" s="2"/>
      <c r="N197" s="2"/>
      <c r="O197" s="2"/>
      <c r="P197" s="66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</row>
    <row r="198" spans="5:87" x14ac:dyDescent="0.2">
      <c r="E198" s="2"/>
      <c r="F198" s="2"/>
      <c r="G198" s="294"/>
      <c r="H198" s="2"/>
      <c r="I198" s="2"/>
      <c r="J198" s="2"/>
      <c r="K198" s="2"/>
      <c r="L198" s="2"/>
      <c r="M198" s="2"/>
      <c r="N198" s="2"/>
      <c r="O198" s="2"/>
      <c r="P198" s="66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</row>
    <row r="199" spans="5:87" x14ac:dyDescent="0.2">
      <c r="E199" s="2"/>
      <c r="F199" s="2"/>
      <c r="G199" s="294"/>
      <c r="H199" s="2"/>
      <c r="I199" s="2"/>
      <c r="J199" s="2"/>
      <c r="K199" s="2"/>
      <c r="L199" s="2"/>
      <c r="M199" s="2"/>
      <c r="N199" s="2"/>
      <c r="O199" s="2"/>
      <c r="P199" s="66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</row>
    <row r="200" spans="5:87" x14ac:dyDescent="0.2">
      <c r="E200" s="2"/>
      <c r="F200" s="2"/>
      <c r="G200" s="294"/>
      <c r="H200" s="2"/>
      <c r="I200" s="2"/>
      <c r="J200" s="2"/>
      <c r="K200" s="2"/>
      <c r="L200" s="2"/>
      <c r="M200" s="2"/>
      <c r="N200" s="2"/>
      <c r="O200" s="2"/>
      <c r="P200" s="66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</row>
    <row r="201" spans="5:87" x14ac:dyDescent="0.2">
      <c r="E201" s="2"/>
      <c r="F201" s="2"/>
      <c r="G201" s="294"/>
      <c r="H201" s="2"/>
      <c r="I201" s="2"/>
      <c r="J201" s="2"/>
      <c r="K201" s="2"/>
      <c r="L201" s="2"/>
      <c r="M201" s="2"/>
      <c r="N201" s="2"/>
      <c r="O201" s="2"/>
      <c r="P201" s="66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</row>
    <row r="202" spans="5:87" x14ac:dyDescent="0.2">
      <c r="E202" s="2"/>
      <c r="F202" s="2"/>
      <c r="G202" s="294"/>
      <c r="H202" s="2"/>
      <c r="I202" s="2"/>
      <c r="J202" s="2"/>
      <c r="K202" s="2"/>
      <c r="L202" s="2"/>
      <c r="M202" s="2"/>
      <c r="N202" s="2"/>
      <c r="O202" s="2"/>
      <c r="P202" s="66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</row>
    <row r="203" spans="5:87" x14ac:dyDescent="0.2">
      <c r="E203" s="2"/>
      <c r="F203" s="2"/>
      <c r="G203" s="294"/>
      <c r="H203" s="2"/>
      <c r="I203" s="2"/>
      <c r="J203" s="2"/>
      <c r="K203" s="2"/>
      <c r="L203" s="2"/>
      <c r="M203" s="2"/>
      <c r="N203" s="2"/>
      <c r="O203" s="2"/>
      <c r="P203" s="66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</row>
    <row r="204" spans="5:87" x14ac:dyDescent="0.2">
      <c r="E204" s="2"/>
      <c r="F204" s="2"/>
      <c r="G204" s="294"/>
      <c r="H204" s="2"/>
      <c r="I204" s="2"/>
      <c r="J204" s="2"/>
      <c r="K204" s="2"/>
      <c r="L204" s="2"/>
      <c r="M204" s="2"/>
      <c r="N204" s="2"/>
      <c r="O204" s="2"/>
      <c r="P204" s="66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</row>
    <row r="205" spans="5:87" x14ac:dyDescent="0.2">
      <c r="E205" s="2"/>
      <c r="F205" s="2"/>
      <c r="G205" s="294"/>
      <c r="H205" s="2"/>
      <c r="I205" s="2"/>
      <c r="J205" s="2"/>
      <c r="K205" s="2"/>
      <c r="L205" s="2"/>
      <c r="M205" s="2"/>
      <c r="N205" s="2"/>
      <c r="O205" s="2"/>
      <c r="P205" s="66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</row>
    <row r="206" spans="5:87" x14ac:dyDescent="0.2">
      <c r="E206" s="2"/>
      <c r="F206" s="2"/>
      <c r="G206" s="294"/>
      <c r="H206" s="2"/>
      <c r="I206" s="2"/>
      <c r="J206" s="2"/>
      <c r="K206" s="2"/>
      <c r="L206" s="2"/>
      <c r="M206" s="2"/>
      <c r="N206" s="2"/>
      <c r="O206" s="2"/>
      <c r="P206" s="66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</row>
    <row r="207" spans="5:87" x14ac:dyDescent="0.2">
      <c r="E207" s="2"/>
      <c r="F207" s="2"/>
      <c r="G207" s="294"/>
      <c r="H207" s="2"/>
      <c r="I207" s="2"/>
      <c r="J207" s="2"/>
      <c r="K207" s="2"/>
      <c r="L207" s="2"/>
      <c r="M207" s="2"/>
      <c r="N207" s="2"/>
      <c r="O207" s="2"/>
      <c r="P207" s="66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</row>
    <row r="208" spans="5:87" x14ac:dyDescent="0.2">
      <c r="E208" s="2"/>
      <c r="F208" s="2"/>
      <c r="G208" s="294"/>
      <c r="H208" s="2"/>
      <c r="I208" s="2"/>
      <c r="J208" s="2"/>
      <c r="K208" s="2"/>
      <c r="L208" s="2"/>
      <c r="M208" s="2"/>
      <c r="N208" s="2"/>
      <c r="O208" s="2"/>
      <c r="P208" s="66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</row>
    <row r="209" spans="5:87" x14ac:dyDescent="0.2">
      <c r="E209" s="2"/>
      <c r="F209" s="2"/>
      <c r="G209" s="294"/>
      <c r="H209" s="2"/>
      <c r="I209" s="2"/>
      <c r="J209" s="2"/>
      <c r="K209" s="2"/>
      <c r="L209" s="2"/>
      <c r="M209" s="2"/>
      <c r="N209" s="2"/>
      <c r="O209" s="2"/>
      <c r="P209" s="66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</row>
    <row r="210" spans="5:87" x14ac:dyDescent="0.2">
      <c r="E210" s="2"/>
      <c r="F210" s="2"/>
      <c r="G210" s="294"/>
      <c r="H210" s="2"/>
      <c r="I210" s="2"/>
      <c r="J210" s="2"/>
      <c r="K210" s="2"/>
      <c r="L210" s="2"/>
      <c r="M210" s="2"/>
      <c r="N210" s="2"/>
      <c r="O210" s="2"/>
      <c r="P210" s="66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</row>
    <row r="211" spans="5:87" x14ac:dyDescent="0.2">
      <c r="E211" s="2"/>
      <c r="F211" s="2"/>
      <c r="G211" s="294"/>
      <c r="H211" s="2"/>
      <c r="I211" s="2"/>
      <c r="J211" s="2"/>
      <c r="K211" s="2"/>
      <c r="L211" s="2"/>
      <c r="M211" s="2"/>
      <c r="N211" s="2"/>
      <c r="O211" s="2"/>
      <c r="P211" s="66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</row>
    <row r="212" spans="5:87" x14ac:dyDescent="0.2">
      <c r="E212" s="2"/>
      <c r="F212" s="2"/>
      <c r="G212" s="294"/>
      <c r="H212" s="2"/>
      <c r="I212" s="2"/>
      <c r="J212" s="2"/>
      <c r="K212" s="2"/>
      <c r="L212" s="2"/>
      <c r="M212" s="2"/>
      <c r="N212" s="2"/>
      <c r="O212" s="2"/>
      <c r="P212" s="66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</row>
    <row r="213" spans="5:87" x14ac:dyDescent="0.2">
      <c r="E213" s="2"/>
      <c r="F213" s="2"/>
      <c r="G213" s="294"/>
      <c r="H213" s="2"/>
      <c r="I213" s="2"/>
      <c r="J213" s="2"/>
      <c r="K213" s="2"/>
      <c r="L213" s="2"/>
      <c r="M213" s="2"/>
      <c r="N213" s="2"/>
      <c r="O213" s="2"/>
      <c r="P213" s="66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</row>
    <row r="214" spans="5:87" x14ac:dyDescent="0.2">
      <c r="E214" s="2"/>
      <c r="F214" s="2"/>
      <c r="G214" s="294"/>
      <c r="H214" s="2"/>
      <c r="I214" s="2"/>
      <c r="J214" s="2"/>
      <c r="K214" s="2"/>
      <c r="L214" s="2"/>
      <c r="M214" s="2"/>
      <c r="N214" s="2"/>
      <c r="O214" s="2"/>
      <c r="P214" s="66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</row>
    <row r="215" spans="5:87" x14ac:dyDescent="0.2">
      <c r="E215" s="2"/>
      <c r="F215" s="2"/>
      <c r="G215" s="294"/>
      <c r="H215" s="2"/>
      <c r="I215" s="2"/>
      <c r="J215" s="2"/>
      <c r="K215" s="2"/>
      <c r="L215" s="2"/>
      <c r="M215" s="2"/>
      <c r="N215" s="2"/>
      <c r="O215" s="2"/>
      <c r="P215" s="66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</row>
    <row r="216" spans="5:87" x14ac:dyDescent="0.2">
      <c r="E216" s="2"/>
      <c r="F216" s="2"/>
      <c r="G216" s="294"/>
      <c r="H216" s="2"/>
      <c r="I216" s="2"/>
      <c r="J216" s="2"/>
      <c r="K216" s="2"/>
      <c r="L216" s="2"/>
      <c r="M216" s="2"/>
      <c r="N216" s="2"/>
      <c r="O216" s="2"/>
      <c r="P216" s="66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</row>
    <row r="217" spans="5:87" x14ac:dyDescent="0.2">
      <c r="E217" s="2"/>
      <c r="F217" s="2"/>
      <c r="G217" s="294"/>
      <c r="H217" s="2"/>
      <c r="I217" s="2"/>
      <c r="J217" s="2"/>
      <c r="K217" s="2"/>
      <c r="L217" s="2"/>
      <c r="M217" s="2"/>
      <c r="N217" s="2"/>
      <c r="O217" s="2"/>
      <c r="P217" s="66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</row>
    <row r="218" spans="5:87" x14ac:dyDescent="0.2">
      <c r="E218" s="2"/>
      <c r="F218" s="2"/>
      <c r="G218" s="294"/>
      <c r="H218" s="2"/>
      <c r="I218" s="2"/>
      <c r="J218" s="2"/>
      <c r="K218" s="2"/>
      <c r="L218" s="2"/>
      <c r="M218" s="2"/>
      <c r="N218" s="2"/>
      <c r="O218" s="2"/>
      <c r="P218" s="66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</row>
    <row r="219" spans="5:87" x14ac:dyDescent="0.2">
      <c r="E219" s="2"/>
      <c r="F219" s="2"/>
      <c r="G219" s="294"/>
      <c r="H219" s="2"/>
      <c r="I219" s="2"/>
      <c r="J219" s="2"/>
      <c r="K219" s="2"/>
      <c r="L219" s="2"/>
      <c r="M219" s="2"/>
      <c r="N219" s="2"/>
      <c r="O219" s="2"/>
      <c r="P219" s="66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</row>
    <row r="220" spans="5:87" x14ac:dyDescent="0.2">
      <c r="E220" s="2"/>
      <c r="F220" s="2"/>
      <c r="G220" s="294"/>
      <c r="H220" s="2"/>
      <c r="I220" s="2"/>
      <c r="J220" s="2"/>
      <c r="K220" s="2"/>
      <c r="L220" s="2"/>
      <c r="M220" s="2"/>
      <c r="N220" s="2"/>
      <c r="O220" s="2"/>
      <c r="P220" s="66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</row>
    <row r="221" spans="5:87" x14ac:dyDescent="0.2">
      <c r="E221" s="2"/>
      <c r="F221" s="2"/>
      <c r="G221" s="294"/>
      <c r="H221" s="2"/>
      <c r="I221" s="2"/>
      <c r="J221" s="2"/>
      <c r="K221" s="2"/>
      <c r="L221" s="2"/>
      <c r="M221" s="2"/>
      <c r="N221" s="2"/>
      <c r="O221" s="2"/>
      <c r="P221" s="66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</row>
    <row r="222" spans="5:87" x14ac:dyDescent="0.2">
      <c r="E222" s="2"/>
      <c r="F222" s="2"/>
      <c r="G222" s="294"/>
      <c r="H222" s="2"/>
      <c r="I222" s="2"/>
      <c r="J222" s="2"/>
      <c r="K222" s="2"/>
      <c r="L222" s="2"/>
      <c r="M222" s="2"/>
      <c r="N222" s="2"/>
      <c r="O222" s="2"/>
      <c r="P222" s="66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</row>
    <row r="223" spans="5:87" x14ac:dyDescent="0.2">
      <c r="E223" s="2"/>
      <c r="F223" s="2"/>
      <c r="G223" s="294"/>
      <c r="H223" s="2"/>
      <c r="I223" s="2"/>
      <c r="J223" s="2"/>
      <c r="K223" s="2"/>
      <c r="L223" s="2"/>
      <c r="M223" s="2"/>
      <c r="N223" s="2"/>
      <c r="O223" s="2"/>
      <c r="P223" s="66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</row>
    <row r="224" spans="5:87" x14ac:dyDescent="0.2">
      <c r="E224" s="2"/>
      <c r="F224" s="2"/>
      <c r="G224" s="294"/>
      <c r="H224" s="2"/>
      <c r="I224" s="2"/>
      <c r="J224" s="2"/>
      <c r="K224" s="2"/>
      <c r="L224" s="2"/>
      <c r="M224" s="2"/>
      <c r="N224" s="2"/>
      <c r="O224" s="2"/>
      <c r="P224" s="66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</row>
    <row r="225" spans="5:87" x14ac:dyDescent="0.2">
      <c r="E225" s="2"/>
      <c r="F225" s="2"/>
      <c r="G225" s="294"/>
      <c r="H225" s="2"/>
      <c r="I225" s="2"/>
      <c r="J225" s="2"/>
      <c r="K225" s="2"/>
      <c r="L225" s="2"/>
      <c r="M225" s="2"/>
      <c r="N225" s="2"/>
      <c r="O225" s="2"/>
      <c r="P225" s="66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</row>
    <row r="226" spans="5:87" x14ac:dyDescent="0.2">
      <c r="E226" s="2"/>
      <c r="F226" s="2"/>
      <c r="G226" s="294"/>
      <c r="H226" s="2"/>
      <c r="I226" s="2"/>
      <c r="J226" s="2"/>
      <c r="K226" s="2"/>
      <c r="L226" s="2"/>
      <c r="M226" s="2"/>
      <c r="N226" s="2"/>
      <c r="O226" s="2"/>
      <c r="P226" s="66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</row>
    <row r="227" spans="5:87" x14ac:dyDescent="0.2">
      <c r="E227" s="2"/>
      <c r="F227" s="2"/>
      <c r="G227" s="294"/>
      <c r="H227" s="2"/>
      <c r="I227" s="2"/>
      <c r="J227" s="2"/>
      <c r="K227" s="2"/>
      <c r="L227" s="2"/>
      <c r="M227" s="2"/>
      <c r="N227" s="2"/>
      <c r="O227" s="2"/>
      <c r="P227" s="66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</row>
    <row r="228" spans="5:87" x14ac:dyDescent="0.2">
      <c r="E228" s="2"/>
      <c r="F228" s="2"/>
      <c r="G228" s="294"/>
      <c r="H228" s="2"/>
      <c r="I228" s="2"/>
      <c r="J228" s="2"/>
      <c r="K228" s="2"/>
      <c r="L228" s="2"/>
      <c r="M228" s="2"/>
      <c r="N228" s="2"/>
      <c r="O228" s="2"/>
      <c r="P228" s="66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</row>
    <row r="229" spans="5:87" x14ac:dyDescent="0.2">
      <c r="E229" s="2"/>
      <c r="F229" s="2"/>
      <c r="G229" s="294"/>
      <c r="H229" s="2"/>
      <c r="I229" s="2"/>
      <c r="J229" s="2"/>
      <c r="K229" s="2"/>
      <c r="L229" s="2"/>
      <c r="M229" s="2"/>
      <c r="N229" s="2"/>
      <c r="O229" s="2"/>
      <c r="P229" s="66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</row>
    <row r="230" spans="5:87" x14ac:dyDescent="0.2">
      <c r="E230" s="2"/>
      <c r="F230" s="2"/>
      <c r="G230" s="294"/>
      <c r="H230" s="2"/>
      <c r="I230" s="2"/>
      <c r="J230" s="2"/>
      <c r="K230" s="2"/>
      <c r="L230" s="2"/>
      <c r="M230" s="2"/>
      <c r="N230" s="2"/>
      <c r="O230" s="2"/>
      <c r="P230" s="66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</row>
    <row r="231" spans="5:87" x14ac:dyDescent="0.2">
      <c r="E231" s="2"/>
      <c r="F231" s="2"/>
      <c r="G231" s="294"/>
      <c r="H231" s="2"/>
      <c r="I231" s="2"/>
      <c r="J231" s="2"/>
      <c r="K231" s="2"/>
      <c r="L231" s="2"/>
      <c r="M231" s="2"/>
      <c r="N231" s="2"/>
      <c r="O231" s="2"/>
      <c r="P231" s="66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</row>
    <row r="232" spans="5:87" x14ac:dyDescent="0.2">
      <c r="E232" s="2"/>
      <c r="F232" s="2"/>
      <c r="G232" s="294"/>
      <c r="H232" s="2"/>
      <c r="I232" s="2"/>
      <c r="J232" s="2"/>
      <c r="K232" s="2"/>
      <c r="L232" s="2"/>
      <c r="M232" s="2"/>
      <c r="N232" s="2"/>
      <c r="O232" s="2"/>
      <c r="P232" s="66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</row>
    <row r="233" spans="5:87" x14ac:dyDescent="0.2">
      <c r="E233" s="2"/>
      <c r="F233" s="2"/>
      <c r="G233" s="294"/>
      <c r="H233" s="2"/>
      <c r="I233" s="2"/>
      <c r="J233" s="2"/>
      <c r="K233" s="2"/>
      <c r="L233" s="2"/>
      <c r="M233" s="2"/>
      <c r="N233" s="2"/>
      <c r="O233" s="2"/>
      <c r="P233" s="66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</row>
    <row r="234" spans="5:87" x14ac:dyDescent="0.2">
      <c r="E234" s="2"/>
      <c r="F234" s="2"/>
      <c r="G234" s="294"/>
      <c r="H234" s="2"/>
      <c r="I234" s="2"/>
      <c r="J234" s="2"/>
      <c r="K234" s="2"/>
      <c r="L234" s="2"/>
      <c r="M234" s="2"/>
      <c r="N234" s="2"/>
      <c r="O234" s="2"/>
      <c r="P234" s="66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</row>
    <row r="235" spans="5:87" x14ac:dyDescent="0.2">
      <c r="E235" s="2"/>
      <c r="F235" s="2"/>
      <c r="G235" s="294"/>
      <c r="H235" s="2"/>
      <c r="I235" s="2"/>
      <c r="J235" s="2"/>
      <c r="K235" s="2"/>
      <c r="L235" s="2"/>
      <c r="M235" s="2"/>
      <c r="N235" s="2"/>
      <c r="O235" s="2"/>
      <c r="P235" s="66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</row>
    <row r="236" spans="5:87" x14ac:dyDescent="0.2">
      <c r="E236" s="2"/>
      <c r="F236" s="2"/>
      <c r="G236" s="294"/>
      <c r="H236" s="2"/>
      <c r="I236" s="2"/>
      <c r="J236" s="2"/>
      <c r="K236" s="2"/>
      <c r="L236" s="2"/>
      <c r="M236" s="2"/>
      <c r="N236" s="2"/>
      <c r="O236" s="2"/>
      <c r="P236" s="66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</row>
    <row r="237" spans="5:87" x14ac:dyDescent="0.2">
      <c r="E237" s="2"/>
      <c r="F237" s="2"/>
      <c r="G237" s="294"/>
      <c r="H237" s="2"/>
      <c r="I237" s="2"/>
      <c r="J237" s="2"/>
      <c r="K237" s="2"/>
      <c r="L237" s="2"/>
      <c r="M237" s="2"/>
      <c r="N237" s="2"/>
      <c r="O237" s="2"/>
      <c r="P237" s="66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</row>
    <row r="238" spans="5:87" x14ac:dyDescent="0.2">
      <c r="E238" s="2"/>
      <c r="F238" s="2"/>
      <c r="G238" s="294"/>
      <c r="H238" s="2"/>
      <c r="I238" s="2"/>
      <c r="J238" s="2"/>
      <c r="K238" s="2"/>
      <c r="L238" s="2"/>
      <c r="M238" s="2"/>
      <c r="N238" s="2"/>
      <c r="O238" s="2"/>
      <c r="P238" s="66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</row>
    <row r="239" spans="5:87" x14ac:dyDescent="0.2">
      <c r="E239" s="2"/>
      <c r="F239" s="2"/>
      <c r="G239" s="294"/>
      <c r="H239" s="2"/>
      <c r="I239" s="2"/>
      <c r="J239" s="2"/>
      <c r="K239" s="2"/>
      <c r="L239" s="2"/>
      <c r="M239" s="2"/>
      <c r="N239" s="2"/>
      <c r="O239" s="2"/>
      <c r="P239" s="66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</row>
    <row r="240" spans="5:87" x14ac:dyDescent="0.2">
      <c r="E240" s="2"/>
      <c r="F240" s="2"/>
      <c r="G240" s="294"/>
      <c r="H240" s="2"/>
      <c r="I240" s="2"/>
      <c r="J240" s="2"/>
      <c r="K240" s="2"/>
      <c r="L240" s="2"/>
      <c r="M240" s="2"/>
      <c r="N240" s="2"/>
      <c r="O240" s="2"/>
      <c r="P240" s="66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</row>
    <row r="241" spans="5:87" x14ac:dyDescent="0.2">
      <c r="E241" s="2"/>
      <c r="F241" s="2"/>
      <c r="G241" s="294"/>
      <c r="H241" s="2"/>
      <c r="I241" s="2"/>
      <c r="J241" s="2"/>
      <c r="K241" s="2"/>
      <c r="L241" s="2"/>
      <c r="M241" s="2"/>
      <c r="N241" s="2"/>
      <c r="O241" s="2"/>
      <c r="P241" s="66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</row>
    <row r="242" spans="5:87" x14ac:dyDescent="0.2">
      <c r="E242" s="2"/>
      <c r="F242" s="2"/>
      <c r="G242" s="294"/>
      <c r="H242" s="2"/>
      <c r="I242" s="2"/>
      <c r="J242" s="2"/>
      <c r="K242" s="2"/>
      <c r="L242" s="2"/>
      <c r="M242" s="2"/>
      <c r="N242" s="2"/>
      <c r="O242" s="2"/>
      <c r="P242" s="66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</row>
    <row r="243" spans="5:87" x14ac:dyDescent="0.2">
      <c r="E243" s="2"/>
      <c r="F243" s="2"/>
      <c r="G243" s="294"/>
      <c r="H243" s="2"/>
      <c r="I243" s="2"/>
      <c r="J243" s="2"/>
      <c r="K243" s="2"/>
      <c r="L243" s="2"/>
      <c r="M243" s="2"/>
      <c r="N243" s="2"/>
      <c r="O243" s="2"/>
      <c r="P243" s="66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</row>
    <row r="244" spans="5:87" x14ac:dyDescent="0.2">
      <c r="E244" s="2"/>
      <c r="F244" s="2"/>
      <c r="G244" s="294"/>
      <c r="H244" s="2"/>
      <c r="I244" s="2"/>
      <c r="J244" s="2"/>
      <c r="K244" s="2"/>
      <c r="L244" s="2"/>
      <c r="M244" s="2"/>
      <c r="N244" s="2"/>
      <c r="O244" s="2"/>
      <c r="P244" s="66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</row>
    <row r="245" spans="5:87" x14ac:dyDescent="0.2">
      <c r="E245" s="2"/>
      <c r="F245" s="2"/>
      <c r="G245" s="294"/>
      <c r="H245" s="2"/>
      <c r="I245" s="2"/>
      <c r="J245" s="2"/>
      <c r="K245" s="2"/>
      <c r="L245" s="2"/>
      <c r="M245" s="2"/>
      <c r="N245" s="2"/>
      <c r="O245" s="2"/>
      <c r="P245" s="66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</row>
    <row r="246" spans="5:87" x14ac:dyDescent="0.2">
      <c r="E246" s="2"/>
      <c r="F246" s="2"/>
      <c r="G246" s="294"/>
      <c r="H246" s="2"/>
      <c r="I246" s="2"/>
      <c r="J246" s="2"/>
      <c r="K246" s="2"/>
      <c r="L246" s="2"/>
      <c r="M246" s="2"/>
      <c r="N246" s="2"/>
      <c r="O246" s="2"/>
      <c r="P246" s="66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</row>
    <row r="247" spans="5:87" x14ac:dyDescent="0.2">
      <c r="E247" s="2"/>
      <c r="F247" s="2"/>
      <c r="G247" s="294"/>
      <c r="H247" s="2"/>
      <c r="I247" s="2"/>
      <c r="J247" s="2"/>
      <c r="K247" s="2"/>
      <c r="L247" s="2"/>
      <c r="M247" s="2"/>
      <c r="N247" s="2"/>
      <c r="O247" s="2"/>
      <c r="P247" s="66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</row>
    <row r="248" spans="5:87" x14ac:dyDescent="0.2">
      <c r="E248" s="2"/>
      <c r="F248" s="2"/>
      <c r="G248" s="294"/>
      <c r="H248" s="2"/>
      <c r="I248" s="2"/>
      <c r="J248" s="2"/>
      <c r="K248" s="2"/>
      <c r="L248" s="2"/>
      <c r="M248" s="2"/>
      <c r="N248" s="2"/>
      <c r="O248" s="2"/>
      <c r="P248" s="66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</row>
    <row r="249" spans="5:87" x14ac:dyDescent="0.2">
      <c r="E249" s="2"/>
      <c r="F249" s="2"/>
      <c r="G249" s="294"/>
      <c r="H249" s="2"/>
      <c r="I249" s="2"/>
      <c r="J249" s="2"/>
      <c r="K249" s="2"/>
      <c r="L249" s="2"/>
      <c r="M249" s="2"/>
      <c r="N249" s="2"/>
      <c r="O249" s="2"/>
      <c r="P249" s="66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</row>
    <row r="250" spans="5:87" x14ac:dyDescent="0.2">
      <c r="E250" s="2"/>
      <c r="F250" s="2"/>
      <c r="G250" s="294"/>
      <c r="H250" s="2"/>
      <c r="I250" s="2"/>
      <c r="J250" s="2"/>
      <c r="K250" s="2"/>
      <c r="L250" s="2"/>
      <c r="M250" s="2"/>
      <c r="N250" s="2"/>
      <c r="O250" s="2"/>
      <c r="P250" s="66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</row>
    <row r="251" spans="5:87" x14ac:dyDescent="0.2">
      <c r="E251" s="2"/>
      <c r="F251" s="2"/>
      <c r="G251" s="294"/>
      <c r="H251" s="2"/>
      <c r="I251" s="2"/>
      <c r="J251" s="2"/>
      <c r="K251" s="2"/>
      <c r="L251" s="2"/>
      <c r="M251" s="2"/>
      <c r="N251" s="2"/>
      <c r="O251" s="2"/>
      <c r="P251" s="66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</row>
    <row r="252" spans="5:87" x14ac:dyDescent="0.2">
      <c r="E252" s="2"/>
      <c r="F252" s="2"/>
      <c r="G252" s="294"/>
      <c r="H252" s="2"/>
      <c r="I252" s="2"/>
      <c r="J252" s="2"/>
      <c r="K252" s="2"/>
      <c r="L252" s="2"/>
      <c r="M252" s="2"/>
      <c r="N252" s="2"/>
      <c r="O252" s="2"/>
      <c r="P252" s="66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</row>
    <row r="253" spans="5:87" x14ac:dyDescent="0.2">
      <c r="E253" s="2"/>
      <c r="F253" s="2"/>
      <c r="G253" s="294"/>
      <c r="H253" s="2"/>
      <c r="I253" s="2"/>
      <c r="J253" s="2"/>
      <c r="K253" s="2"/>
      <c r="L253" s="2"/>
      <c r="M253" s="2"/>
      <c r="N253" s="2"/>
      <c r="O253" s="2"/>
      <c r="P253" s="66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</row>
    <row r="254" spans="5:87" x14ac:dyDescent="0.2">
      <c r="E254" s="2"/>
      <c r="F254" s="2"/>
      <c r="G254" s="294"/>
      <c r="H254" s="2"/>
      <c r="I254" s="2"/>
      <c r="J254" s="2"/>
      <c r="K254" s="2"/>
      <c r="L254" s="2"/>
      <c r="M254" s="2"/>
      <c r="N254" s="2"/>
      <c r="O254" s="2"/>
      <c r="P254" s="66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</row>
    <row r="255" spans="5:87" x14ac:dyDescent="0.2">
      <c r="E255" s="2"/>
      <c r="F255" s="2"/>
      <c r="G255" s="294"/>
      <c r="H255" s="2"/>
      <c r="I255" s="2"/>
      <c r="J255" s="2"/>
      <c r="K255" s="2"/>
      <c r="L255" s="2"/>
      <c r="M255" s="2"/>
      <c r="N255" s="2"/>
      <c r="O255" s="2"/>
      <c r="P255" s="66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</row>
    <row r="256" spans="5:87" x14ac:dyDescent="0.2">
      <c r="E256" s="2"/>
      <c r="F256" s="2"/>
      <c r="G256" s="294"/>
      <c r="H256" s="2"/>
      <c r="I256" s="2"/>
      <c r="J256" s="2"/>
      <c r="K256" s="2"/>
      <c r="L256" s="2"/>
      <c r="M256" s="2"/>
      <c r="N256" s="2"/>
      <c r="O256" s="2"/>
      <c r="P256" s="66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</row>
    <row r="257" spans="5:87" x14ac:dyDescent="0.2">
      <c r="E257" s="2"/>
      <c r="F257" s="2"/>
      <c r="G257" s="294"/>
      <c r="H257" s="2"/>
      <c r="I257" s="2"/>
      <c r="J257" s="2"/>
      <c r="K257" s="2"/>
      <c r="L257" s="2"/>
      <c r="M257" s="2"/>
      <c r="N257" s="2"/>
      <c r="O257" s="2"/>
      <c r="P257" s="66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</row>
    <row r="258" spans="5:87" x14ac:dyDescent="0.2">
      <c r="E258" s="2"/>
      <c r="F258" s="2"/>
      <c r="G258" s="294"/>
      <c r="H258" s="2"/>
      <c r="I258" s="2"/>
      <c r="J258" s="2"/>
      <c r="K258" s="2"/>
      <c r="L258" s="2"/>
      <c r="M258" s="2"/>
      <c r="N258" s="2"/>
      <c r="O258" s="2"/>
      <c r="P258" s="66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</row>
    <row r="259" spans="5:87" x14ac:dyDescent="0.2">
      <c r="E259" s="2"/>
      <c r="F259" s="2"/>
      <c r="G259" s="294"/>
      <c r="H259" s="2"/>
      <c r="I259" s="2"/>
      <c r="J259" s="2"/>
      <c r="K259" s="2"/>
      <c r="L259" s="2"/>
      <c r="M259" s="2"/>
      <c r="N259" s="2"/>
      <c r="O259" s="2"/>
      <c r="P259" s="66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</row>
    <row r="260" spans="5:87" x14ac:dyDescent="0.2">
      <c r="E260" s="2"/>
      <c r="F260" s="2"/>
      <c r="G260" s="294"/>
      <c r="H260" s="2"/>
      <c r="I260" s="2"/>
      <c r="J260" s="2"/>
      <c r="K260" s="2"/>
      <c r="L260" s="2"/>
      <c r="M260" s="2"/>
      <c r="N260" s="2"/>
      <c r="O260" s="2"/>
      <c r="P260" s="66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</row>
    <row r="261" spans="5:87" x14ac:dyDescent="0.2">
      <c r="E261" s="2"/>
      <c r="F261" s="2"/>
      <c r="G261" s="294"/>
      <c r="H261" s="2"/>
      <c r="I261" s="2"/>
      <c r="J261" s="2"/>
      <c r="K261" s="2"/>
      <c r="L261" s="2"/>
      <c r="M261" s="2"/>
      <c r="N261" s="2"/>
      <c r="O261" s="2"/>
      <c r="P261" s="66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</row>
    <row r="262" spans="5:87" x14ac:dyDescent="0.2">
      <c r="E262" s="2"/>
      <c r="F262" s="2"/>
      <c r="G262" s="294"/>
      <c r="H262" s="2"/>
      <c r="I262" s="2"/>
      <c r="J262" s="2"/>
      <c r="K262" s="2"/>
      <c r="L262" s="2"/>
      <c r="M262" s="2"/>
      <c r="N262" s="2"/>
      <c r="O262" s="2"/>
      <c r="P262" s="66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</row>
    <row r="263" spans="5:87" x14ac:dyDescent="0.2">
      <c r="E263" s="2"/>
      <c r="F263" s="2"/>
      <c r="G263" s="294"/>
      <c r="H263" s="2"/>
      <c r="I263" s="2"/>
      <c r="J263" s="2"/>
      <c r="K263" s="2"/>
      <c r="L263" s="2"/>
      <c r="M263" s="2"/>
      <c r="N263" s="2"/>
      <c r="O263" s="2"/>
      <c r="P263" s="66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</row>
    <row r="264" spans="5:87" x14ac:dyDescent="0.2">
      <c r="E264" s="2"/>
      <c r="F264" s="2"/>
      <c r="G264" s="294"/>
      <c r="H264" s="2"/>
      <c r="I264" s="2"/>
      <c r="J264" s="2"/>
      <c r="K264" s="2"/>
      <c r="L264" s="2"/>
      <c r="M264" s="2"/>
      <c r="N264" s="2"/>
      <c r="O264" s="2"/>
      <c r="P264" s="66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</row>
    <row r="265" spans="5:87" x14ac:dyDescent="0.2">
      <c r="E265" s="2"/>
      <c r="F265" s="2"/>
      <c r="G265" s="294"/>
      <c r="H265" s="2"/>
      <c r="I265" s="2"/>
      <c r="J265" s="2"/>
      <c r="K265" s="2"/>
      <c r="L265" s="2"/>
      <c r="M265" s="2"/>
      <c r="N265" s="2"/>
      <c r="O265" s="2"/>
      <c r="P265" s="66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</row>
    <row r="266" spans="5:87" x14ac:dyDescent="0.2">
      <c r="E266" s="2"/>
      <c r="F266" s="2"/>
      <c r="G266" s="294"/>
      <c r="H266" s="2"/>
      <c r="I266" s="2"/>
      <c r="J266" s="2"/>
      <c r="K266" s="2"/>
      <c r="L266" s="2"/>
      <c r="M266" s="2"/>
      <c r="N266" s="2"/>
      <c r="O266" s="2"/>
      <c r="P266" s="66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</row>
    <row r="267" spans="5:87" x14ac:dyDescent="0.2">
      <c r="E267" s="2"/>
      <c r="F267" s="2"/>
      <c r="G267" s="294"/>
      <c r="H267" s="2"/>
      <c r="I267" s="2"/>
      <c r="J267" s="2"/>
      <c r="K267" s="2"/>
      <c r="L267" s="2"/>
      <c r="M267" s="2"/>
      <c r="N267" s="2"/>
      <c r="O267" s="2"/>
      <c r="P267" s="66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</row>
    <row r="268" spans="5:87" x14ac:dyDescent="0.2">
      <c r="E268" s="2"/>
      <c r="F268" s="2"/>
      <c r="G268" s="294"/>
      <c r="H268" s="2"/>
      <c r="I268" s="2"/>
      <c r="J268" s="2"/>
      <c r="K268" s="2"/>
      <c r="L268" s="2"/>
      <c r="M268" s="2"/>
      <c r="N268" s="2"/>
      <c r="O268" s="2"/>
      <c r="P268" s="66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</row>
    <row r="269" spans="5:87" x14ac:dyDescent="0.2">
      <c r="E269" s="2"/>
      <c r="F269" s="2"/>
      <c r="G269" s="294"/>
      <c r="H269" s="2"/>
      <c r="I269" s="2"/>
      <c r="J269" s="2"/>
      <c r="K269" s="2"/>
      <c r="L269" s="2"/>
      <c r="M269" s="2"/>
      <c r="N269" s="2"/>
      <c r="O269" s="2"/>
      <c r="P269" s="66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</row>
    <row r="270" spans="5:87" x14ac:dyDescent="0.2">
      <c r="E270" s="2"/>
      <c r="F270" s="2"/>
      <c r="G270" s="294"/>
      <c r="H270" s="2"/>
      <c r="I270" s="2"/>
      <c r="J270" s="2"/>
      <c r="K270" s="2"/>
      <c r="L270" s="2"/>
      <c r="M270" s="2"/>
      <c r="N270" s="2"/>
      <c r="O270" s="2"/>
      <c r="P270" s="66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</row>
    <row r="271" spans="5:87" x14ac:dyDescent="0.2">
      <c r="E271" s="2"/>
      <c r="F271" s="2"/>
      <c r="G271" s="294"/>
      <c r="H271" s="2"/>
      <c r="I271" s="2"/>
      <c r="J271" s="2"/>
      <c r="K271" s="2"/>
      <c r="L271" s="2"/>
      <c r="M271" s="2"/>
      <c r="N271" s="2"/>
      <c r="O271" s="2"/>
      <c r="P271" s="66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</row>
    <row r="272" spans="5:87" x14ac:dyDescent="0.2">
      <c r="E272" s="2"/>
      <c r="F272" s="2"/>
      <c r="G272" s="294"/>
      <c r="H272" s="2"/>
      <c r="I272" s="2"/>
      <c r="J272" s="2"/>
      <c r="K272" s="2"/>
      <c r="L272" s="2"/>
      <c r="M272" s="2"/>
      <c r="N272" s="2"/>
      <c r="O272" s="2"/>
      <c r="P272" s="66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</row>
    <row r="273" spans="5:87" x14ac:dyDescent="0.2">
      <c r="E273" s="2"/>
      <c r="F273" s="2"/>
      <c r="G273" s="294"/>
      <c r="H273" s="2"/>
      <c r="I273" s="2"/>
      <c r="J273" s="2"/>
      <c r="K273" s="2"/>
      <c r="L273" s="2"/>
      <c r="M273" s="2"/>
      <c r="N273" s="2"/>
      <c r="O273" s="2"/>
      <c r="P273" s="66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</row>
    <row r="274" spans="5:87" x14ac:dyDescent="0.2">
      <c r="E274" s="2"/>
      <c r="F274" s="2"/>
      <c r="G274" s="294"/>
      <c r="H274" s="2"/>
      <c r="I274" s="2"/>
      <c r="J274" s="2"/>
      <c r="K274" s="2"/>
      <c r="L274" s="2"/>
      <c r="M274" s="2"/>
      <c r="N274" s="2"/>
      <c r="O274" s="2"/>
      <c r="P274" s="66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</row>
    <row r="275" spans="5:87" x14ac:dyDescent="0.2">
      <c r="E275" s="2"/>
      <c r="F275" s="2"/>
      <c r="G275" s="294"/>
      <c r="H275" s="2"/>
      <c r="I275" s="2"/>
      <c r="J275" s="2"/>
      <c r="K275" s="2"/>
      <c r="L275" s="2"/>
      <c r="M275" s="2"/>
      <c r="N275" s="2"/>
      <c r="O275" s="2"/>
      <c r="P275" s="66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</row>
    <row r="276" spans="5:87" x14ac:dyDescent="0.2">
      <c r="E276" s="2"/>
      <c r="F276" s="2"/>
      <c r="G276" s="294"/>
      <c r="H276" s="2"/>
      <c r="I276" s="2"/>
      <c r="J276" s="2"/>
      <c r="K276" s="2"/>
      <c r="L276" s="2"/>
      <c r="M276" s="2"/>
      <c r="N276" s="2"/>
      <c r="O276" s="2"/>
      <c r="P276" s="66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</row>
    <row r="277" spans="5:87" x14ac:dyDescent="0.2">
      <c r="E277" s="2"/>
      <c r="F277" s="2"/>
      <c r="G277" s="294"/>
      <c r="H277" s="2"/>
      <c r="I277" s="2"/>
      <c r="J277" s="2"/>
      <c r="K277" s="2"/>
      <c r="L277" s="2"/>
      <c r="M277" s="2"/>
      <c r="N277" s="2"/>
      <c r="O277" s="2"/>
      <c r="P277" s="66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</row>
    <row r="278" spans="5:87" x14ac:dyDescent="0.2">
      <c r="E278" s="2"/>
      <c r="F278" s="2"/>
      <c r="G278" s="294"/>
      <c r="H278" s="2"/>
      <c r="I278" s="2"/>
      <c r="J278" s="2"/>
      <c r="K278" s="2"/>
      <c r="L278" s="2"/>
      <c r="M278" s="2"/>
      <c r="N278" s="2"/>
      <c r="O278" s="2"/>
      <c r="P278" s="66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</row>
    <row r="279" spans="5:87" x14ac:dyDescent="0.2">
      <c r="E279" s="2"/>
      <c r="F279" s="2"/>
      <c r="G279" s="294"/>
      <c r="H279" s="2"/>
      <c r="I279" s="2"/>
      <c r="J279" s="2"/>
      <c r="K279" s="2"/>
      <c r="L279" s="2"/>
      <c r="M279" s="2"/>
      <c r="N279" s="2"/>
      <c r="O279" s="2"/>
      <c r="P279" s="66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</row>
    <row r="280" spans="5:87" x14ac:dyDescent="0.2">
      <c r="E280" s="2"/>
      <c r="F280" s="2"/>
      <c r="G280" s="294"/>
      <c r="H280" s="2"/>
      <c r="I280" s="2"/>
      <c r="J280" s="2"/>
      <c r="K280" s="2"/>
      <c r="L280" s="2"/>
      <c r="M280" s="2"/>
      <c r="N280" s="2"/>
      <c r="O280" s="2"/>
      <c r="P280" s="66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</row>
    <row r="281" spans="5:87" x14ac:dyDescent="0.2">
      <c r="E281" s="2"/>
      <c r="F281" s="2"/>
      <c r="G281" s="294"/>
      <c r="H281" s="2"/>
      <c r="I281" s="2"/>
      <c r="J281" s="2"/>
      <c r="K281" s="2"/>
      <c r="L281" s="2"/>
      <c r="M281" s="2"/>
      <c r="N281" s="2"/>
      <c r="O281" s="2"/>
      <c r="P281" s="66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</row>
    <row r="282" spans="5:87" x14ac:dyDescent="0.2">
      <c r="E282" s="2"/>
      <c r="F282" s="2"/>
      <c r="G282" s="294"/>
      <c r="H282" s="2"/>
      <c r="I282" s="2"/>
      <c r="J282" s="2"/>
      <c r="K282" s="2"/>
      <c r="L282" s="2"/>
      <c r="M282" s="2"/>
      <c r="N282" s="2"/>
      <c r="O282" s="2"/>
      <c r="P282" s="66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</row>
    <row r="283" spans="5:87" x14ac:dyDescent="0.2">
      <c r="E283" s="2"/>
      <c r="F283" s="2"/>
      <c r="G283" s="294"/>
      <c r="H283" s="2"/>
      <c r="I283" s="2"/>
      <c r="J283" s="2"/>
      <c r="K283" s="2"/>
      <c r="L283" s="2"/>
      <c r="M283" s="2"/>
      <c r="N283" s="2"/>
      <c r="O283" s="2"/>
      <c r="P283" s="66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</row>
    <row r="284" spans="5:87" x14ac:dyDescent="0.2">
      <c r="E284" s="2"/>
      <c r="F284" s="2"/>
      <c r="G284" s="294"/>
      <c r="H284" s="2"/>
      <c r="I284" s="2"/>
      <c r="J284" s="2"/>
      <c r="K284" s="2"/>
      <c r="L284" s="2"/>
      <c r="M284" s="2"/>
      <c r="N284" s="2"/>
      <c r="O284" s="2"/>
      <c r="P284" s="66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</row>
    <row r="285" spans="5:87" x14ac:dyDescent="0.2">
      <c r="E285" s="2"/>
      <c r="F285" s="2"/>
      <c r="G285" s="294"/>
      <c r="H285" s="2"/>
      <c r="I285" s="2"/>
      <c r="J285" s="2"/>
      <c r="K285" s="2"/>
      <c r="L285" s="2"/>
      <c r="M285" s="2"/>
      <c r="N285" s="2"/>
      <c r="O285" s="2"/>
      <c r="P285" s="66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</row>
    <row r="286" spans="5:87" x14ac:dyDescent="0.2">
      <c r="E286" s="2"/>
      <c r="F286" s="2"/>
      <c r="G286" s="294"/>
      <c r="H286" s="2"/>
      <c r="I286" s="2"/>
      <c r="J286" s="2"/>
      <c r="K286" s="2"/>
      <c r="L286" s="2"/>
      <c r="M286" s="2"/>
      <c r="N286" s="2"/>
      <c r="O286" s="2"/>
      <c r="P286" s="66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</row>
    <row r="287" spans="5:87" x14ac:dyDescent="0.2">
      <c r="E287" s="2"/>
      <c r="F287" s="2"/>
      <c r="G287" s="294"/>
      <c r="H287" s="2"/>
      <c r="I287" s="2"/>
      <c r="J287" s="2"/>
      <c r="K287" s="2"/>
      <c r="L287" s="2"/>
      <c r="M287" s="2"/>
      <c r="N287" s="2"/>
      <c r="O287" s="2"/>
      <c r="P287" s="66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</row>
    <row r="288" spans="5:87" x14ac:dyDescent="0.2">
      <c r="E288" s="2"/>
      <c r="F288" s="2"/>
      <c r="G288" s="294"/>
      <c r="H288" s="2"/>
      <c r="I288" s="2"/>
      <c r="J288" s="2"/>
      <c r="K288" s="2"/>
      <c r="L288" s="2"/>
      <c r="M288" s="2"/>
      <c r="N288" s="2"/>
      <c r="O288" s="2"/>
      <c r="P288" s="66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</row>
    <row r="289" spans="5:87" x14ac:dyDescent="0.2">
      <c r="E289" s="2"/>
      <c r="F289" s="2"/>
      <c r="G289" s="294"/>
      <c r="H289" s="2"/>
      <c r="I289" s="2"/>
      <c r="J289" s="2"/>
      <c r="K289" s="2"/>
      <c r="L289" s="2"/>
      <c r="M289" s="2"/>
      <c r="N289" s="2"/>
      <c r="O289" s="2"/>
      <c r="P289" s="66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</row>
    <row r="290" spans="5:87" x14ac:dyDescent="0.2">
      <c r="E290" s="2"/>
      <c r="F290" s="2"/>
      <c r="G290" s="294"/>
      <c r="H290" s="2"/>
      <c r="I290" s="2"/>
      <c r="J290" s="2"/>
      <c r="K290" s="2"/>
      <c r="L290" s="2"/>
      <c r="M290" s="2"/>
      <c r="N290" s="2"/>
      <c r="O290" s="2"/>
      <c r="P290" s="66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</row>
    <row r="291" spans="5:87" x14ac:dyDescent="0.2">
      <c r="E291" s="2"/>
      <c r="F291" s="2"/>
      <c r="G291" s="294"/>
      <c r="H291" s="2"/>
      <c r="I291" s="2"/>
      <c r="J291" s="2"/>
      <c r="K291" s="2"/>
      <c r="L291" s="2"/>
      <c r="M291" s="2"/>
      <c r="N291" s="2"/>
      <c r="O291" s="2"/>
      <c r="P291" s="66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</row>
    <row r="292" spans="5:87" x14ac:dyDescent="0.2">
      <c r="E292" s="2"/>
      <c r="F292" s="2"/>
      <c r="G292" s="294"/>
      <c r="H292" s="2"/>
      <c r="I292" s="2"/>
      <c r="J292" s="2"/>
      <c r="K292" s="2"/>
      <c r="L292" s="2"/>
      <c r="M292" s="2"/>
      <c r="N292" s="2"/>
      <c r="O292" s="2"/>
      <c r="P292" s="66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</row>
    <row r="293" spans="5:87" x14ac:dyDescent="0.2">
      <c r="E293" s="2"/>
      <c r="F293" s="2"/>
      <c r="G293" s="294"/>
      <c r="H293" s="2"/>
      <c r="I293" s="2"/>
      <c r="J293" s="2"/>
      <c r="K293" s="2"/>
      <c r="L293" s="2"/>
      <c r="M293" s="2"/>
      <c r="N293" s="2"/>
      <c r="O293" s="2"/>
      <c r="P293" s="66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</row>
    <row r="294" spans="5:87" x14ac:dyDescent="0.2">
      <c r="E294" s="2"/>
      <c r="F294" s="2"/>
      <c r="G294" s="294"/>
      <c r="H294" s="2"/>
      <c r="I294" s="2"/>
      <c r="J294" s="2"/>
      <c r="K294" s="2"/>
      <c r="L294" s="2"/>
      <c r="M294" s="2"/>
      <c r="N294" s="2"/>
      <c r="O294" s="2"/>
      <c r="P294" s="66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</row>
    <row r="295" spans="5:87" x14ac:dyDescent="0.2">
      <c r="E295" s="2"/>
      <c r="F295" s="2"/>
      <c r="G295" s="294"/>
      <c r="H295" s="2"/>
      <c r="I295" s="2"/>
      <c r="J295" s="2"/>
      <c r="K295" s="2"/>
      <c r="L295" s="2"/>
      <c r="M295" s="2"/>
      <c r="N295" s="2"/>
      <c r="O295" s="2"/>
      <c r="P295" s="66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</row>
    <row r="296" spans="5:87" x14ac:dyDescent="0.2">
      <c r="E296" s="2"/>
      <c r="F296" s="2"/>
      <c r="G296" s="294"/>
      <c r="H296" s="2"/>
      <c r="I296" s="2"/>
      <c r="J296" s="2"/>
      <c r="K296" s="2"/>
      <c r="L296" s="2"/>
      <c r="M296" s="2"/>
      <c r="N296" s="2"/>
      <c r="O296" s="2"/>
      <c r="P296" s="66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</row>
    <row r="297" spans="5:87" x14ac:dyDescent="0.2">
      <c r="E297" s="2"/>
      <c r="F297" s="2"/>
      <c r="G297" s="294"/>
      <c r="H297" s="2"/>
      <c r="I297" s="2"/>
      <c r="J297" s="2"/>
      <c r="K297" s="2"/>
      <c r="L297" s="2"/>
      <c r="M297" s="2"/>
      <c r="N297" s="2"/>
      <c r="O297" s="2"/>
      <c r="P297" s="66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</row>
    <row r="298" spans="5:87" x14ac:dyDescent="0.2">
      <c r="E298" s="2"/>
      <c r="F298" s="2"/>
      <c r="G298" s="294"/>
      <c r="H298" s="2"/>
      <c r="I298" s="2"/>
      <c r="J298" s="2"/>
      <c r="K298" s="2"/>
      <c r="L298" s="2"/>
      <c r="M298" s="2"/>
      <c r="N298" s="2"/>
      <c r="O298" s="2"/>
      <c r="P298" s="66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</row>
    <row r="299" spans="5:87" x14ac:dyDescent="0.2">
      <c r="E299" s="2"/>
      <c r="F299" s="2"/>
      <c r="G299" s="294"/>
      <c r="H299" s="2"/>
      <c r="I299" s="2"/>
      <c r="J299" s="2"/>
      <c r="K299" s="2"/>
      <c r="L299" s="2"/>
      <c r="M299" s="2"/>
      <c r="N299" s="2"/>
      <c r="O299" s="2"/>
      <c r="P299" s="66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</row>
    <row r="300" spans="5:87" x14ac:dyDescent="0.2">
      <c r="E300" s="2"/>
      <c r="F300" s="2"/>
      <c r="G300" s="294"/>
      <c r="H300" s="2"/>
      <c r="I300" s="2"/>
      <c r="J300" s="2"/>
      <c r="K300" s="2"/>
      <c r="L300" s="2"/>
      <c r="M300" s="2"/>
      <c r="N300" s="2"/>
      <c r="O300" s="2"/>
      <c r="P300" s="66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</row>
    <row r="301" spans="5:87" x14ac:dyDescent="0.2">
      <c r="E301" s="2"/>
      <c r="F301" s="2"/>
      <c r="G301" s="294"/>
      <c r="H301" s="2"/>
      <c r="I301" s="2"/>
      <c r="J301" s="2"/>
      <c r="K301" s="2"/>
      <c r="L301" s="2"/>
      <c r="M301" s="2"/>
      <c r="N301" s="2"/>
      <c r="O301" s="2"/>
      <c r="P301" s="66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</row>
    <row r="302" spans="5:87" x14ac:dyDescent="0.2">
      <c r="E302" s="2"/>
      <c r="F302" s="2"/>
      <c r="G302" s="294"/>
      <c r="H302" s="2"/>
      <c r="I302" s="2"/>
      <c r="J302" s="2"/>
      <c r="K302" s="2"/>
      <c r="L302" s="2"/>
      <c r="M302" s="2"/>
      <c r="N302" s="2"/>
      <c r="O302" s="2"/>
      <c r="P302" s="66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</row>
    <row r="303" spans="5:87" x14ac:dyDescent="0.2">
      <c r="E303" s="2"/>
      <c r="F303" s="2"/>
      <c r="G303" s="294"/>
      <c r="H303" s="2"/>
      <c r="I303" s="2"/>
      <c r="J303" s="2"/>
      <c r="K303" s="2"/>
      <c r="L303" s="2"/>
      <c r="M303" s="2"/>
      <c r="N303" s="2"/>
      <c r="O303" s="2"/>
      <c r="P303" s="66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</row>
    <row r="304" spans="5:87" x14ac:dyDescent="0.2">
      <c r="E304" s="2"/>
      <c r="F304" s="2"/>
      <c r="G304" s="294"/>
      <c r="H304" s="2"/>
      <c r="I304" s="2"/>
      <c r="J304" s="2"/>
      <c r="K304" s="2"/>
      <c r="L304" s="2"/>
      <c r="M304" s="2"/>
      <c r="N304" s="2"/>
      <c r="O304" s="2"/>
      <c r="P304" s="66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</row>
    <row r="305" spans="5:87" x14ac:dyDescent="0.2">
      <c r="E305" s="2"/>
      <c r="F305" s="2"/>
      <c r="G305" s="294"/>
      <c r="H305" s="2"/>
      <c r="I305" s="2"/>
      <c r="J305" s="2"/>
      <c r="K305" s="2"/>
      <c r="L305" s="2"/>
      <c r="M305" s="2"/>
      <c r="N305" s="2"/>
      <c r="O305" s="2"/>
      <c r="P305" s="66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</row>
    <row r="306" spans="5:87" x14ac:dyDescent="0.2">
      <c r="E306" s="2"/>
      <c r="F306" s="2"/>
      <c r="G306" s="294"/>
      <c r="H306" s="2"/>
      <c r="I306" s="2"/>
      <c r="J306" s="2"/>
      <c r="K306" s="2"/>
      <c r="L306" s="2"/>
      <c r="M306" s="2"/>
      <c r="N306" s="2"/>
      <c r="O306" s="2"/>
      <c r="P306" s="66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</row>
    <row r="307" spans="5:87" x14ac:dyDescent="0.2">
      <c r="E307" s="2"/>
      <c r="F307" s="2"/>
      <c r="G307" s="294"/>
      <c r="H307" s="2"/>
      <c r="I307" s="2"/>
      <c r="J307" s="2"/>
      <c r="K307" s="2"/>
      <c r="L307" s="2"/>
      <c r="M307" s="2"/>
      <c r="N307" s="2"/>
      <c r="O307" s="2"/>
      <c r="P307" s="66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</row>
    <row r="308" spans="5:87" x14ac:dyDescent="0.2">
      <c r="E308" s="2"/>
      <c r="F308" s="2"/>
      <c r="G308" s="294"/>
      <c r="H308" s="2"/>
      <c r="I308" s="2"/>
      <c r="J308" s="2"/>
      <c r="K308" s="2"/>
      <c r="L308" s="2"/>
      <c r="M308" s="2"/>
      <c r="N308" s="2"/>
      <c r="O308" s="2"/>
      <c r="P308" s="66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</row>
    <row r="309" spans="5:87" x14ac:dyDescent="0.2">
      <c r="E309" s="2"/>
      <c r="F309" s="2"/>
      <c r="G309" s="294"/>
      <c r="H309" s="2"/>
      <c r="I309" s="2"/>
      <c r="J309" s="2"/>
      <c r="K309" s="2"/>
      <c r="L309" s="2"/>
      <c r="M309" s="2"/>
      <c r="N309" s="2"/>
      <c r="O309" s="2"/>
      <c r="P309" s="66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</row>
    <row r="310" spans="5:87" x14ac:dyDescent="0.2">
      <c r="E310" s="2"/>
      <c r="F310" s="2"/>
      <c r="G310" s="294"/>
      <c r="H310" s="2"/>
      <c r="I310" s="2"/>
      <c r="J310" s="2"/>
      <c r="K310" s="2"/>
      <c r="L310" s="2"/>
      <c r="M310" s="2"/>
      <c r="N310" s="2"/>
      <c r="O310" s="2"/>
      <c r="P310" s="66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</row>
    <row r="311" spans="5:87" x14ac:dyDescent="0.2">
      <c r="E311" s="2"/>
      <c r="F311" s="2"/>
      <c r="G311" s="294"/>
      <c r="H311" s="2"/>
      <c r="I311" s="2"/>
      <c r="J311" s="2"/>
      <c r="K311" s="2"/>
      <c r="L311" s="2"/>
      <c r="M311" s="2"/>
      <c r="N311" s="2"/>
      <c r="O311" s="2"/>
      <c r="P311" s="66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</row>
    <row r="312" spans="5:87" x14ac:dyDescent="0.2">
      <c r="E312" s="2"/>
      <c r="F312" s="2"/>
      <c r="G312" s="294"/>
      <c r="H312" s="2"/>
      <c r="I312" s="2"/>
      <c r="J312" s="2"/>
      <c r="K312" s="2"/>
      <c r="L312" s="2"/>
      <c r="M312" s="2"/>
      <c r="N312" s="2"/>
      <c r="O312" s="2"/>
      <c r="P312" s="66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</row>
    <row r="313" spans="5:87" x14ac:dyDescent="0.2">
      <c r="E313" s="2"/>
      <c r="F313" s="2"/>
      <c r="G313" s="294"/>
      <c r="H313" s="2"/>
      <c r="I313" s="2"/>
      <c r="J313" s="2"/>
      <c r="K313" s="2"/>
      <c r="L313" s="2"/>
      <c r="M313" s="2"/>
      <c r="N313" s="2"/>
      <c r="O313" s="2"/>
      <c r="P313" s="66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</row>
    <row r="314" spans="5:87" x14ac:dyDescent="0.2">
      <c r="E314" s="2"/>
      <c r="F314" s="2"/>
      <c r="G314" s="294"/>
      <c r="H314" s="2"/>
      <c r="I314" s="2"/>
      <c r="J314" s="2"/>
      <c r="K314" s="2"/>
      <c r="L314" s="2"/>
      <c r="M314" s="2"/>
      <c r="N314" s="2"/>
      <c r="O314" s="2"/>
      <c r="P314" s="66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</row>
    <row r="315" spans="5:87" x14ac:dyDescent="0.2">
      <c r="E315" s="2"/>
      <c r="F315" s="2"/>
      <c r="G315" s="294"/>
      <c r="H315" s="2"/>
      <c r="I315" s="2"/>
      <c r="J315" s="2"/>
      <c r="K315" s="2"/>
      <c r="L315" s="2"/>
      <c r="M315" s="2"/>
      <c r="N315" s="2"/>
      <c r="O315" s="2"/>
      <c r="P315" s="66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</row>
    <row r="316" spans="5:87" x14ac:dyDescent="0.2">
      <c r="E316" s="2"/>
      <c r="F316" s="2"/>
      <c r="G316" s="294"/>
      <c r="H316" s="2"/>
      <c r="I316" s="2"/>
      <c r="J316" s="2"/>
      <c r="K316" s="2"/>
      <c r="L316" s="2"/>
      <c r="M316" s="2"/>
      <c r="N316" s="2"/>
      <c r="O316" s="2"/>
      <c r="P316" s="66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</row>
    <row r="317" spans="5:87" x14ac:dyDescent="0.2">
      <c r="E317" s="2"/>
      <c r="F317" s="2"/>
      <c r="G317" s="294"/>
      <c r="H317" s="2"/>
      <c r="I317" s="2"/>
      <c r="J317" s="2"/>
      <c r="K317" s="2"/>
      <c r="L317" s="2"/>
      <c r="M317" s="2"/>
      <c r="N317" s="2"/>
      <c r="O317" s="2"/>
      <c r="P317" s="66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</row>
    <row r="318" spans="5:87" x14ac:dyDescent="0.2">
      <c r="E318" s="2"/>
      <c r="F318" s="2"/>
      <c r="G318" s="294"/>
      <c r="H318" s="2"/>
      <c r="I318" s="2"/>
      <c r="J318" s="2"/>
      <c r="K318" s="2"/>
      <c r="L318" s="2"/>
      <c r="M318" s="2"/>
      <c r="N318" s="2"/>
      <c r="O318" s="2"/>
      <c r="P318" s="66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</row>
    <row r="319" spans="5:87" x14ac:dyDescent="0.2">
      <c r="E319" s="2"/>
      <c r="F319" s="2"/>
      <c r="G319" s="294"/>
      <c r="H319" s="2"/>
      <c r="I319" s="2"/>
      <c r="J319" s="2"/>
      <c r="K319" s="2"/>
      <c r="L319" s="2"/>
      <c r="M319" s="2"/>
      <c r="N319" s="2"/>
      <c r="O319" s="2"/>
      <c r="P319" s="66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</row>
    <row r="320" spans="5:87" x14ac:dyDescent="0.2">
      <c r="E320" s="2"/>
      <c r="F320" s="2"/>
      <c r="G320" s="294"/>
      <c r="H320" s="2"/>
      <c r="I320" s="2"/>
      <c r="J320" s="2"/>
      <c r="K320" s="2"/>
      <c r="L320" s="2"/>
      <c r="M320" s="2"/>
      <c r="N320" s="2"/>
      <c r="O320" s="2"/>
      <c r="P320" s="66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</row>
    <row r="321" spans="5:87" x14ac:dyDescent="0.2">
      <c r="E321" s="2"/>
      <c r="F321" s="2"/>
      <c r="G321" s="294"/>
      <c r="H321" s="2"/>
      <c r="I321" s="2"/>
      <c r="J321" s="2"/>
      <c r="K321" s="2"/>
      <c r="L321" s="2"/>
      <c r="M321" s="2"/>
      <c r="N321" s="2"/>
      <c r="O321" s="2"/>
      <c r="P321" s="66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</row>
    <row r="322" spans="5:87" x14ac:dyDescent="0.2">
      <c r="E322" s="2"/>
      <c r="F322" s="2"/>
      <c r="G322" s="294"/>
      <c r="H322" s="2"/>
      <c r="I322" s="2"/>
      <c r="J322" s="2"/>
      <c r="K322" s="2"/>
      <c r="L322" s="2"/>
      <c r="M322" s="2"/>
      <c r="N322" s="2"/>
      <c r="O322" s="2"/>
      <c r="P322" s="66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</row>
    <row r="323" spans="5:87" x14ac:dyDescent="0.2">
      <c r="E323" s="2"/>
      <c r="F323" s="2"/>
      <c r="G323" s="294"/>
      <c r="H323" s="2"/>
      <c r="I323" s="2"/>
      <c r="J323" s="2"/>
      <c r="K323" s="2"/>
      <c r="L323" s="2"/>
      <c r="M323" s="2"/>
      <c r="N323" s="2"/>
      <c r="O323" s="2"/>
      <c r="P323" s="66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</row>
    <row r="324" spans="5:87" x14ac:dyDescent="0.2">
      <c r="E324" s="2"/>
      <c r="F324" s="2"/>
      <c r="G324" s="294"/>
      <c r="H324" s="2"/>
      <c r="I324" s="2"/>
      <c r="J324" s="2"/>
      <c r="K324" s="2"/>
      <c r="L324" s="2"/>
      <c r="M324" s="2"/>
      <c r="N324" s="2"/>
      <c r="O324" s="2"/>
      <c r="P324" s="66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</row>
    <row r="325" spans="5:87" x14ac:dyDescent="0.2">
      <c r="E325" s="2"/>
      <c r="F325" s="2"/>
      <c r="G325" s="294"/>
      <c r="H325" s="2"/>
      <c r="I325" s="2"/>
      <c r="J325" s="2"/>
      <c r="K325" s="2"/>
      <c r="L325" s="2"/>
      <c r="M325" s="2"/>
      <c r="N325" s="2"/>
      <c r="O325" s="2"/>
      <c r="P325" s="66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</row>
    <row r="326" spans="5:87" x14ac:dyDescent="0.2">
      <c r="E326" s="2"/>
      <c r="F326" s="2"/>
      <c r="G326" s="294"/>
      <c r="H326" s="2"/>
      <c r="I326" s="2"/>
      <c r="J326" s="2"/>
      <c r="K326" s="2"/>
      <c r="L326" s="2"/>
      <c r="M326" s="2"/>
      <c r="N326" s="2"/>
      <c r="O326" s="2"/>
      <c r="P326" s="66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</row>
    <row r="327" spans="5:87" x14ac:dyDescent="0.2">
      <c r="E327" s="2"/>
      <c r="F327" s="2"/>
      <c r="G327" s="294"/>
      <c r="H327" s="2"/>
      <c r="I327" s="2"/>
      <c r="J327" s="2"/>
      <c r="K327" s="2"/>
      <c r="L327" s="2"/>
      <c r="M327" s="2"/>
      <c r="N327" s="2"/>
      <c r="O327" s="2"/>
      <c r="P327" s="66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</row>
  </sheetData>
  <mergeCells count="38">
    <mergeCell ref="CI88:CJ88"/>
    <mergeCell ref="A80:B80"/>
    <mergeCell ref="CI80:CJ80"/>
    <mergeCell ref="A81:B81"/>
    <mergeCell ref="CI81:CJ81"/>
    <mergeCell ref="A82:B82"/>
    <mergeCell ref="CI82:CJ82"/>
    <mergeCell ref="A79:B79"/>
    <mergeCell ref="CI79:CJ79"/>
    <mergeCell ref="A83:B83"/>
    <mergeCell ref="CI83:CJ83"/>
    <mergeCell ref="CI85:CJ85"/>
    <mergeCell ref="A76:B76"/>
    <mergeCell ref="CI76:CJ76"/>
    <mergeCell ref="A77:B77"/>
    <mergeCell ref="CI77:CJ77"/>
    <mergeCell ref="A78:B78"/>
    <mergeCell ref="CI78:CJ78"/>
    <mergeCell ref="A73:B73"/>
    <mergeCell ref="CI73:CJ73"/>
    <mergeCell ref="A74:B74"/>
    <mergeCell ref="CI74:CJ74"/>
    <mergeCell ref="A75:B75"/>
    <mergeCell ref="CI75:CJ75"/>
    <mergeCell ref="A1:H1"/>
    <mergeCell ref="BW1:CJ1"/>
    <mergeCell ref="A2:B2"/>
    <mergeCell ref="A3:A5"/>
    <mergeCell ref="B3:B4"/>
    <mergeCell ref="BR3:BR4"/>
    <mergeCell ref="BS3:BX3"/>
    <mergeCell ref="BY3:CA3"/>
    <mergeCell ref="CB3:CE3"/>
    <mergeCell ref="CF3:CF4"/>
    <mergeCell ref="CG3:CG4"/>
    <mergeCell ref="CH3:CH4"/>
    <mergeCell ref="CI3:CI4"/>
    <mergeCell ref="CJ3:CJ5"/>
  </mergeCells>
  <pageMargins left="0.70866141732283472" right="2.4409448818897639" top="0.74803149606299213" bottom="0.74803149606299213" header="0.31496062992125984" footer="0.31496062992125984"/>
  <pageSetup paperSize="270" scale="8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97881-AAD9-2F40-A407-D72AA82F5B57}">
  <sheetPr>
    <tabColor theme="7" tint="0.59999389629810485"/>
  </sheetPr>
  <dimension ref="A1:GX364"/>
  <sheetViews>
    <sheetView zoomScale="107" zoomScaleNormal="87" workbookViewId="0">
      <pane xSplit="1" ySplit="1" topLeftCell="B143" activePane="bottomRight" state="frozen"/>
      <selection activeCell="B8" sqref="B8"/>
      <selection pane="topRight" activeCell="B8" sqref="B8"/>
      <selection pane="bottomLeft" activeCell="B8" sqref="B8"/>
      <selection pane="bottomRight" activeCell="A159" sqref="A159:A168"/>
    </sheetView>
  </sheetViews>
  <sheetFormatPr baseColWidth="10" defaultColWidth="8.83203125" defaultRowHeight="15" x14ac:dyDescent="0.2"/>
  <cols>
    <col min="1" max="1" width="8.83203125" style="84"/>
    <col min="2" max="144" width="9.33203125" style="84" bestFit="1" customWidth="1"/>
    <col min="145" max="145" width="12.1640625" style="84" bestFit="1" customWidth="1"/>
    <col min="146" max="147" width="10" style="84" bestFit="1" customWidth="1"/>
    <col min="148" max="157" width="9.33203125" style="84" bestFit="1" customWidth="1"/>
    <col min="158" max="158" width="10" style="84" bestFit="1" customWidth="1"/>
    <col min="159" max="168" width="9.33203125" style="84" bestFit="1" customWidth="1"/>
    <col min="169" max="172" width="10" style="84" bestFit="1" customWidth="1"/>
    <col min="173" max="181" width="9.33203125" style="84" bestFit="1" customWidth="1"/>
    <col min="182" max="182" width="10" style="84" bestFit="1" customWidth="1"/>
    <col min="183" max="186" width="9.33203125" style="84" bestFit="1" customWidth="1"/>
    <col min="187" max="187" width="10" style="84" bestFit="1" customWidth="1"/>
    <col min="188" max="188" width="9.33203125" style="84" bestFit="1" customWidth="1"/>
    <col min="189" max="190" width="10" style="84" bestFit="1" customWidth="1"/>
    <col min="191" max="16384" width="8.83203125" style="84"/>
  </cols>
  <sheetData>
    <row r="1" spans="1:206" ht="80" x14ac:dyDescent="0.2">
      <c r="A1" s="81" t="s">
        <v>214</v>
      </c>
      <c r="B1" s="82" t="s">
        <v>215</v>
      </c>
      <c r="C1" s="82" t="s">
        <v>216</v>
      </c>
      <c r="D1" s="82" t="s">
        <v>217</v>
      </c>
      <c r="E1" s="82" t="s">
        <v>218</v>
      </c>
      <c r="F1" s="82" t="s">
        <v>219</v>
      </c>
      <c r="G1" s="82" t="s">
        <v>220</v>
      </c>
      <c r="H1" s="82" t="s">
        <v>221</v>
      </c>
      <c r="I1" s="82" t="s">
        <v>222</v>
      </c>
      <c r="J1" s="82" t="s">
        <v>223</v>
      </c>
      <c r="K1" s="82" t="s">
        <v>224</v>
      </c>
      <c r="L1" s="82" t="s">
        <v>225</v>
      </c>
      <c r="M1" s="82" t="s">
        <v>226</v>
      </c>
      <c r="N1" s="82" t="s">
        <v>227</v>
      </c>
      <c r="O1" s="82" t="s">
        <v>228</v>
      </c>
      <c r="P1" s="82" t="s">
        <v>229</v>
      </c>
      <c r="Q1" s="82" t="s">
        <v>230</v>
      </c>
      <c r="R1" s="82" t="s">
        <v>231</v>
      </c>
      <c r="S1" s="82" t="s">
        <v>232</v>
      </c>
      <c r="T1" s="82" t="s">
        <v>233</v>
      </c>
      <c r="U1" s="82" t="s">
        <v>234</v>
      </c>
      <c r="V1" s="82" t="s">
        <v>235</v>
      </c>
      <c r="W1" s="82" t="s">
        <v>236</v>
      </c>
      <c r="X1" s="82" t="s">
        <v>237</v>
      </c>
      <c r="Y1" s="82" t="s">
        <v>238</v>
      </c>
      <c r="Z1" s="82" t="s">
        <v>239</v>
      </c>
      <c r="AA1" s="82" t="s">
        <v>240</v>
      </c>
      <c r="AB1" s="82" t="s">
        <v>241</v>
      </c>
      <c r="AC1" s="82" t="s">
        <v>242</v>
      </c>
      <c r="AD1" s="82" t="s">
        <v>243</v>
      </c>
      <c r="AE1" s="82" t="s">
        <v>244</v>
      </c>
      <c r="AF1" s="82" t="s">
        <v>245</v>
      </c>
      <c r="AG1" s="82" t="s">
        <v>246</v>
      </c>
      <c r="AH1" s="82" t="s">
        <v>247</v>
      </c>
      <c r="AI1" s="82" t="s">
        <v>248</v>
      </c>
      <c r="AJ1" s="82" t="s">
        <v>249</v>
      </c>
      <c r="AK1" s="82" t="s">
        <v>250</v>
      </c>
      <c r="AL1" s="82" t="s">
        <v>251</v>
      </c>
      <c r="AM1" s="82" t="s">
        <v>252</v>
      </c>
      <c r="AN1" s="82" t="s">
        <v>253</v>
      </c>
      <c r="AO1" s="82" t="s">
        <v>254</v>
      </c>
      <c r="AP1" s="82" t="s">
        <v>255</v>
      </c>
      <c r="AQ1" s="82" t="s">
        <v>256</v>
      </c>
      <c r="AR1" s="82" t="s">
        <v>257</v>
      </c>
      <c r="AS1" s="82" t="s">
        <v>258</v>
      </c>
      <c r="AT1" s="82" t="s">
        <v>259</v>
      </c>
      <c r="AU1" s="82" t="s">
        <v>260</v>
      </c>
      <c r="AV1" s="82" t="s">
        <v>261</v>
      </c>
      <c r="AW1" s="82" t="s">
        <v>262</v>
      </c>
      <c r="AX1" s="82" t="s">
        <v>263</v>
      </c>
      <c r="AY1" s="82" t="s">
        <v>264</v>
      </c>
      <c r="AZ1" s="82" t="s">
        <v>265</v>
      </c>
      <c r="BA1" s="82" t="s">
        <v>266</v>
      </c>
      <c r="BB1" s="82" t="s">
        <v>267</v>
      </c>
      <c r="BC1" s="82" t="s">
        <v>268</v>
      </c>
      <c r="BD1" s="82" t="s">
        <v>269</v>
      </c>
      <c r="BE1" s="82" t="s">
        <v>270</v>
      </c>
      <c r="BF1" s="82" t="s">
        <v>271</v>
      </c>
      <c r="BG1" s="82" t="s">
        <v>272</v>
      </c>
      <c r="BH1" s="82" t="s">
        <v>273</v>
      </c>
      <c r="BI1" s="82" t="s">
        <v>274</v>
      </c>
      <c r="BJ1" s="82" t="s">
        <v>275</v>
      </c>
      <c r="BK1" s="82" t="s">
        <v>276</v>
      </c>
      <c r="BL1" s="82" t="s">
        <v>277</v>
      </c>
      <c r="BM1" s="82" t="s">
        <v>278</v>
      </c>
      <c r="BN1" s="82" t="s">
        <v>279</v>
      </c>
      <c r="BO1" s="82" t="s">
        <v>280</v>
      </c>
      <c r="BP1" s="82" t="s">
        <v>281</v>
      </c>
      <c r="BQ1" s="82" t="s">
        <v>282</v>
      </c>
      <c r="BR1" s="82" t="s">
        <v>283</v>
      </c>
      <c r="BS1" s="83" t="s">
        <v>284</v>
      </c>
      <c r="BT1" s="83" t="s">
        <v>285</v>
      </c>
      <c r="BU1" s="83" t="s">
        <v>286</v>
      </c>
      <c r="BV1" s="83" t="s">
        <v>287</v>
      </c>
      <c r="BW1" s="83" t="s">
        <v>288</v>
      </c>
      <c r="BX1" s="83" t="s">
        <v>289</v>
      </c>
      <c r="BY1" s="83" t="s">
        <v>290</v>
      </c>
      <c r="BZ1" s="83" t="s">
        <v>291</v>
      </c>
      <c r="CA1" s="83" t="s">
        <v>292</v>
      </c>
      <c r="CB1" s="83" t="s">
        <v>293</v>
      </c>
      <c r="CC1" s="83" t="s">
        <v>294</v>
      </c>
      <c r="CD1" s="83" t="s">
        <v>295</v>
      </c>
      <c r="CE1" s="83" t="s">
        <v>296</v>
      </c>
      <c r="CF1" s="83" t="s">
        <v>297</v>
      </c>
      <c r="CG1" s="83" t="s">
        <v>298</v>
      </c>
      <c r="CH1" s="83" t="s">
        <v>299</v>
      </c>
      <c r="CI1" s="83" t="s">
        <v>300</v>
      </c>
      <c r="CJ1" s="83" t="s">
        <v>301</v>
      </c>
      <c r="CK1" s="83" t="s">
        <v>302</v>
      </c>
      <c r="CL1" s="83" t="s">
        <v>303</v>
      </c>
      <c r="CM1" s="83" t="s">
        <v>304</v>
      </c>
      <c r="CN1" s="83" t="s">
        <v>305</v>
      </c>
      <c r="CO1" s="83" t="s">
        <v>306</v>
      </c>
      <c r="CP1" s="83" t="s">
        <v>307</v>
      </c>
      <c r="CQ1" s="83" t="s">
        <v>308</v>
      </c>
      <c r="CR1" s="83" t="s">
        <v>309</v>
      </c>
      <c r="CS1" s="83" t="s">
        <v>310</v>
      </c>
      <c r="CT1" s="83" t="s">
        <v>311</v>
      </c>
      <c r="CU1" s="83" t="s">
        <v>312</v>
      </c>
      <c r="CV1" s="83" t="s">
        <v>313</v>
      </c>
      <c r="CW1" s="83" t="s">
        <v>314</v>
      </c>
      <c r="CX1" s="83" t="s">
        <v>315</v>
      </c>
      <c r="CY1" s="83" t="s">
        <v>316</v>
      </c>
      <c r="CZ1" s="83" t="s">
        <v>317</v>
      </c>
      <c r="DA1" s="83" t="s">
        <v>318</v>
      </c>
      <c r="DB1" s="83" t="s">
        <v>319</v>
      </c>
      <c r="DC1" s="83" t="s">
        <v>320</v>
      </c>
      <c r="DD1" s="83" t="s">
        <v>321</v>
      </c>
      <c r="DE1" s="83" t="s">
        <v>322</v>
      </c>
      <c r="DF1" s="83" t="s">
        <v>323</v>
      </c>
      <c r="DG1" s="83" t="s">
        <v>324</v>
      </c>
      <c r="DH1" s="83" t="s">
        <v>325</v>
      </c>
      <c r="DI1" s="83" t="s">
        <v>326</v>
      </c>
      <c r="DJ1" s="83" t="s">
        <v>327</v>
      </c>
      <c r="DK1" s="83" t="s">
        <v>328</v>
      </c>
      <c r="DL1" s="83" t="s">
        <v>329</v>
      </c>
      <c r="DM1" s="83" t="s">
        <v>330</v>
      </c>
      <c r="DN1" s="83" t="s">
        <v>331</v>
      </c>
      <c r="DO1" s="83" t="s">
        <v>332</v>
      </c>
      <c r="DP1" s="83" t="s">
        <v>333</v>
      </c>
      <c r="DQ1" s="83" t="s">
        <v>334</v>
      </c>
      <c r="DR1" s="83" t="s">
        <v>335</v>
      </c>
      <c r="DS1" s="83" t="s">
        <v>336</v>
      </c>
      <c r="DT1" s="83" t="s">
        <v>337</v>
      </c>
      <c r="DU1" s="83" t="s">
        <v>338</v>
      </c>
      <c r="DV1" s="83" t="s">
        <v>339</v>
      </c>
      <c r="DW1" s="83" t="s">
        <v>340</v>
      </c>
      <c r="DX1" s="83" t="s">
        <v>131</v>
      </c>
      <c r="DY1" s="83" t="s">
        <v>341</v>
      </c>
      <c r="DZ1" s="83" t="s">
        <v>342</v>
      </c>
      <c r="EA1" s="83" t="s">
        <v>343</v>
      </c>
      <c r="EB1" s="83" t="s">
        <v>344</v>
      </c>
      <c r="EC1" s="83" t="s">
        <v>345</v>
      </c>
      <c r="ED1" s="83" t="s">
        <v>346</v>
      </c>
      <c r="EE1" s="83" t="s">
        <v>347</v>
      </c>
      <c r="EF1" s="83" t="s">
        <v>348</v>
      </c>
      <c r="EG1" s="83" t="s">
        <v>349</v>
      </c>
      <c r="EH1" s="83" t="s">
        <v>147</v>
      </c>
      <c r="EI1" s="83" t="s">
        <v>350</v>
      </c>
      <c r="EJ1" s="83" t="s">
        <v>351</v>
      </c>
      <c r="EK1" s="83" t="s">
        <v>352</v>
      </c>
      <c r="EL1" s="83" t="s">
        <v>353</v>
      </c>
      <c r="EM1" s="83" t="s">
        <v>354</v>
      </c>
      <c r="EN1" s="82" t="s">
        <v>355</v>
      </c>
      <c r="EO1" s="82" t="s">
        <v>356</v>
      </c>
      <c r="EP1" s="82" t="s">
        <v>357</v>
      </c>
      <c r="EQ1" s="82" t="s">
        <v>358</v>
      </c>
      <c r="ER1" s="82" t="s">
        <v>359</v>
      </c>
      <c r="ES1" s="82" t="s">
        <v>360</v>
      </c>
      <c r="ET1" s="82" t="s">
        <v>361</v>
      </c>
      <c r="EU1" s="82" t="s">
        <v>362</v>
      </c>
      <c r="EV1" s="82" t="s">
        <v>363</v>
      </c>
      <c r="EW1" s="82" t="s">
        <v>364</v>
      </c>
      <c r="EX1" s="82" t="s">
        <v>365</v>
      </c>
      <c r="EY1" s="82" t="s">
        <v>366</v>
      </c>
      <c r="EZ1" s="82" t="s">
        <v>367</v>
      </c>
      <c r="FA1" s="82" t="s">
        <v>368</v>
      </c>
      <c r="FB1" s="82" t="s">
        <v>369</v>
      </c>
      <c r="FC1" s="84" t="s">
        <v>370</v>
      </c>
      <c r="FD1" s="84" t="s">
        <v>371</v>
      </c>
      <c r="FE1" s="84" t="s">
        <v>372</v>
      </c>
      <c r="FF1" s="84" t="s">
        <v>373</v>
      </c>
      <c r="FG1" s="84" t="s">
        <v>374</v>
      </c>
      <c r="FH1" s="82" t="s">
        <v>375</v>
      </c>
      <c r="FI1" s="82" t="s">
        <v>376</v>
      </c>
      <c r="FJ1" s="82" t="s">
        <v>377</v>
      </c>
      <c r="FK1" s="82" t="s">
        <v>378</v>
      </c>
      <c r="FL1" s="82" t="s">
        <v>379</v>
      </c>
      <c r="FM1" s="82" t="s">
        <v>380</v>
      </c>
      <c r="FN1" s="82" t="s">
        <v>381</v>
      </c>
      <c r="FO1" s="82" t="s">
        <v>382</v>
      </c>
      <c r="FP1" s="82" t="s">
        <v>383</v>
      </c>
      <c r="FQ1" s="82" t="s">
        <v>384</v>
      </c>
      <c r="FR1" s="82" t="s">
        <v>385</v>
      </c>
      <c r="FS1" s="82" t="s">
        <v>386</v>
      </c>
      <c r="FT1" s="82" t="s">
        <v>387</v>
      </c>
      <c r="FU1" s="82" t="s">
        <v>388</v>
      </c>
      <c r="FV1" s="82" t="s">
        <v>389</v>
      </c>
      <c r="FW1" s="82"/>
      <c r="FX1" s="82"/>
      <c r="FY1" s="82"/>
      <c r="FZ1" s="82"/>
      <c r="GA1" s="82"/>
      <c r="GB1" s="82"/>
      <c r="GC1" s="82"/>
      <c r="GD1" s="82"/>
      <c r="GE1" s="82"/>
      <c r="GF1" s="82"/>
      <c r="GG1" s="82"/>
      <c r="GH1" s="82"/>
      <c r="GI1" s="85"/>
      <c r="GJ1" s="85"/>
      <c r="GK1" s="85"/>
      <c r="GL1" s="85"/>
      <c r="GM1" s="85"/>
      <c r="GN1" s="85"/>
      <c r="GO1" s="85"/>
      <c r="GP1" s="85"/>
      <c r="GQ1" s="85"/>
      <c r="GR1" s="85"/>
      <c r="GS1" s="85"/>
      <c r="GT1" s="85"/>
      <c r="GU1" s="85"/>
      <c r="GV1" s="85"/>
      <c r="GW1" s="85"/>
      <c r="GX1" s="85"/>
    </row>
    <row r="2" spans="1:206" x14ac:dyDescent="0.2">
      <c r="A2" s="82" t="s">
        <v>215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  <c r="AO2" s="81"/>
      <c r="AP2" s="81"/>
      <c r="AQ2" s="81"/>
      <c r="AR2" s="81"/>
      <c r="AS2" s="81"/>
      <c r="AT2" s="81"/>
      <c r="AU2" s="81"/>
      <c r="AV2" s="81"/>
      <c r="AW2" s="81"/>
      <c r="AX2" s="81"/>
      <c r="AY2" s="81"/>
      <c r="AZ2" s="81"/>
      <c r="BA2" s="81"/>
      <c r="BB2" s="81"/>
      <c r="BC2" s="81"/>
      <c r="BD2" s="81"/>
      <c r="BE2" s="81"/>
      <c r="BF2" s="81"/>
      <c r="BG2" s="81"/>
      <c r="BH2" s="81"/>
      <c r="BI2" s="81"/>
      <c r="BJ2" s="81"/>
      <c r="BK2" s="81"/>
      <c r="BL2" s="81"/>
      <c r="BM2" s="81"/>
      <c r="BN2" s="81"/>
      <c r="BO2" s="81"/>
      <c r="BP2" s="81"/>
      <c r="BQ2" s="81"/>
      <c r="BR2" s="81"/>
      <c r="BS2" s="81">
        <v>55.057779068910754</v>
      </c>
      <c r="BT2" s="81"/>
      <c r="BU2" s="81"/>
      <c r="BV2" s="81"/>
      <c r="BW2" s="81"/>
      <c r="BX2" s="81"/>
      <c r="BY2" s="81"/>
      <c r="BZ2" s="81"/>
      <c r="CA2" s="81"/>
      <c r="CB2" s="81"/>
      <c r="CC2" s="81"/>
      <c r="CD2" s="81"/>
      <c r="CE2" s="81"/>
      <c r="CF2" s="81"/>
      <c r="CG2" s="81"/>
      <c r="CH2" s="81"/>
      <c r="CI2" s="81"/>
      <c r="CJ2" s="81"/>
      <c r="CK2" s="81"/>
      <c r="CL2" s="81"/>
      <c r="CM2" s="81"/>
      <c r="CN2" s="81"/>
      <c r="CO2" s="81"/>
      <c r="CP2" s="81"/>
      <c r="CQ2" s="81"/>
      <c r="CR2" s="81"/>
      <c r="CS2" s="81"/>
      <c r="CT2" s="81"/>
      <c r="CU2" s="81"/>
      <c r="CV2" s="81"/>
      <c r="CW2" s="81"/>
      <c r="CX2" s="81"/>
      <c r="CY2" s="81"/>
      <c r="CZ2" s="81"/>
      <c r="DA2" s="81"/>
      <c r="DB2" s="81"/>
      <c r="DC2" s="81"/>
      <c r="DD2" s="81"/>
      <c r="DE2" s="81"/>
      <c r="DF2" s="81"/>
      <c r="DG2" s="81"/>
      <c r="DH2" s="81"/>
      <c r="DI2" s="81"/>
      <c r="DJ2" s="81"/>
      <c r="DK2" s="81"/>
      <c r="DL2" s="81"/>
      <c r="DM2" s="81"/>
      <c r="DN2" s="81"/>
      <c r="DO2" s="81"/>
      <c r="DP2" s="81"/>
      <c r="DQ2" s="81"/>
      <c r="DR2" s="81"/>
      <c r="DS2" s="81"/>
      <c r="DT2" s="81"/>
      <c r="DU2" s="81"/>
      <c r="DV2" s="81"/>
      <c r="DW2" s="81"/>
      <c r="DX2" s="81"/>
      <c r="DY2" s="81"/>
      <c r="DZ2" s="81"/>
      <c r="EA2" s="81"/>
      <c r="EB2" s="81"/>
      <c r="EC2" s="81"/>
      <c r="ED2" s="81"/>
      <c r="EE2" s="81"/>
      <c r="EF2" s="81"/>
      <c r="EG2" s="81"/>
      <c r="EH2" s="81"/>
      <c r="EI2" s="81"/>
      <c r="EJ2" s="81"/>
      <c r="EK2" s="81"/>
      <c r="EL2" s="81"/>
      <c r="EM2" s="81"/>
      <c r="EN2" s="81"/>
      <c r="EO2" s="81"/>
      <c r="EP2" s="81"/>
      <c r="EQ2" s="81"/>
      <c r="ER2" s="81"/>
      <c r="ES2" s="81"/>
      <c r="ET2" s="81"/>
      <c r="EU2" s="81"/>
      <c r="EV2" s="81"/>
      <c r="EW2" s="81"/>
      <c r="EX2" s="81"/>
      <c r="EY2" s="81"/>
      <c r="EZ2" s="81"/>
      <c r="FA2" s="81"/>
      <c r="FB2" s="81"/>
      <c r="FC2" s="81"/>
      <c r="FD2" s="81"/>
      <c r="FE2" s="81"/>
      <c r="FF2" s="81"/>
      <c r="FG2" s="81"/>
      <c r="FH2" s="81"/>
      <c r="FI2" s="81"/>
      <c r="FJ2" s="81"/>
      <c r="FK2" s="81"/>
      <c r="FL2" s="81"/>
      <c r="FM2" s="81"/>
      <c r="FN2" s="81"/>
      <c r="FO2" s="81"/>
      <c r="FP2" s="81"/>
      <c r="FQ2" s="81"/>
      <c r="FR2" s="81"/>
      <c r="FS2" s="81"/>
      <c r="FT2" s="81"/>
      <c r="FU2" s="81"/>
      <c r="FV2" s="81">
        <v>55.057779068910754</v>
      </c>
      <c r="FW2" s="81"/>
      <c r="FX2" s="86"/>
      <c r="FY2" s="81"/>
      <c r="FZ2" s="81"/>
      <c r="GA2" s="81"/>
      <c r="GB2" s="81"/>
      <c r="GC2" s="81"/>
      <c r="GD2" s="81"/>
      <c r="GE2" s="81"/>
      <c r="GF2" s="81"/>
      <c r="GG2" s="81"/>
      <c r="GH2" s="81"/>
    </row>
    <row r="3" spans="1:206" x14ac:dyDescent="0.2">
      <c r="A3" s="82" t="s">
        <v>216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81"/>
      <c r="AT3" s="81"/>
      <c r="AU3" s="81"/>
      <c r="AV3" s="81"/>
      <c r="AW3" s="81"/>
      <c r="AX3" s="81"/>
      <c r="AY3" s="81"/>
      <c r="AZ3" s="81"/>
      <c r="BA3" s="81"/>
      <c r="BB3" s="81"/>
      <c r="BC3" s="81"/>
      <c r="BD3" s="81"/>
      <c r="BE3" s="81"/>
      <c r="BF3" s="81"/>
      <c r="BG3" s="81"/>
      <c r="BH3" s="81"/>
      <c r="BI3" s="81"/>
      <c r="BJ3" s="81"/>
      <c r="BK3" s="81"/>
      <c r="BL3" s="81"/>
      <c r="BM3" s="81"/>
      <c r="BN3" s="81"/>
      <c r="BO3" s="81"/>
      <c r="BP3" s="81"/>
      <c r="BQ3" s="81"/>
      <c r="BR3" s="81"/>
      <c r="BS3" s="81"/>
      <c r="BT3" s="81">
        <v>7.821111969718503</v>
      </c>
      <c r="BU3" s="81"/>
      <c r="BV3" s="81"/>
      <c r="BW3" s="81"/>
      <c r="BX3" s="81"/>
      <c r="BY3" s="81"/>
      <c r="BZ3" s="81"/>
      <c r="CA3" s="81"/>
      <c r="CB3" s="81"/>
      <c r="CC3" s="81"/>
      <c r="CD3" s="81"/>
      <c r="CE3" s="81"/>
      <c r="CF3" s="81"/>
      <c r="CG3" s="81"/>
      <c r="CH3" s="81"/>
      <c r="CI3" s="81"/>
      <c r="CJ3" s="81"/>
      <c r="CK3" s="81"/>
      <c r="CL3" s="81"/>
      <c r="CM3" s="81"/>
      <c r="CN3" s="81"/>
      <c r="CO3" s="81"/>
      <c r="CP3" s="81"/>
      <c r="CQ3" s="81"/>
      <c r="CR3" s="81"/>
      <c r="CS3" s="81"/>
      <c r="CT3" s="81"/>
      <c r="CU3" s="81"/>
      <c r="CV3" s="81"/>
      <c r="CW3" s="81"/>
      <c r="CX3" s="81"/>
      <c r="CY3" s="81"/>
      <c r="CZ3" s="81"/>
      <c r="DA3" s="81"/>
      <c r="DB3" s="81"/>
      <c r="DC3" s="81"/>
      <c r="DD3" s="81"/>
      <c r="DE3" s="81"/>
      <c r="DF3" s="81"/>
      <c r="DG3" s="81"/>
      <c r="DH3" s="81"/>
      <c r="DI3" s="81"/>
      <c r="DJ3" s="81"/>
      <c r="DK3" s="81"/>
      <c r="DL3" s="81"/>
      <c r="DM3" s="81"/>
      <c r="DN3" s="81"/>
      <c r="DO3" s="81"/>
      <c r="DP3" s="81"/>
      <c r="DQ3" s="81"/>
      <c r="DR3" s="81"/>
      <c r="DS3" s="81"/>
      <c r="DT3" s="81"/>
      <c r="DU3" s="81"/>
      <c r="DV3" s="81"/>
      <c r="DW3" s="81"/>
      <c r="DX3" s="81"/>
      <c r="DY3" s="81"/>
      <c r="DZ3" s="81"/>
      <c r="EA3" s="81"/>
      <c r="EB3" s="81"/>
      <c r="EC3" s="81"/>
      <c r="ED3" s="81"/>
      <c r="EE3" s="81"/>
      <c r="EF3" s="81"/>
      <c r="EG3" s="81"/>
      <c r="EH3" s="81"/>
      <c r="EI3" s="81"/>
      <c r="EJ3" s="81"/>
      <c r="EK3" s="81"/>
      <c r="EL3" s="81"/>
      <c r="EM3" s="81"/>
      <c r="EN3" s="81"/>
      <c r="EO3" s="81"/>
      <c r="EP3" s="81"/>
      <c r="EQ3" s="81"/>
      <c r="ER3" s="81"/>
      <c r="ES3" s="81"/>
      <c r="ET3" s="81"/>
      <c r="EU3" s="81"/>
      <c r="EV3" s="81"/>
      <c r="EW3" s="81"/>
      <c r="EX3" s="81"/>
      <c r="EY3" s="81"/>
      <c r="EZ3" s="81"/>
      <c r="FA3" s="81"/>
      <c r="FB3" s="81"/>
      <c r="FC3" s="81"/>
      <c r="FD3" s="81"/>
      <c r="FE3" s="81"/>
      <c r="FF3" s="81"/>
      <c r="FG3" s="81"/>
      <c r="FH3" s="81"/>
      <c r="FI3" s="81"/>
      <c r="FJ3" s="81"/>
      <c r="FK3" s="81"/>
      <c r="FL3" s="81"/>
      <c r="FM3" s="81"/>
      <c r="FN3" s="81"/>
      <c r="FO3" s="81"/>
      <c r="FP3" s="81"/>
      <c r="FQ3" s="81"/>
      <c r="FR3" s="81"/>
      <c r="FS3" s="81"/>
      <c r="FT3" s="81"/>
      <c r="FU3" s="81"/>
      <c r="FV3" s="81">
        <v>7.821111969718503</v>
      </c>
      <c r="FW3" s="81"/>
      <c r="FX3" s="86"/>
      <c r="FY3" s="81"/>
      <c r="FZ3" s="81"/>
      <c r="GA3" s="81"/>
      <c r="GB3" s="81"/>
      <c r="GC3" s="81"/>
      <c r="GD3" s="81"/>
      <c r="GE3" s="81"/>
      <c r="GF3" s="81"/>
      <c r="GG3" s="81"/>
      <c r="GH3" s="81"/>
    </row>
    <row r="4" spans="1:206" x14ac:dyDescent="0.2">
      <c r="A4" s="82" t="s">
        <v>217</v>
      </c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81"/>
      <c r="AT4" s="81"/>
      <c r="AU4" s="81"/>
      <c r="AV4" s="81"/>
      <c r="AW4" s="81"/>
      <c r="AX4" s="81"/>
      <c r="AY4" s="81"/>
      <c r="AZ4" s="81"/>
      <c r="BA4" s="81"/>
      <c r="BB4" s="81"/>
      <c r="BC4" s="81"/>
      <c r="BD4" s="81"/>
      <c r="BE4" s="81"/>
      <c r="BF4" s="81"/>
      <c r="BG4" s="81"/>
      <c r="BH4" s="81"/>
      <c r="BI4" s="81"/>
      <c r="BJ4" s="81"/>
      <c r="BK4" s="81"/>
      <c r="BL4" s="81"/>
      <c r="BM4" s="81"/>
      <c r="BN4" s="81"/>
      <c r="BO4" s="81"/>
      <c r="BP4" s="81"/>
      <c r="BQ4" s="81"/>
      <c r="BR4" s="81"/>
      <c r="BS4" s="81"/>
      <c r="BT4" s="81"/>
      <c r="BU4" s="81">
        <v>25.714953845220638</v>
      </c>
      <c r="BV4" s="81"/>
      <c r="BW4" s="81"/>
      <c r="BX4" s="81"/>
      <c r="BY4" s="81"/>
      <c r="BZ4" s="81"/>
      <c r="CA4" s="81"/>
      <c r="CB4" s="81"/>
      <c r="CC4" s="81"/>
      <c r="CD4" s="81"/>
      <c r="CE4" s="81"/>
      <c r="CF4" s="81"/>
      <c r="CG4" s="81"/>
      <c r="CH4" s="81"/>
      <c r="CI4" s="81"/>
      <c r="CJ4" s="81"/>
      <c r="CK4" s="81"/>
      <c r="CL4" s="81"/>
      <c r="CM4" s="81"/>
      <c r="CN4" s="81"/>
      <c r="CO4" s="81"/>
      <c r="CP4" s="81"/>
      <c r="CQ4" s="81"/>
      <c r="CR4" s="81"/>
      <c r="CS4" s="81"/>
      <c r="CT4" s="81"/>
      <c r="CU4" s="81"/>
      <c r="CV4" s="81"/>
      <c r="CW4" s="81"/>
      <c r="CX4" s="81"/>
      <c r="CY4" s="81"/>
      <c r="CZ4" s="81"/>
      <c r="DA4" s="81"/>
      <c r="DB4" s="81"/>
      <c r="DC4" s="81"/>
      <c r="DD4" s="81"/>
      <c r="DE4" s="81"/>
      <c r="DF4" s="81"/>
      <c r="DG4" s="81"/>
      <c r="DH4" s="81"/>
      <c r="DI4" s="81"/>
      <c r="DJ4" s="81"/>
      <c r="DK4" s="81"/>
      <c r="DL4" s="81"/>
      <c r="DM4" s="81"/>
      <c r="DN4" s="81"/>
      <c r="DO4" s="81"/>
      <c r="DP4" s="81"/>
      <c r="DQ4" s="81"/>
      <c r="DR4" s="81"/>
      <c r="DS4" s="81"/>
      <c r="DT4" s="81"/>
      <c r="DU4" s="81"/>
      <c r="DV4" s="81"/>
      <c r="DW4" s="81"/>
      <c r="DX4" s="81"/>
      <c r="DY4" s="81"/>
      <c r="DZ4" s="81"/>
      <c r="EA4" s="81"/>
      <c r="EB4" s="81"/>
      <c r="EC4" s="81"/>
      <c r="ED4" s="81"/>
      <c r="EE4" s="81"/>
      <c r="EF4" s="81"/>
      <c r="EG4" s="81"/>
      <c r="EH4" s="81"/>
      <c r="EI4" s="81"/>
      <c r="EJ4" s="81"/>
      <c r="EK4" s="81"/>
      <c r="EL4" s="81"/>
      <c r="EM4" s="81"/>
      <c r="EN4" s="81"/>
      <c r="EO4" s="81"/>
      <c r="EP4" s="81"/>
      <c r="EQ4" s="81"/>
      <c r="ER4" s="81"/>
      <c r="ES4" s="81"/>
      <c r="ET4" s="81"/>
      <c r="EU4" s="81"/>
      <c r="EV4" s="81"/>
      <c r="EW4" s="81"/>
      <c r="EX4" s="81"/>
      <c r="EY4" s="81"/>
      <c r="EZ4" s="81"/>
      <c r="FA4" s="81"/>
      <c r="FB4" s="81"/>
      <c r="FC4" s="81"/>
      <c r="FD4" s="81"/>
      <c r="FE4" s="81"/>
      <c r="FF4" s="81"/>
      <c r="FG4" s="81"/>
      <c r="FH4" s="81"/>
      <c r="FI4" s="81"/>
      <c r="FJ4" s="81"/>
      <c r="FK4" s="81"/>
      <c r="FL4" s="81"/>
      <c r="FM4" s="81"/>
      <c r="FN4" s="81"/>
      <c r="FO4" s="81"/>
      <c r="FP4" s="81"/>
      <c r="FQ4" s="81"/>
      <c r="FR4" s="81"/>
      <c r="FS4" s="81"/>
      <c r="FT4" s="81"/>
      <c r="FU4" s="81"/>
      <c r="FV4" s="81">
        <v>25.714953845220638</v>
      </c>
      <c r="FW4" s="81"/>
      <c r="FX4" s="86"/>
      <c r="FY4" s="81"/>
      <c r="FZ4" s="81"/>
      <c r="GA4" s="81"/>
      <c r="GB4" s="81"/>
      <c r="GC4" s="81"/>
      <c r="GD4" s="81"/>
      <c r="GE4" s="81"/>
      <c r="GF4" s="81"/>
      <c r="GG4" s="81"/>
      <c r="GH4" s="81"/>
    </row>
    <row r="5" spans="1:206" x14ac:dyDescent="0.2">
      <c r="A5" s="82" t="s">
        <v>218</v>
      </c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  <c r="AQ5" s="81"/>
      <c r="AR5" s="81"/>
      <c r="AS5" s="81"/>
      <c r="AT5" s="81"/>
      <c r="AU5" s="81"/>
      <c r="AV5" s="81"/>
      <c r="AW5" s="81"/>
      <c r="AX5" s="81"/>
      <c r="AY5" s="81"/>
      <c r="AZ5" s="81"/>
      <c r="BA5" s="81"/>
      <c r="BB5" s="81"/>
      <c r="BC5" s="81"/>
      <c r="BD5" s="81"/>
      <c r="BE5" s="81"/>
      <c r="BF5" s="81"/>
      <c r="BG5" s="81"/>
      <c r="BH5" s="81"/>
      <c r="BI5" s="81"/>
      <c r="BJ5" s="81"/>
      <c r="BK5" s="81"/>
      <c r="BL5" s="81"/>
      <c r="BM5" s="81"/>
      <c r="BN5" s="81"/>
      <c r="BO5" s="81"/>
      <c r="BP5" s="81"/>
      <c r="BQ5" s="81"/>
      <c r="BR5" s="81"/>
      <c r="BS5" s="81"/>
      <c r="BT5" s="81"/>
      <c r="BU5" s="81"/>
      <c r="BV5" s="81">
        <v>21.049468638474721</v>
      </c>
      <c r="BW5" s="81"/>
      <c r="BX5" s="81"/>
      <c r="BY5" s="81"/>
      <c r="BZ5" s="81"/>
      <c r="CA5" s="81"/>
      <c r="CB5" s="81"/>
      <c r="CC5" s="81"/>
      <c r="CD5" s="81"/>
      <c r="CE5" s="81"/>
      <c r="CF5" s="81"/>
      <c r="CG5" s="81"/>
      <c r="CH5" s="81"/>
      <c r="CI5" s="81"/>
      <c r="CJ5" s="81"/>
      <c r="CK5" s="81"/>
      <c r="CL5" s="81"/>
      <c r="CM5" s="81"/>
      <c r="CN5" s="81"/>
      <c r="CO5" s="81"/>
      <c r="CP5" s="81"/>
      <c r="CQ5" s="81"/>
      <c r="CR5" s="81"/>
      <c r="CS5" s="81"/>
      <c r="CT5" s="81"/>
      <c r="CU5" s="81"/>
      <c r="CV5" s="81"/>
      <c r="CW5" s="81"/>
      <c r="CX5" s="81"/>
      <c r="CY5" s="81"/>
      <c r="CZ5" s="81"/>
      <c r="DA5" s="81"/>
      <c r="DB5" s="81"/>
      <c r="DC5" s="81"/>
      <c r="DD5" s="81"/>
      <c r="DE5" s="81"/>
      <c r="DF5" s="81"/>
      <c r="DG5" s="81"/>
      <c r="DH5" s="81"/>
      <c r="DI5" s="81"/>
      <c r="DJ5" s="81"/>
      <c r="DK5" s="81"/>
      <c r="DL5" s="81"/>
      <c r="DM5" s="81"/>
      <c r="DN5" s="81"/>
      <c r="DO5" s="81"/>
      <c r="DP5" s="81"/>
      <c r="DQ5" s="81"/>
      <c r="DR5" s="81"/>
      <c r="DS5" s="81"/>
      <c r="DT5" s="81"/>
      <c r="DU5" s="81"/>
      <c r="DV5" s="81"/>
      <c r="DW5" s="81"/>
      <c r="DX5" s="81"/>
      <c r="DY5" s="81"/>
      <c r="DZ5" s="81"/>
      <c r="EA5" s="81"/>
      <c r="EB5" s="81"/>
      <c r="EC5" s="81"/>
      <c r="ED5" s="81"/>
      <c r="EE5" s="81"/>
      <c r="EF5" s="81"/>
      <c r="EG5" s="81"/>
      <c r="EH5" s="81"/>
      <c r="EI5" s="81"/>
      <c r="EJ5" s="81"/>
      <c r="EK5" s="81"/>
      <c r="EL5" s="81"/>
      <c r="EM5" s="81"/>
      <c r="EN5" s="81"/>
      <c r="EO5" s="81"/>
      <c r="EP5" s="81"/>
      <c r="EQ5" s="81"/>
      <c r="ER5" s="81"/>
      <c r="ES5" s="81"/>
      <c r="ET5" s="81"/>
      <c r="EU5" s="81"/>
      <c r="EV5" s="81"/>
      <c r="EW5" s="81"/>
      <c r="EX5" s="81"/>
      <c r="EY5" s="81"/>
      <c r="EZ5" s="81"/>
      <c r="FA5" s="81"/>
      <c r="FB5" s="81"/>
      <c r="FC5" s="81"/>
      <c r="FD5" s="81"/>
      <c r="FE5" s="81"/>
      <c r="FF5" s="81"/>
      <c r="FG5" s="81"/>
      <c r="FH5" s="81"/>
      <c r="FI5" s="81"/>
      <c r="FJ5" s="81"/>
      <c r="FK5" s="81"/>
      <c r="FL5" s="81"/>
      <c r="FM5" s="81"/>
      <c r="FN5" s="81"/>
      <c r="FO5" s="81"/>
      <c r="FP5" s="81"/>
      <c r="FQ5" s="81"/>
      <c r="FR5" s="81"/>
      <c r="FS5" s="81"/>
      <c r="FT5" s="81"/>
      <c r="FU5" s="81"/>
      <c r="FV5" s="81">
        <v>21.049468638474721</v>
      </c>
      <c r="FW5" s="81"/>
      <c r="FX5" s="86"/>
      <c r="FY5" s="81"/>
      <c r="FZ5" s="81"/>
      <c r="GA5" s="81"/>
      <c r="GB5" s="81"/>
      <c r="GC5" s="81"/>
      <c r="GD5" s="81"/>
      <c r="GE5" s="81"/>
      <c r="GF5" s="81"/>
      <c r="GG5" s="81"/>
      <c r="GH5" s="81"/>
    </row>
    <row r="6" spans="1:206" x14ac:dyDescent="0.2">
      <c r="A6" s="82" t="s">
        <v>219</v>
      </c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  <c r="AQ6" s="81"/>
      <c r="AR6" s="81"/>
      <c r="AS6" s="81"/>
      <c r="AT6" s="81"/>
      <c r="AU6" s="81"/>
      <c r="AV6" s="81"/>
      <c r="AW6" s="81"/>
      <c r="AX6" s="81"/>
      <c r="AY6" s="81"/>
      <c r="AZ6" s="81"/>
      <c r="BA6" s="81"/>
      <c r="BB6" s="81"/>
      <c r="BC6" s="81"/>
      <c r="BD6" s="81"/>
      <c r="BE6" s="81"/>
      <c r="BF6" s="81"/>
      <c r="BG6" s="81"/>
      <c r="BH6" s="81"/>
      <c r="BI6" s="81"/>
      <c r="BJ6" s="81"/>
      <c r="BK6" s="81"/>
      <c r="BL6" s="81"/>
      <c r="BM6" s="81"/>
      <c r="BN6" s="81"/>
      <c r="BO6" s="81"/>
      <c r="BP6" s="81"/>
      <c r="BQ6" s="81"/>
      <c r="BR6" s="81"/>
      <c r="BS6" s="81"/>
      <c r="BT6" s="81"/>
      <c r="BU6" s="81"/>
      <c r="BV6" s="81"/>
      <c r="BW6" s="81">
        <v>1.6154736657609112</v>
      </c>
      <c r="BX6" s="81"/>
      <c r="BY6" s="81"/>
      <c r="BZ6" s="81"/>
      <c r="CA6" s="81"/>
      <c r="CB6" s="81"/>
      <c r="CC6" s="81"/>
      <c r="CD6" s="81"/>
      <c r="CE6" s="81"/>
      <c r="CF6" s="81"/>
      <c r="CG6" s="81"/>
      <c r="CH6" s="81"/>
      <c r="CI6" s="81"/>
      <c r="CJ6" s="81"/>
      <c r="CK6" s="81"/>
      <c r="CL6" s="81"/>
      <c r="CM6" s="81"/>
      <c r="CN6" s="81"/>
      <c r="CO6" s="81"/>
      <c r="CP6" s="81"/>
      <c r="CQ6" s="81"/>
      <c r="CR6" s="81"/>
      <c r="CS6" s="81"/>
      <c r="CT6" s="81"/>
      <c r="CU6" s="81"/>
      <c r="CV6" s="81"/>
      <c r="CW6" s="81"/>
      <c r="CX6" s="81"/>
      <c r="CY6" s="81"/>
      <c r="CZ6" s="81"/>
      <c r="DA6" s="81"/>
      <c r="DB6" s="81"/>
      <c r="DC6" s="81"/>
      <c r="DD6" s="81"/>
      <c r="DE6" s="81"/>
      <c r="DF6" s="81"/>
      <c r="DG6" s="81"/>
      <c r="DH6" s="81"/>
      <c r="DI6" s="81"/>
      <c r="DJ6" s="81"/>
      <c r="DK6" s="81"/>
      <c r="DL6" s="81"/>
      <c r="DM6" s="81"/>
      <c r="DN6" s="81"/>
      <c r="DO6" s="81"/>
      <c r="DP6" s="81"/>
      <c r="DQ6" s="81"/>
      <c r="DR6" s="81"/>
      <c r="DS6" s="81"/>
      <c r="DT6" s="81"/>
      <c r="DU6" s="81"/>
      <c r="DV6" s="81"/>
      <c r="DW6" s="81"/>
      <c r="DX6" s="81"/>
      <c r="DY6" s="81"/>
      <c r="DZ6" s="81"/>
      <c r="EA6" s="81"/>
      <c r="EB6" s="81"/>
      <c r="EC6" s="81"/>
      <c r="ED6" s="81"/>
      <c r="EE6" s="81"/>
      <c r="EF6" s="81"/>
      <c r="EG6" s="81"/>
      <c r="EH6" s="81"/>
      <c r="EI6" s="81"/>
      <c r="EJ6" s="81"/>
      <c r="EK6" s="81"/>
      <c r="EL6" s="81"/>
      <c r="EM6" s="81"/>
      <c r="EN6" s="81"/>
      <c r="EO6" s="81"/>
      <c r="EP6" s="81"/>
      <c r="EQ6" s="81"/>
      <c r="ER6" s="81"/>
      <c r="ES6" s="81"/>
      <c r="ET6" s="81"/>
      <c r="EU6" s="81"/>
      <c r="EV6" s="81"/>
      <c r="EW6" s="81"/>
      <c r="EX6" s="81"/>
      <c r="EY6" s="81"/>
      <c r="EZ6" s="81"/>
      <c r="FA6" s="81"/>
      <c r="FB6" s="81"/>
      <c r="FC6" s="81"/>
      <c r="FD6" s="81"/>
      <c r="FE6" s="81"/>
      <c r="FF6" s="81"/>
      <c r="FG6" s="81"/>
      <c r="FH6" s="81"/>
      <c r="FI6" s="81"/>
      <c r="FJ6" s="81"/>
      <c r="FK6" s="81"/>
      <c r="FL6" s="81"/>
      <c r="FM6" s="81"/>
      <c r="FN6" s="81"/>
      <c r="FO6" s="81"/>
      <c r="FP6" s="81"/>
      <c r="FQ6" s="81"/>
      <c r="FR6" s="81"/>
      <c r="FS6" s="81"/>
      <c r="FT6" s="81"/>
      <c r="FU6" s="81"/>
      <c r="FV6" s="81">
        <v>1.6154736657609112</v>
      </c>
      <c r="FW6" s="81"/>
      <c r="FX6" s="86"/>
      <c r="FY6" s="81"/>
      <c r="FZ6" s="81"/>
      <c r="GA6" s="81"/>
      <c r="GB6" s="81"/>
      <c r="GC6" s="81"/>
      <c r="GD6" s="81"/>
      <c r="GE6" s="81"/>
      <c r="GF6" s="81"/>
      <c r="GG6" s="81"/>
      <c r="GH6" s="81"/>
    </row>
    <row r="7" spans="1:206" x14ac:dyDescent="0.2">
      <c r="A7" s="82" t="s">
        <v>220</v>
      </c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  <c r="AQ7" s="81"/>
      <c r="AR7" s="81"/>
      <c r="AS7" s="81"/>
      <c r="AT7" s="81"/>
      <c r="AU7" s="81"/>
      <c r="AV7" s="81"/>
      <c r="AW7" s="81"/>
      <c r="AX7" s="81"/>
      <c r="AY7" s="81"/>
      <c r="AZ7" s="81"/>
      <c r="BA7" s="81"/>
      <c r="BB7" s="81"/>
      <c r="BC7" s="81"/>
      <c r="BD7" s="81"/>
      <c r="BE7" s="81"/>
      <c r="BF7" s="81"/>
      <c r="BG7" s="81"/>
      <c r="BH7" s="81"/>
      <c r="BI7" s="81"/>
      <c r="BJ7" s="81"/>
      <c r="BK7" s="81"/>
      <c r="BL7" s="81"/>
      <c r="BM7" s="81"/>
      <c r="BN7" s="81"/>
      <c r="BO7" s="81"/>
      <c r="BP7" s="81"/>
      <c r="BQ7" s="81"/>
      <c r="BR7" s="81"/>
      <c r="BS7" s="81"/>
      <c r="BT7" s="81"/>
      <c r="BU7" s="81"/>
      <c r="BV7" s="81"/>
      <c r="BW7" s="81"/>
      <c r="BX7" s="81">
        <v>3.8336724332837453</v>
      </c>
      <c r="BY7" s="81"/>
      <c r="BZ7" s="81"/>
      <c r="CA7" s="81"/>
      <c r="CB7" s="81"/>
      <c r="CC7" s="81"/>
      <c r="CD7" s="81"/>
      <c r="CE7" s="81"/>
      <c r="CF7" s="81"/>
      <c r="CG7" s="81"/>
      <c r="CH7" s="81"/>
      <c r="CI7" s="81"/>
      <c r="CJ7" s="81"/>
      <c r="CK7" s="81"/>
      <c r="CL7" s="81"/>
      <c r="CM7" s="81"/>
      <c r="CN7" s="81"/>
      <c r="CO7" s="81"/>
      <c r="CP7" s="81"/>
      <c r="CQ7" s="81"/>
      <c r="CR7" s="81"/>
      <c r="CS7" s="81"/>
      <c r="CT7" s="81"/>
      <c r="CU7" s="81"/>
      <c r="CV7" s="81"/>
      <c r="CW7" s="81"/>
      <c r="CX7" s="81"/>
      <c r="CY7" s="81"/>
      <c r="CZ7" s="81"/>
      <c r="DA7" s="81"/>
      <c r="DB7" s="81"/>
      <c r="DC7" s="81"/>
      <c r="DD7" s="81"/>
      <c r="DE7" s="81"/>
      <c r="DF7" s="81"/>
      <c r="DG7" s="81"/>
      <c r="DH7" s="81"/>
      <c r="DI7" s="81"/>
      <c r="DJ7" s="81"/>
      <c r="DK7" s="81"/>
      <c r="DL7" s="81"/>
      <c r="DM7" s="81"/>
      <c r="DN7" s="81"/>
      <c r="DO7" s="81"/>
      <c r="DP7" s="81"/>
      <c r="DQ7" s="81"/>
      <c r="DR7" s="81"/>
      <c r="DS7" s="81"/>
      <c r="DT7" s="81"/>
      <c r="DU7" s="81"/>
      <c r="DV7" s="81"/>
      <c r="DW7" s="81"/>
      <c r="DX7" s="81"/>
      <c r="DY7" s="81"/>
      <c r="DZ7" s="81"/>
      <c r="EA7" s="81"/>
      <c r="EB7" s="81"/>
      <c r="EC7" s="81"/>
      <c r="ED7" s="81"/>
      <c r="EE7" s="81"/>
      <c r="EF7" s="81"/>
      <c r="EG7" s="81"/>
      <c r="EH7" s="81"/>
      <c r="EI7" s="81"/>
      <c r="EJ7" s="81"/>
      <c r="EK7" s="81"/>
      <c r="EL7" s="81"/>
      <c r="EM7" s="81"/>
      <c r="EN7" s="81"/>
      <c r="EO7" s="81"/>
      <c r="EP7" s="81"/>
      <c r="EQ7" s="81"/>
      <c r="ER7" s="81"/>
      <c r="ES7" s="81"/>
      <c r="ET7" s="81"/>
      <c r="EU7" s="81"/>
      <c r="EV7" s="81"/>
      <c r="EW7" s="81"/>
      <c r="EX7" s="81"/>
      <c r="EY7" s="81"/>
      <c r="EZ7" s="81"/>
      <c r="FA7" s="81"/>
      <c r="FB7" s="81"/>
      <c r="FC7" s="81"/>
      <c r="FD7" s="81"/>
      <c r="FE7" s="81"/>
      <c r="FF7" s="81"/>
      <c r="FG7" s="81"/>
      <c r="FH7" s="81"/>
      <c r="FI7" s="81"/>
      <c r="FJ7" s="81"/>
      <c r="FK7" s="81"/>
      <c r="FL7" s="81"/>
      <c r="FM7" s="81"/>
      <c r="FN7" s="81"/>
      <c r="FO7" s="81"/>
      <c r="FP7" s="81"/>
      <c r="FQ7" s="81"/>
      <c r="FR7" s="81"/>
      <c r="FS7" s="81"/>
      <c r="FT7" s="81"/>
      <c r="FU7" s="81"/>
      <c r="FV7" s="81">
        <v>3.8336724332837453</v>
      </c>
      <c r="FW7" s="81"/>
      <c r="FX7" s="86"/>
      <c r="FY7" s="81"/>
      <c r="FZ7" s="81"/>
      <c r="GA7" s="81"/>
      <c r="GB7" s="81"/>
      <c r="GC7" s="81"/>
      <c r="GD7" s="81"/>
      <c r="GE7" s="81"/>
      <c r="GF7" s="81"/>
      <c r="GG7" s="81"/>
      <c r="GH7" s="81"/>
    </row>
    <row r="8" spans="1:206" x14ac:dyDescent="0.2">
      <c r="A8" s="82" t="s">
        <v>221</v>
      </c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  <c r="AQ8" s="81"/>
      <c r="AR8" s="81"/>
      <c r="AS8" s="81"/>
      <c r="AT8" s="81"/>
      <c r="AU8" s="81"/>
      <c r="AV8" s="81"/>
      <c r="AW8" s="81"/>
      <c r="AX8" s="81"/>
      <c r="AY8" s="81"/>
      <c r="AZ8" s="81"/>
      <c r="BA8" s="81"/>
      <c r="BB8" s="81"/>
      <c r="BC8" s="81"/>
      <c r="BD8" s="81"/>
      <c r="BE8" s="81"/>
      <c r="BF8" s="81"/>
      <c r="BG8" s="81"/>
      <c r="BH8" s="81"/>
      <c r="BI8" s="81"/>
      <c r="BJ8" s="81"/>
      <c r="BK8" s="81"/>
      <c r="BL8" s="81"/>
      <c r="BM8" s="81"/>
      <c r="BN8" s="81"/>
      <c r="BO8" s="81"/>
      <c r="BP8" s="81"/>
      <c r="BQ8" s="81"/>
      <c r="BR8" s="81"/>
      <c r="BS8" s="81"/>
      <c r="BT8" s="81"/>
      <c r="BU8" s="81"/>
      <c r="BV8" s="81"/>
      <c r="BW8" s="81"/>
      <c r="BX8" s="81"/>
      <c r="BY8" s="81">
        <v>19.152592375582827</v>
      </c>
      <c r="BZ8" s="81"/>
      <c r="CA8" s="81"/>
      <c r="CB8" s="81"/>
      <c r="CC8" s="81"/>
      <c r="CD8" s="81"/>
      <c r="CE8" s="81"/>
      <c r="CF8" s="81"/>
      <c r="CG8" s="81"/>
      <c r="CH8" s="81"/>
      <c r="CI8" s="81"/>
      <c r="CJ8" s="81"/>
      <c r="CK8" s="81"/>
      <c r="CL8" s="81"/>
      <c r="CM8" s="81"/>
      <c r="CN8" s="81"/>
      <c r="CO8" s="81"/>
      <c r="CP8" s="81"/>
      <c r="CQ8" s="81"/>
      <c r="CR8" s="81"/>
      <c r="CS8" s="81"/>
      <c r="CT8" s="81"/>
      <c r="CU8" s="81"/>
      <c r="CV8" s="81"/>
      <c r="CW8" s="81"/>
      <c r="CX8" s="81"/>
      <c r="CY8" s="81"/>
      <c r="CZ8" s="81"/>
      <c r="DA8" s="81"/>
      <c r="DB8" s="81"/>
      <c r="DC8" s="81"/>
      <c r="DD8" s="81"/>
      <c r="DE8" s="81"/>
      <c r="DF8" s="81"/>
      <c r="DG8" s="81"/>
      <c r="DH8" s="81"/>
      <c r="DI8" s="81"/>
      <c r="DJ8" s="81"/>
      <c r="DK8" s="81"/>
      <c r="DL8" s="81"/>
      <c r="DM8" s="81"/>
      <c r="DN8" s="81"/>
      <c r="DO8" s="81"/>
      <c r="DP8" s="81"/>
      <c r="DQ8" s="81"/>
      <c r="DR8" s="81"/>
      <c r="DS8" s="81"/>
      <c r="DT8" s="81"/>
      <c r="DU8" s="81"/>
      <c r="DV8" s="81"/>
      <c r="DW8" s="81"/>
      <c r="DX8" s="81"/>
      <c r="DY8" s="81"/>
      <c r="DZ8" s="81"/>
      <c r="EA8" s="81"/>
      <c r="EB8" s="81"/>
      <c r="EC8" s="81"/>
      <c r="ED8" s="81"/>
      <c r="EE8" s="81"/>
      <c r="EF8" s="81"/>
      <c r="EG8" s="81"/>
      <c r="EH8" s="81"/>
      <c r="EI8" s="81"/>
      <c r="EJ8" s="81"/>
      <c r="EK8" s="81"/>
      <c r="EL8" s="81"/>
      <c r="EM8" s="81"/>
      <c r="EN8" s="81"/>
      <c r="EO8" s="81"/>
      <c r="EP8" s="81"/>
      <c r="EQ8" s="81"/>
      <c r="ER8" s="81"/>
      <c r="ES8" s="81"/>
      <c r="ET8" s="81"/>
      <c r="EU8" s="81"/>
      <c r="EV8" s="81"/>
      <c r="EW8" s="81"/>
      <c r="EX8" s="81"/>
      <c r="EY8" s="81"/>
      <c r="EZ8" s="81"/>
      <c r="FA8" s="81"/>
      <c r="FB8" s="81"/>
      <c r="FC8" s="81"/>
      <c r="FD8" s="81"/>
      <c r="FE8" s="81"/>
      <c r="FF8" s="81"/>
      <c r="FG8" s="81"/>
      <c r="FH8" s="81"/>
      <c r="FI8" s="81"/>
      <c r="FJ8" s="81"/>
      <c r="FK8" s="81"/>
      <c r="FL8" s="81"/>
      <c r="FM8" s="81"/>
      <c r="FN8" s="81"/>
      <c r="FO8" s="81"/>
      <c r="FP8" s="81"/>
      <c r="FQ8" s="81"/>
      <c r="FR8" s="81"/>
      <c r="FS8" s="81"/>
      <c r="FT8" s="81"/>
      <c r="FU8" s="81"/>
      <c r="FV8" s="81">
        <v>19.152592375582827</v>
      </c>
      <c r="FW8" s="81"/>
      <c r="FX8" s="86"/>
      <c r="FY8" s="81"/>
      <c r="FZ8" s="81"/>
      <c r="GA8" s="81"/>
      <c r="GB8" s="81"/>
      <c r="GC8" s="81"/>
      <c r="GD8" s="81"/>
      <c r="GE8" s="81"/>
      <c r="GF8" s="81"/>
      <c r="GG8" s="81"/>
      <c r="GH8" s="81"/>
    </row>
    <row r="9" spans="1:206" x14ac:dyDescent="0.2">
      <c r="A9" s="82" t="s">
        <v>222</v>
      </c>
      <c r="B9" s="81"/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  <c r="AQ9" s="81"/>
      <c r="AR9" s="81"/>
      <c r="AS9" s="81"/>
      <c r="AT9" s="81"/>
      <c r="AU9" s="81"/>
      <c r="AV9" s="81"/>
      <c r="AW9" s="81"/>
      <c r="AX9" s="81"/>
      <c r="AY9" s="81"/>
      <c r="AZ9" s="81"/>
      <c r="BA9" s="81"/>
      <c r="BB9" s="81"/>
      <c r="BC9" s="81"/>
      <c r="BD9" s="81"/>
      <c r="BE9" s="81"/>
      <c r="BF9" s="81"/>
      <c r="BG9" s="81"/>
      <c r="BH9" s="81"/>
      <c r="BI9" s="81"/>
      <c r="BJ9" s="81"/>
      <c r="BK9" s="81"/>
      <c r="BL9" s="81"/>
      <c r="BM9" s="81"/>
      <c r="BN9" s="81"/>
      <c r="BO9" s="81"/>
      <c r="BP9" s="81"/>
      <c r="BQ9" s="81"/>
      <c r="BR9" s="81"/>
      <c r="BS9" s="81"/>
      <c r="BT9" s="81"/>
      <c r="BU9" s="81"/>
      <c r="BV9" s="81"/>
      <c r="BW9" s="81"/>
      <c r="BX9" s="81"/>
      <c r="BY9" s="81"/>
      <c r="BZ9" s="81">
        <v>7.5822126773459866</v>
      </c>
      <c r="CA9" s="81"/>
      <c r="CB9" s="81"/>
      <c r="CC9" s="81"/>
      <c r="CD9" s="81"/>
      <c r="CE9" s="81"/>
      <c r="CF9" s="81"/>
      <c r="CG9" s="81"/>
      <c r="CH9" s="81"/>
      <c r="CI9" s="81"/>
      <c r="CJ9" s="81"/>
      <c r="CK9" s="81"/>
      <c r="CL9" s="81"/>
      <c r="CM9" s="81"/>
      <c r="CN9" s="81"/>
      <c r="CO9" s="81"/>
      <c r="CP9" s="81"/>
      <c r="CQ9" s="81"/>
      <c r="CR9" s="81"/>
      <c r="CS9" s="81"/>
      <c r="CT9" s="81"/>
      <c r="CU9" s="81"/>
      <c r="CV9" s="81"/>
      <c r="CW9" s="81"/>
      <c r="CX9" s="81"/>
      <c r="CY9" s="81"/>
      <c r="CZ9" s="81"/>
      <c r="DA9" s="81"/>
      <c r="DB9" s="81"/>
      <c r="DC9" s="81"/>
      <c r="DD9" s="81"/>
      <c r="DE9" s="81"/>
      <c r="DF9" s="81"/>
      <c r="DG9" s="81"/>
      <c r="DH9" s="81"/>
      <c r="DI9" s="81"/>
      <c r="DJ9" s="81"/>
      <c r="DK9" s="81"/>
      <c r="DL9" s="81"/>
      <c r="DM9" s="81"/>
      <c r="DN9" s="81"/>
      <c r="DO9" s="81"/>
      <c r="DP9" s="81"/>
      <c r="DQ9" s="81"/>
      <c r="DR9" s="81"/>
      <c r="DS9" s="81"/>
      <c r="DT9" s="81"/>
      <c r="DU9" s="81"/>
      <c r="DV9" s="81"/>
      <c r="DW9" s="81"/>
      <c r="DX9" s="81"/>
      <c r="DY9" s="81"/>
      <c r="DZ9" s="81"/>
      <c r="EA9" s="81"/>
      <c r="EB9" s="81"/>
      <c r="EC9" s="81"/>
      <c r="ED9" s="81"/>
      <c r="EE9" s="81"/>
      <c r="EF9" s="81"/>
      <c r="EG9" s="81"/>
      <c r="EH9" s="81"/>
      <c r="EI9" s="81"/>
      <c r="EJ9" s="81"/>
      <c r="EK9" s="81"/>
      <c r="EL9" s="81"/>
      <c r="EM9" s="81"/>
      <c r="EN9" s="81"/>
      <c r="EO9" s="81"/>
      <c r="EP9" s="81"/>
      <c r="EQ9" s="81"/>
      <c r="ER9" s="81"/>
      <c r="ES9" s="81"/>
      <c r="ET9" s="81"/>
      <c r="EU9" s="81"/>
      <c r="EV9" s="81"/>
      <c r="EW9" s="81"/>
      <c r="EX9" s="81"/>
      <c r="EY9" s="81"/>
      <c r="EZ9" s="81"/>
      <c r="FA9" s="81"/>
      <c r="FB9" s="81"/>
      <c r="FC9" s="81"/>
      <c r="FD9" s="81"/>
      <c r="FE9" s="81"/>
      <c r="FF9" s="81"/>
      <c r="FG9" s="81"/>
      <c r="FH9" s="81"/>
      <c r="FI9" s="81"/>
      <c r="FJ9" s="81"/>
      <c r="FK9" s="81"/>
      <c r="FL9" s="81"/>
      <c r="FM9" s="81"/>
      <c r="FN9" s="81"/>
      <c r="FO9" s="81"/>
      <c r="FP9" s="81"/>
      <c r="FQ9" s="81"/>
      <c r="FR9" s="81"/>
      <c r="FS9" s="81"/>
      <c r="FT9" s="81"/>
      <c r="FU9" s="81"/>
      <c r="FV9" s="81">
        <v>7.5822126773459866</v>
      </c>
      <c r="FW9" s="81"/>
      <c r="FX9" s="86"/>
      <c r="FY9" s="81"/>
      <c r="FZ9" s="81"/>
      <c r="GA9" s="81"/>
      <c r="GB9" s="81"/>
      <c r="GC9" s="81"/>
      <c r="GD9" s="81"/>
      <c r="GE9" s="81"/>
      <c r="GF9" s="81"/>
      <c r="GG9" s="81"/>
      <c r="GH9" s="81"/>
    </row>
    <row r="10" spans="1:206" x14ac:dyDescent="0.2">
      <c r="A10" s="82" t="s">
        <v>223</v>
      </c>
      <c r="B10" s="81"/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81"/>
      <c r="AS10" s="81"/>
      <c r="AT10" s="81"/>
      <c r="AU10" s="81"/>
      <c r="AV10" s="81"/>
      <c r="AW10" s="81"/>
      <c r="AX10" s="81"/>
      <c r="AY10" s="81"/>
      <c r="AZ10" s="81"/>
      <c r="BA10" s="81"/>
      <c r="BB10" s="81"/>
      <c r="BC10" s="81"/>
      <c r="BD10" s="81"/>
      <c r="BE10" s="81"/>
      <c r="BF10" s="81"/>
      <c r="BG10" s="81"/>
      <c r="BH10" s="81"/>
      <c r="BI10" s="81"/>
      <c r="BJ10" s="81"/>
      <c r="BK10" s="81"/>
      <c r="BL10" s="81"/>
      <c r="BM10" s="81"/>
      <c r="BN10" s="81"/>
      <c r="BO10" s="81"/>
      <c r="BP10" s="81"/>
      <c r="BQ10" s="81"/>
      <c r="BR10" s="81"/>
      <c r="BS10" s="81"/>
      <c r="BT10" s="81"/>
      <c r="BU10" s="81"/>
      <c r="BV10" s="81"/>
      <c r="BW10" s="81"/>
      <c r="BX10" s="81"/>
      <c r="BY10" s="81"/>
      <c r="BZ10" s="81"/>
      <c r="CA10" s="81">
        <v>34.654623623799964</v>
      </c>
      <c r="CB10" s="81"/>
      <c r="CC10" s="81"/>
      <c r="CD10" s="81"/>
      <c r="CE10" s="81"/>
      <c r="CF10" s="81"/>
      <c r="CG10" s="81"/>
      <c r="CH10" s="81"/>
      <c r="CI10" s="81"/>
      <c r="CJ10" s="81"/>
      <c r="CK10" s="81"/>
      <c r="CL10" s="81"/>
      <c r="CM10" s="81"/>
      <c r="CN10" s="81"/>
      <c r="CO10" s="81"/>
      <c r="CP10" s="81"/>
      <c r="CQ10" s="81"/>
      <c r="CR10" s="81"/>
      <c r="CS10" s="81"/>
      <c r="CT10" s="81"/>
      <c r="CU10" s="81"/>
      <c r="CV10" s="81"/>
      <c r="CW10" s="81"/>
      <c r="CX10" s="81"/>
      <c r="CY10" s="81"/>
      <c r="CZ10" s="81"/>
      <c r="DA10" s="81"/>
      <c r="DB10" s="81"/>
      <c r="DC10" s="81"/>
      <c r="DD10" s="81"/>
      <c r="DE10" s="81"/>
      <c r="DF10" s="81"/>
      <c r="DG10" s="81"/>
      <c r="DH10" s="81"/>
      <c r="DI10" s="81"/>
      <c r="DJ10" s="81"/>
      <c r="DK10" s="81"/>
      <c r="DL10" s="81"/>
      <c r="DM10" s="81"/>
      <c r="DN10" s="81"/>
      <c r="DO10" s="81"/>
      <c r="DP10" s="81"/>
      <c r="DQ10" s="81"/>
      <c r="DR10" s="81"/>
      <c r="DS10" s="81"/>
      <c r="DT10" s="81"/>
      <c r="DU10" s="81"/>
      <c r="DV10" s="81"/>
      <c r="DW10" s="81"/>
      <c r="DX10" s="81"/>
      <c r="DY10" s="81"/>
      <c r="DZ10" s="81"/>
      <c r="EA10" s="81"/>
      <c r="EB10" s="81"/>
      <c r="EC10" s="81"/>
      <c r="ED10" s="81"/>
      <c r="EE10" s="81"/>
      <c r="EF10" s="81"/>
      <c r="EG10" s="81"/>
      <c r="EH10" s="81"/>
      <c r="EI10" s="81"/>
      <c r="EJ10" s="81"/>
      <c r="EK10" s="81"/>
      <c r="EL10" s="81"/>
      <c r="EM10" s="81"/>
      <c r="EN10" s="81"/>
      <c r="EO10" s="81"/>
      <c r="EP10" s="81"/>
      <c r="EQ10" s="81"/>
      <c r="ER10" s="81"/>
      <c r="ES10" s="81"/>
      <c r="ET10" s="81"/>
      <c r="EU10" s="81"/>
      <c r="EV10" s="81"/>
      <c r="EW10" s="81"/>
      <c r="EX10" s="81"/>
      <c r="EY10" s="81"/>
      <c r="EZ10" s="81"/>
      <c r="FA10" s="81"/>
      <c r="FB10" s="81"/>
      <c r="FC10" s="81"/>
      <c r="FD10" s="81"/>
      <c r="FE10" s="81"/>
      <c r="FF10" s="81"/>
      <c r="FG10" s="81"/>
      <c r="FH10" s="81"/>
      <c r="FI10" s="81"/>
      <c r="FJ10" s="81"/>
      <c r="FK10" s="81"/>
      <c r="FL10" s="81"/>
      <c r="FM10" s="81"/>
      <c r="FN10" s="81"/>
      <c r="FO10" s="81"/>
      <c r="FP10" s="81"/>
      <c r="FQ10" s="81"/>
      <c r="FR10" s="81"/>
      <c r="FS10" s="81"/>
      <c r="FT10" s="81"/>
      <c r="FU10" s="81"/>
      <c r="FV10" s="81">
        <v>34.654623623799964</v>
      </c>
      <c r="FW10" s="81"/>
      <c r="FX10" s="86"/>
      <c r="FY10" s="81"/>
      <c r="FZ10" s="81"/>
      <c r="GA10" s="81"/>
      <c r="GB10" s="81"/>
      <c r="GC10" s="81"/>
      <c r="GD10" s="81"/>
      <c r="GE10" s="81"/>
      <c r="GF10" s="81"/>
      <c r="GG10" s="81"/>
      <c r="GH10" s="81"/>
    </row>
    <row r="11" spans="1:206" x14ac:dyDescent="0.2">
      <c r="A11" s="82" t="s">
        <v>224</v>
      </c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  <c r="AQ11" s="81"/>
      <c r="AR11" s="81"/>
      <c r="AS11" s="81"/>
      <c r="AT11" s="81"/>
      <c r="AU11" s="81"/>
      <c r="AV11" s="81"/>
      <c r="AW11" s="81"/>
      <c r="AX11" s="81"/>
      <c r="AY11" s="81"/>
      <c r="AZ11" s="81"/>
      <c r="BA11" s="81"/>
      <c r="BB11" s="81"/>
      <c r="BC11" s="81"/>
      <c r="BD11" s="81"/>
      <c r="BE11" s="81"/>
      <c r="BF11" s="81"/>
      <c r="BG11" s="81"/>
      <c r="BH11" s="81"/>
      <c r="BI11" s="81"/>
      <c r="BJ11" s="81"/>
      <c r="BK11" s="81"/>
      <c r="BL11" s="81"/>
      <c r="BM11" s="81"/>
      <c r="BN11" s="81"/>
      <c r="BO11" s="81"/>
      <c r="BP11" s="81"/>
      <c r="BQ11" s="81"/>
      <c r="BR11" s="81"/>
      <c r="BS11" s="81"/>
      <c r="BT11" s="81"/>
      <c r="BU11" s="81"/>
      <c r="BV11" s="81"/>
      <c r="BW11" s="81"/>
      <c r="BX11" s="81"/>
      <c r="BY11" s="81"/>
      <c r="BZ11" s="81"/>
      <c r="CA11" s="81"/>
      <c r="CB11" s="81">
        <v>117.42073061577561</v>
      </c>
      <c r="CC11" s="81"/>
      <c r="CD11" s="81"/>
      <c r="CE11" s="81"/>
      <c r="CF11" s="81"/>
      <c r="CG11" s="81"/>
      <c r="CH11" s="81"/>
      <c r="CI11" s="81"/>
      <c r="CJ11" s="81"/>
      <c r="CK11" s="81"/>
      <c r="CL11" s="81"/>
      <c r="CM11" s="81"/>
      <c r="CN11" s="81"/>
      <c r="CO11" s="81"/>
      <c r="CP11" s="81"/>
      <c r="CQ11" s="81"/>
      <c r="CR11" s="81"/>
      <c r="CS11" s="81"/>
      <c r="CT11" s="81"/>
      <c r="CU11" s="81"/>
      <c r="CV11" s="81"/>
      <c r="CW11" s="81"/>
      <c r="CX11" s="81"/>
      <c r="CY11" s="81"/>
      <c r="CZ11" s="81"/>
      <c r="DA11" s="81"/>
      <c r="DB11" s="81"/>
      <c r="DC11" s="81"/>
      <c r="DD11" s="81"/>
      <c r="DE11" s="81"/>
      <c r="DF11" s="81"/>
      <c r="DG11" s="81"/>
      <c r="DH11" s="81"/>
      <c r="DI11" s="81"/>
      <c r="DJ11" s="81"/>
      <c r="DK11" s="81"/>
      <c r="DL11" s="81"/>
      <c r="DM11" s="81"/>
      <c r="DN11" s="81"/>
      <c r="DO11" s="81"/>
      <c r="DP11" s="81"/>
      <c r="DQ11" s="81"/>
      <c r="DR11" s="81"/>
      <c r="DS11" s="81"/>
      <c r="DT11" s="81"/>
      <c r="DU11" s="81"/>
      <c r="DV11" s="81"/>
      <c r="DW11" s="81"/>
      <c r="DX11" s="81"/>
      <c r="DY11" s="81"/>
      <c r="DZ11" s="81"/>
      <c r="EA11" s="81"/>
      <c r="EB11" s="81"/>
      <c r="EC11" s="81"/>
      <c r="ED11" s="81"/>
      <c r="EE11" s="81"/>
      <c r="EF11" s="81"/>
      <c r="EG11" s="81"/>
      <c r="EH11" s="81"/>
      <c r="EI11" s="81"/>
      <c r="EJ11" s="81"/>
      <c r="EK11" s="81"/>
      <c r="EL11" s="81"/>
      <c r="EM11" s="81"/>
      <c r="EN11" s="81"/>
      <c r="EO11" s="81"/>
      <c r="EP11" s="81"/>
      <c r="EQ11" s="81"/>
      <c r="ER11" s="81"/>
      <c r="ES11" s="81"/>
      <c r="ET11" s="81"/>
      <c r="EU11" s="81"/>
      <c r="EV11" s="81"/>
      <c r="EW11" s="81"/>
      <c r="EX11" s="81"/>
      <c r="EY11" s="81"/>
      <c r="EZ11" s="81"/>
      <c r="FA11" s="81"/>
      <c r="FB11" s="81"/>
      <c r="FC11" s="81"/>
      <c r="FD11" s="81"/>
      <c r="FE11" s="81"/>
      <c r="FF11" s="81"/>
      <c r="FG11" s="81"/>
      <c r="FH11" s="81"/>
      <c r="FI11" s="81"/>
      <c r="FJ11" s="81"/>
      <c r="FK11" s="81"/>
      <c r="FL11" s="81"/>
      <c r="FM11" s="81"/>
      <c r="FN11" s="81"/>
      <c r="FO11" s="81"/>
      <c r="FP11" s="81"/>
      <c r="FQ11" s="81"/>
      <c r="FR11" s="81"/>
      <c r="FS11" s="81"/>
      <c r="FT11" s="81"/>
      <c r="FU11" s="81"/>
      <c r="FV11" s="81">
        <v>117.42073061577561</v>
      </c>
      <c r="FW11" s="81"/>
      <c r="FX11" s="86"/>
      <c r="FY11" s="81"/>
      <c r="FZ11" s="81"/>
      <c r="GA11" s="81"/>
      <c r="GB11" s="81"/>
      <c r="GC11" s="81"/>
      <c r="GD11" s="81"/>
      <c r="GE11" s="81"/>
      <c r="GF11" s="81"/>
      <c r="GG11" s="81"/>
      <c r="GH11" s="81"/>
    </row>
    <row r="12" spans="1:206" x14ac:dyDescent="0.2">
      <c r="A12" s="82" t="s">
        <v>225</v>
      </c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  <c r="AQ12" s="81"/>
      <c r="AR12" s="81"/>
      <c r="AS12" s="81"/>
      <c r="AT12" s="81"/>
      <c r="AU12" s="81"/>
      <c r="AV12" s="81"/>
      <c r="AW12" s="81"/>
      <c r="AX12" s="81"/>
      <c r="AY12" s="81"/>
      <c r="AZ12" s="81"/>
      <c r="BA12" s="81"/>
      <c r="BB12" s="81"/>
      <c r="BC12" s="81"/>
      <c r="BD12" s="81"/>
      <c r="BE12" s="81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81"/>
      <c r="BQ12" s="81"/>
      <c r="BR12" s="81"/>
      <c r="BS12" s="81"/>
      <c r="BT12" s="81"/>
      <c r="BU12" s="81"/>
      <c r="BV12" s="81"/>
      <c r="BW12" s="81"/>
      <c r="BX12" s="81"/>
      <c r="BY12" s="81"/>
      <c r="BZ12" s="81"/>
      <c r="CA12" s="81"/>
      <c r="CB12" s="81"/>
      <c r="CC12" s="81">
        <v>27.932591565444287</v>
      </c>
      <c r="CD12" s="81"/>
      <c r="CE12" s="81"/>
      <c r="CF12" s="81"/>
      <c r="CG12" s="81"/>
      <c r="CH12" s="81"/>
      <c r="CI12" s="81"/>
      <c r="CJ12" s="81"/>
      <c r="CK12" s="81"/>
      <c r="CL12" s="81"/>
      <c r="CM12" s="81"/>
      <c r="CN12" s="81"/>
      <c r="CO12" s="81"/>
      <c r="CP12" s="81"/>
      <c r="CQ12" s="81"/>
      <c r="CR12" s="81"/>
      <c r="CS12" s="81"/>
      <c r="CT12" s="81"/>
      <c r="CU12" s="81"/>
      <c r="CV12" s="81"/>
      <c r="CW12" s="81"/>
      <c r="CX12" s="81"/>
      <c r="CY12" s="81"/>
      <c r="CZ12" s="81"/>
      <c r="DA12" s="81"/>
      <c r="DB12" s="81"/>
      <c r="DC12" s="81"/>
      <c r="DD12" s="81"/>
      <c r="DE12" s="81"/>
      <c r="DF12" s="81"/>
      <c r="DG12" s="81"/>
      <c r="DH12" s="81"/>
      <c r="DI12" s="81"/>
      <c r="DJ12" s="81"/>
      <c r="DK12" s="81"/>
      <c r="DL12" s="81"/>
      <c r="DM12" s="81"/>
      <c r="DN12" s="81"/>
      <c r="DO12" s="81"/>
      <c r="DP12" s="81"/>
      <c r="DQ12" s="81"/>
      <c r="DR12" s="81"/>
      <c r="DS12" s="81"/>
      <c r="DT12" s="81"/>
      <c r="DU12" s="81"/>
      <c r="DV12" s="81"/>
      <c r="DW12" s="81"/>
      <c r="DX12" s="81"/>
      <c r="DY12" s="81"/>
      <c r="DZ12" s="81"/>
      <c r="EA12" s="81"/>
      <c r="EB12" s="81"/>
      <c r="EC12" s="81"/>
      <c r="ED12" s="81"/>
      <c r="EE12" s="81"/>
      <c r="EF12" s="81"/>
      <c r="EG12" s="81"/>
      <c r="EH12" s="81"/>
      <c r="EI12" s="81"/>
      <c r="EJ12" s="81"/>
      <c r="EK12" s="81"/>
      <c r="EL12" s="81"/>
      <c r="EM12" s="81"/>
      <c r="EN12" s="81"/>
      <c r="EO12" s="81"/>
      <c r="EP12" s="81"/>
      <c r="EQ12" s="81"/>
      <c r="ER12" s="81"/>
      <c r="ES12" s="81"/>
      <c r="ET12" s="81"/>
      <c r="EU12" s="81"/>
      <c r="EV12" s="81"/>
      <c r="EW12" s="81"/>
      <c r="EX12" s="81"/>
      <c r="EY12" s="81"/>
      <c r="EZ12" s="81"/>
      <c r="FA12" s="81"/>
      <c r="FB12" s="81"/>
      <c r="FC12" s="81"/>
      <c r="FD12" s="81"/>
      <c r="FE12" s="81"/>
      <c r="FF12" s="81"/>
      <c r="FG12" s="81"/>
      <c r="FH12" s="81"/>
      <c r="FI12" s="81"/>
      <c r="FJ12" s="81"/>
      <c r="FK12" s="81"/>
      <c r="FL12" s="81"/>
      <c r="FM12" s="81"/>
      <c r="FN12" s="81"/>
      <c r="FO12" s="81"/>
      <c r="FP12" s="81"/>
      <c r="FQ12" s="81"/>
      <c r="FR12" s="81"/>
      <c r="FS12" s="81"/>
      <c r="FT12" s="81"/>
      <c r="FU12" s="81"/>
      <c r="FV12" s="81">
        <v>27.932591565444287</v>
      </c>
      <c r="FW12" s="81"/>
      <c r="FX12" s="86"/>
      <c r="FY12" s="81"/>
      <c r="FZ12" s="81"/>
      <c r="GA12" s="81"/>
      <c r="GB12" s="81"/>
      <c r="GC12" s="81"/>
      <c r="GD12" s="81"/>
      <c r="GE12" s="81"/>
      <c r="GF12" s="81"/>
      <c r="GG12" s="81"/>
      <c r="GH12" s="81"/>
    </row>
    <row r="13" spans="1:206" x14ac:dyDescent="0.2">
      <c r="A13" s="82" t="s">
        <v>226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  <c r="AQ13" s="81"/>
      <c r="AR13" s="81"/>
      <c r="AS13" s="81"/>
      <c r="AT13" s="81"/>
      <c r="AU13" s="81"/>
      <c r="AV13" s="81"/>
      <c r="AW13" s="81"/>
      <c r="AX13" s="81"/>
      <c r="AY13" s="81"/>
      <c r="AZ13" s="81"/>
      <c r="BA13" s="81"/>
      <c r="BB13" s="81"/>
      <c r="BC13" s="81"/>
      <c r="BD13" s="81"/>
      <c r="BE13" s="81"/>
      <c r="BF13" s="81"/>
      <c r="BG13" s="81"/>
      <c r="BH13" s="81"/>
      <c r="BI13" s="81"/>
      <c r="BJ13" s="81"/>
      <c r="BK13" s="81"/>
      <c r="BL13" s="81"/>
      <c r="BM13" s="81"/>
      <c r="BN13" s="81"/>
      <c r="BO13" s="81"/>
      <c r="BP13" s="81"/>
      <c r="BQ13" s="81"/>
      <c r="BR13" s="81"/>
      <c r="BS13" s="81"/>
      <c r="BT13" s="81"/>
      <c r="BU13" s="81"/>
      <c r="BV13" s="81"/>
      <c r="BW13" s="81"/>
      <c r="BX13" s="81"/>
      <c r="BY13" s="81"/>
      <c r="BZ13" s="81"/>
      <c r="CA13" s="81"/>
      <c r="CB13" s="81"/>
      <c r="CC13" s="81"/>
      <c r="CD13" s="81"/>
      <c r="CE13" s="81">
        <v>1.5353512180130273</v>
      </c>
      <c r="CF13" s="81"/>
      <c r="CG13" s="81"/>
      <c r="CH13" s="81"/>
      <c r="CI13" s="81"/>
      <c r="CJ13" s="81"/>
      <c r="CK13" s="81"/>
      <c r="CL13" s="81"/>
      <c r="CM13" s="81"/>
      <c r="CN13" s="81"/>
      <c r="CO13" s="81"/>
      <c r="CP13" s="81"/>
      <c r="CQ13" s="81"/>
      <c r="CR13" s="81"/>
      <c r="CS13" s="81"/>
      <c r="CT13" s="81"/>
      <c r="CU13" s="81"/>
      <c r="CV13" s="81"/>
      <c r="CW13" s="81"/>
      <c r="CX13" s="81"/>
      <c r="CY13" s="81"/>
      <c r="CZ13" s="81"/>
      <c r="DA13" s="81"/>
      <c r="DB13" s="81"/>
      <c r="DC13" s="81"/>
      <c r="DD13" s="81"/>
      <c r="DE13" s="81"/>
      <c r="DF13" s="81"/>
      <c r="DG13" s="81"/>
      <c r="DH13" s="81"/>
      <c r="DI13" s="81"/>
      <c r="DJ13" s="81"/>
      <c r="DK13" s="81"/>
      <c r="DL13" s="81"/>
      <c r="DM13" s="81"/>
      <c r="DN13" s="81"/>
      <c r="DO13" s="81"/>
      <c r="DP13" s="81"/>
      <c r="DQ13" s="81"/>
      <c r="DR13" s="81"/>
      <c r="DS13" s="81"/>
      <c r="DT13" s="81"/>
      <c r="DU13" s="81"/>
      <c r="DV13" s="81"/>
      <c r="DW13" s="81"/>
      <c r="DX13" s="81"/>
      <c r="DY13" s="81"/>
      <c r="DZ13" s="81"/>
      <c r="EA13" s="81"/>
      <c r="EB13" s="81"/>
      <c r="EC13" s="81"/>
      <c r="ED13" s="81"/>
      <c r="EE13" s="81"/>
      <c r="EF13" s="81"/>
      <c r="EG13" s="81"/>
      <c r="EH13" s="81"/>
      <c r="EI13" s="81"/>
      <c r="EJ13" s="81"/>
      <c r="EK13" s="81"/>
      <c r="EL13" s="81"/>
      <c r="EM13" s="81"/>
      <c r="EN13" s="81"/>
      <c r="EO13" s="81"/>
      <c r="EP13" s="81"/>
      <c r="EQ13" s="81"/>
      <c r="ER13" s="81"/>
      <c r="ES13" s="81"/>
      <c r="ET13" s="81"/>
      <c r="EU13" s="81"/>
      <c r="EV13" s="81"/>
      <c r="EW13" s="81"/>
      <c r="EX13" s="81"/>
      <c r="EY13" s="81"/>
      <c r="EZ13" s="81"/>
      <c r="FA13" s="81"/>
      <c r="FB13" s="81"/>
      <c r="FC13" s="81"/>
      <c r="FD13" s="81"/>
      <c r="FE13" s="81"/>
      <c r="FF13" s="81"/>
      <c r="FG13" s="81"/>
      <c r="FH13" s="81"/>
      <c r="FI13" s="81"/>
      <c r="FJ13" s="81"/>
      <c r="FK13" s="81"/>
      <c r="FL13" s="81"/>
      <c r="FM13" s="81"/>
      <c r="FN13" s="81"/>
      <c r="FO13" s="81"/>
      <c r="FP13" s="81"/>
      <c r="FQ13" s="81"/>
      <c r="FR13" s="81"/>
      <c r="FS13" s="81"/>
      <c r="FT13" s="81"/>
      <c r="FU13" s="81"/>
      <c r="FV13" s="81">
        <v>1.5353512180130273</v>
      </c>
      <c r="FW13" s="81"/>
      <c r="FX13" s="86"/>
      <c r="FY13" s="81"/>
      <c r="FZ13" s="81"/>
      <c r="GA13" s="81"/>
      <c r="GB13" s="81"/>
      <c r="GC13" s="81"/>
      <c r="GD13" s="81"/>
      <c r="GE13" s="81"/>
      <c r="GF13" s="81"/>
      <c r="GG13" s="81"/>
      <c r="GH13" s="81"/>
    </row>
    <row r="14" spans="1:206" x14ac:dyDescent="0.2">
      <c r="A14" s="82" t="s">
        <v>227</v>
      </c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1"/>
      <c r="BP14" s="81"/>
      <c r="BQ14" s="81"/>
      <c r="BR14" s="81"/>
      <c r="BS14" s="81"/>
      <c r="BT14" s="81"/>
      <c r="BU14" s="81"/>
      <c r="BV14" s="81"/>
      <c r="BW14" s="81"/>
      <c r="BX14" s="81"/>
      <c r="BY14" s="81"/>
      <c r="BZ14" s="81"/>
      <c r="CA14" s="81"/>
      <c r="CB14" s="81"/>
      <c r="CC14" s="81"/>
      <c r="CD14" s="81"/>
      <c r="CE14" s="81"/>
      <c r="CF14" s="81">
        <v>103.5087790318609</v>
      </c>
      <c r="CG14" s="81"/>
      <c r="CH14" s="81"/>
      <c r="CI14" s="81"/>
      <c r="CJ14" s="81"/>
      <c r="CK14" s="81"/>
      <c r="CL14" s="81"/>
      <c r="CM14" s="81"/>
      <c r="CN14" s="81"/>
      <c r="CO14" s="81"/>
      <c r="CP14" s="81"/>
      <c r="CQ14" s="81"/>
      <c r="CR14" s="81"/>
      <c r="CS14" s="81"/>
      <c r="CT14" s="81"/>
      <c r="CU14" s="81"/>
      <c r="CV14" s="81"/>
      <c r="CW14" s="81"/>
      <c r="CX14" s="81"/>
      <c r="CY14" s="81"/>
      <c r="CZ14" s="81"/>
      <c r="DA14" s="81"/>
      <c r="DB14" s="81"/>
      <c r="DC14" s="81"/>
      <c r="DD14" s="81"/>
      <c r="DE14" s="81"/>
      <c r="DF14" s="81"/>
      <c r="DG14" s="81"/>
      <c r="DH14" s="81"/>
      <c r="DI14" s="81"/>
      <c r="DJ14" s="81"/>
      <c r="DK14" s="81"/>
      <c r="DL14" s="81"/>
      <c r="DM14" s="81"/>
      <c r="DN14" s="81"/>
      <c r="DO14" s="81"/>
      <c r="DP14" s="81"/>
      <c r="DQ14" s="81"/>
      <c r="DR14" s="81"/>
      <c r="DS14" s="81"/>
      <c r="DT14" s="81"/>
      <c r="DU14" s="81"/>
      <c r="DV14" s="81"/>
      <c r="DW14" s="81"/>
      <c r="DX14" s="81"/>
      <c r="DY14" s="81"/>
      <c r="DZ14" s="81"/>
      <c r="EA14" s="81"/>
      <c r="EB14" s="81"/>
      <c r="EC14" s="81"/>
      <c r="ED14" s="81"/>
      <c r="EE14" s="81"/>
      <c r="EF14" s="81"/>
      <c r="EG14" s="81"/>
      <c r="EH14" s="81"/>
      <c r="EI14" s="81"/>
      <c r="EJ14" s="81"/>
      <c r="EK14" s="81"/>
      <c r="EL14" s="81"/>
      <c r="EM14" s="81"/>
      <c r="EN14" s="81"/>
      <c r="EO14" s="81"/>
      <c r="EP14" s="81"/>
      <c r="EQ14" s="81"/>
      <c r="ER14" s="81"/>
      <c r="ES14" s="81"/>
      <c r="ET14" s="81"/>
      <c r="EU14" s="81"/>
      <c r="EV14" s="81"/>
      <c r="EW14" s="81"/>
      <c r="EX14" s="81"/>
      <c r="EY14" s="81"/>
      <c r="EZ14" s="81"/>
      <c r="FA14" s="81"/>
      <c r="FB14" s="81"/>
      <c r="FC14" s="81"/>
      <c r="FD14" s="81"/>
      <c r="FE14" s="81"/>
      <c r="FF14" s="81"/>
      <c r="FG14" s="81"/>
      <c r="FH14" s="81"/>
      <c r="FI14" s="81"/>
      <c r="FJ14" s="81"/>
      <c r="FK14" s="81"/>
      <c r="FL14" s="81"/>
      <c r="FM14" s="81"/>
      <c r="FN14" s="81"/>
      <c r="FO14" s="81"/>
      <c r="FP14" s="81"/>
      <c r="FQ14" s="81"/>
      <c r="FR14" s="81"/>
      <c r="FS14" s="81"/>
      <c r="FT14" s="81"/>
      <c r="FU14" s="81"/>
      <c r="FV14" s="81">
        <v>103.5087790318609</v>
      </c>
      <c r="FW14" s="81"/>
      <c r="FX14" s="86"/>
      <c r="FY14" s="81"/>
      <c r="FZ14" s="81"/>
      <c r="GA14" s="81"/>
      <c r="GB14" s="81"/>
      <c r="GC14" s="81"/>
      <c r="GD14" s="81"/>
      <c r="GE14" s="81"/>
      <c r="GF14" s="81"/>
      <c r="GG14" s="81"/>
      <c r="GH14" s="81"/>
    </row>
    <row r="15" spans="1:206" x14ac:dyDescent="0.2">
      <c r="A15" s="82" t="s">
        <v>228</v>
      </c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  <c r="AQ15" s="81"/>
      <c r="AR15" s="81"/>
      <c r="AS15" s="81"/>
      <c r="AT15" s="81"/>
      <c r="AU15" s="81"/>
      <c r="AV15" s="81"/>
      <c r="AW15" s="81"/>
      <c r="AX15" s="81"/>
      <c r="AY15" s="81"/>
      <c r="AZ15" s="81"/>
      <c r="BA15" s="81"/>
      <c r="BB15" s="81"/>
      <c r="BC15" s="81"/>
      <c r="BD15" s="81"/>
      <c r="BE15" s="81"/>
      <c r="BF15" s="81"/>
      <c r="BG15" s="81"/>
      <c r="BH15" s="81"/>
      <c r="BI15" s="81"/>
      <c r="BJ15" s="81"/>
      <c r="BK15" s="81"/>
      <c r="BL15" s="81"/>
      <c r="BM15" s="81"/>
      <c r="BN15" s="81"/>
      <c r="BO15" s="81"/>
      <c r="BP15" s="81"/>
      <c r="BQ15" s="81"/>
      <c r="BR15" s="81"/>
      <c r="BS15" s="81"/>
      <c r="BT15" s="81"/>
      <c r="BU15" s="81"/>
      <c r="BV15" s="81"/>
      <c r="BW15" s="81"/>
      <c r="BX15" s="81"/>
      <c r="BY15" s="81"/>
      <c r="BZ15" s="81"/>
      <c r="CA15" s="81"/>
      <c r="CB15" s="81"/>
      <c r="CC15" s="81"/>
      <c r="CD15" s="81"/>
      <c r="CE15" s="81"/>
      <c r="CF15" s="81"/>
      <c r="CG15" s="81"/>
      <c r="CH15" s="81"/>
      <c r="CI15" s="81">
        <v>0.85604406943427702</v>
      </c>
      <c r="CJ15" s="81"/>
      <c r="CK15" s="81"/>
      <c r="CL15" s="81"/>
      <c r="CM15" s="81"/>
      <c r="CN15" s="81"/>
      <c r="CO15" s="81"/>
      <c r="CP15" s="81"/>
      <c r="CQ15" s="81"/>
      <c r="CR15" s="81"/>
      <c r="CS15" s="81"/>
      <c r="CT15" s="81"/>
      <c r="CU15" s="81"/>
      <c r="CV15" s="81"/>
      <c r="CW15" s="81"/>
      <c r="CX15" s="81"/>
      <c r="CY15" s="81"/>
      <c r="CZ15" s="81"/>
      <c r="DA15" s="81"/>
      <c r="DB15" s="81"/>
      <c r="DC15" s="81"/>
      <c r="DD15" s="81"/>
      <c r="DE15" s="81"/>
      <c r="DF15" s="81"/>
      <c r="DG15" s="81"/>
      <c r="DH15" s="81"/>
      <c r="DI15" s="81"/>
      <c r="DJ15" s="81"/>
      <c r="DK15" s="81"/>
      <c r="DL15" s="81"/>
      <c r="DM15" s="81"/>
      <c r="DN15" s="81"/>
      <c r="DO15" s="81"/>
      <c r="DP15" s="81"/>
      <c r="DQ15" s="81"/>
      <c r="DR15" s="81"/>
      <c r="DS15" s="81"/>
      <c r="DT15" s="81"/>
      <c r="DU15" s="81"/>
      <c r="DV15" s="81"/>
      <c r="DW15" s="81"/>
      <c r="DX15" s="81"/>
      <c r="DY15" s="81"/>
      <c r="DZ15" s="81"/>
      <c r="EA15" s="81"/>
      <c r="EB15" s="81"/>
      <c r="EC15" s="81"/>
      <c r="ED15" s="81"/>
      <c r="EE15" s="81"/>
      <c r="EF15" s="81"/>
      <c r="EG15" s="81"/>
      <c r="EH15" s="81"/>
      <c r="EI15" s="81"/>
      <c r="EJ15" s="81"/>
      <c r="EK15" s="81"/>
      <c r="EL15" s="81"/>
      <c r="EM15" s="81"/>
      <c r="EN15" s="81"/>
      <c r="EO15" s="81"/>
      <c r="EP15" s="81"/>
      <c r="EQ15" s="81"/>
      <c r="ER15" s="81"/>
      <c r="ES15" s="81"/>
      <c r="ET15" s="81"/>
      <c r="EU15" s="81"/>
      <c r="EV15" s="81"/>
      <c r="EW15" s="81"/>
      <c r="EX15" s="81"/>
      <c r="EY15" s="81"/>
      <c r="EZ15" s="81"/>
      <c r="FA15" s="81"/>
      <c r="FB15" s="81"/>
      <c r="FC15" s="81"/>
      <c r="FD15" s="81"/>
      <c r="FE15" s="81"/>
      <c r="FF15" s="81"/>
      <c r="FG15" s="81"/>
      <c r="FH15" s="81"/>
      <c r="FI15" s="81"/>
      <c r="FJ15" s="81"/>
      <c r="FK15" s="81"/>
      <c r="FL15" s="81"/>
      <c r="FM15" s="81"/>
      <c r="FN15" s="81"/>
      <c r="FO15" s="81"/>
      <c r="FP15" s="81"/>
      <c r="FQ15" s="81"/>
      <c r="FR15" s="81"/>
      <c r="FS15" s="81"/>
      <c r="FT15" s="81"/>
      <c r="FU15" s="81"/>
      <c r="FV15" s="81">
        <v>0.85604406943427702</v>
      </c>
      <c r="FW15" s="81"/>
      <c r="FX15" s="86"/>
      <c r="FY15" s="81"/>
      <c r="FZ15" s="81"/>
      <c r="GA15" s="81"/>
      <c r="GB15" s="81"/>
      <c r="GC15" s="81"/>
      <c r="GD15" s="81"/>
      <c r="GE15" s="81"/>
      <c r="GF15" s="81"/>
      <c r="GG15" s="81"/>
      <c r="GH15" s="81"/>
    </row>
    <row r="16" spans="1:206" x14ac:dyDescent="0.2">
      <c r="A16" s="82" t="s">
        <v>229</v>
      </c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  <c r="AQ16" s="81"/>
      <c r="AR16" s="81"/>
      <c r="AS16" s="81"/>
      <c r="AT16" s="81"/>
      <c r="AU16" s="81"/>
      <c r="AV16" s="81"/>
      <c r="AW16" s="81"/>
      <c r="AX16" s="81"/>
      <c r="AY16" s="81"/>
      <c r="AZ16" s="81"/>
      <c r="BA16" s="81"/>
      <c r="BB16" s="81"/>
      <c r="BC16" s="81"/>
      <c r="BD16" s="81"/>
      <c r="BE16" s="81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81"/>
      <c r="BQ16" s="81"/>
      <c r="BR16" s="81"/>
      <c r="BS16" s="81"/>
      <c r="BT16" s="81"/>
      <c r="BU16" s="81"/>
      <c r="BV16" s="81"/>
      <c r="BW16" s="81"/>
      <c r="BX16" s="81"/>
      <c r="BY16" s="81"/>
      <c r="BZ16" s="81"/>
      <c r="CA16" s="81"/>
      <c r="CB16" s="81"/>
      <c r="CC16" s="81"/>
      <c r="CD16" s="81"/>
      <c r="CE16" s="81"/>
      <c r="CF16" s="81"/>
      <c r="CG16" s="81"/>
      <c r="CH16" s="81"/>
      <c r="CI16" s="81"/>
      <c r="CJ16" s="81">
        <v>142.38787815919935</v>
      </c>
      <c r="CK16" s="81"/>
      <c r="CL16" s="81"/>
      <c r="CM16" s="81"/>
      <c r="CN16" s="81"/>
      <c r="CO16" s="81"/>
      <c r="CP16" s="81"/>
      <c r="CQ16" s="81"/>
      <c r="CR16" s="81"/>
      <c r="CS16" s="81"/>
      <c r="CT16" s="81"/>
      <c r="CU16" s="81"/>
      <c r="CV16" s="81"/>
      <c r="CW16" s="81"/>
      <c r="CX16" s="81"/>
      <c r="CY16" s="81"/>
      <c r="CZ16" s="81"/>
      <c r="DA16" s="81"/>
      <c r="DB16" s="81"/>
      <c r="DC16" s="81"/>
      <c r="DD16" s="81"/>
      <c r="DE16" s="81"/>
      <c r="DF16" s="81"/>
      <c r="DG16" s="81"/>
      <c r="DH16" s="81"/>
      <c r="DI16" s="81"/>
      <c r="DJ16" s="81"/>
      <c r="DK16" s="81"/>
      <c r="DL16" s="81"/>
      <c r="DM16" s="81"/>
      <c r="DN16" s="81"/>
      <c r="DO16" s="81"/>
      <c r="DP16" s="81"/>
      <c r="DQ16" s="81"/>
      <c r="DR16" s="81"/>
      <c r="DS16" s="81"/>
      <c r="DT16" s="81"/>
      <c r="DU16" s="81"/>
      <c r="DV16" s="81"/>
      <c r="DW16" s="81"/>
      <c r="DX16" s="81"/>
      <c r="DY16" s="81"/>
      <c r="DZ16" s="81"/>
      <c r="EA16" s="81"/>
      <c r="EB16" s="81"/>
      <c r="EC16" s="81"/>
      <c r="ED16" s="81"/>
      <c r="EE16" s="81"/>
      <c r="EF16" s="81"/>
      <c r="EG16" s="81"/>
      <c r="EH16" s="81"/>
      <c r="EI16" s="81"/>
      <c r="EJ16" s="81"/>
      <c r="EK16" s="81"/>
      <c r="EL16" s="81"/>
      <c r="EM16" s="81"/>
      <c r="EN16" s="81"/>
      <c r="EO16" s="81"/>
      <c r="EP16" s="81"/>
      <c r="EQ16" s="81"/>
      <c r="ER16" s="81"/>
      <c r="ES16" s="81"/>
      <c r="ET16" s="81"/>
      <c r="EU16" s="81"/>
      <c r="EV16" s="81"/>
      <c r="EW16" s="81"/>
      <c r="EX16" s="81"/>
      <c r="EY16" s="81"/>
      <c r="EZ16" s="81"/>
      <c r="FA16" s="81"/>
      <c r="FB16" s="81"/>
      <c r="FC16" s="81"/>
      <c r="FD16" s="81"/>
      <c r="FE16" s="81"/>
      <c r="FF16" s="81"/>
      <c r="FG16" s="81"/>
      <c r="FH16" s="81"/>
      <c r="FI16" s="81"/>
      <c r="FJ16" s="81"/>
      <c r="FK16" s="81"/>
      <c r="FL16" s="81"/>
      <c r="FM16" s="81"/>
      <c r="FN16" s="81"/>
      <c r="FO16" s="81"/>
      <c r="FP16" s="81"/>
      <c r="FQ16" s="81"/>
      <c r="FR16" s="81"/>
      <c r="FS16" s="81"/>
      <c r="FT16" s="81"/>
      <c r="FU16" s="81"/>
      <c r="FV16" s="81">
        <v>142.38787815919935</v>
      </c>
      <c r="FW16" s="81"/>
      <c r="FX16" s="86"/>
      <c r="FY16" s="81"/>
      <c r="FZ16" s="81"/>
      <c r="GA16" s="81"/>
      <c r="GB16" s="81"/>
      <c r="GC16" s="81"/>
      <c r="GD16" s="81"/>
      <c r="GE16" s="81"/>
      <c r="GF16" s="81"/>
      <c r="GG16" s="81"/>
      <c r="GH16" s="81"/>
    </row>
    <row r="17" spans="1:190" x14ac:dyDescent="0.2">
      <c r="A17" s="82" t="s">
        <v>230</v>
      </c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  <c r="AQ17" s="81"/>
      <c r="AR17" s="81"/>
      <c r="AS17" s="81"/>
      <c r="AT17" s="81"/>
      <c r="AU17" s="81"/>
      <c r="AV17" s="81"/>
      <c r="AW17" s="81"/>
      <c r="AX17" s="81"/>
      <c r="AY17" s="81"/>
      <c r="AZ17" s="81"/>
      <c r="BA17" s="81"/>
      <c r="BB17" s="81"/>
      <c r="BC17" s="81"/>
      <c r="BD17" s="81"/>
      <c r="BE17" s="81"/>
      <c r="BF17" s="81"/>
      <c r="BG17" s="81"/>
      <c r="BH17" s="81"/>
      <c r="BI17" s="81"/>
      <c r="BJ17" s="81"/>
      <c r="BK17" s="81"/>
      <c r="BL17" s="81"/>
      <c r="BM17" s="81"/>
      <c r="BN17" s="81"/>
      <c r="BO17" s="81"/>
      <c r="BP17" s="81"/>
      <c r="BQ17" s="81"/>
      <c r="BR17" s="81"/>
      <c r="BS17" s="81"/>
      <c r="BT17" s="81"/>
      <c r="BU17" s="81"/>
      <c r="BV17" s="81"/>
      <c r="BW17" s="81"/>
      <c r="BX17" s="81"/>
      <c r="BY17" s="81"/>
      <c r="BZ17" s="81"/>
      <c r="CA17" s="81"/>
      <c r="CB17" s="81"/>
      <c r="CC17" s="81"/>
      <c r="CD17" s="81"/>
      <c r="CE17" s="81"/>
      <c r="CF17" s="81"/>
      <c r="CG17" s="81"/>
      <c r="CH17" s="81"/>
      <c r="CI17" s="81"/>
      <c r="CJ17" s="81"/>
      <c r="CK17" s="81">
        <v>39.007377562508367</v>
      </c>
      <c r="CL17" s="81"/>
      <c r="CM17" s="81"/>
      <c r="CN17" s="81"/>
      <c r="CO17" s="81"/>
      <c r="CP17" s="81"/>
      <c r="CQ17" s="81"/>
      <c r="CR17" s="81"/>
      <c r="CS17" s="81"/>
      <c r="CT17" s="81"/>
      <c r="CU17" s="81"/>
      <c r="CV17" s="81"/>
      <c r="CW17" s="81"/>
      <c r="CX17" s="81"/>
      <c r="CY17" s="81"/>
      <c r="CZ17" s="81"/>
      <c r="DA17" s="81"/>
      <c r="DB17" s="81"/>
      <c r="DC17" s="81"/>
      <c r="DD17" s="81"/>
      <c r="DE17" s="81"/>
      <c r="DF17" s="81"/>
      <c r="DG17" s="81"/>
      <c r="DH17" s="81"/>
      <c r="DI17" s="81"/>
      <c r="DJ17" s="81"/>
      <c r="DK17" s="81"/>
      <c r="DL17" s="81"/>
      <c r="DM17" s="81"/>
      <c r="DN17" s="81"/>
      <c r="DO17" s="81"/>
      <c r="DP17" s="81"/>
      <c r="DQ17" s="81"/>
      <c r="DR17" s="81"/>
      <c r="DS17" s="81"/>
      <c r="DT17" s="81"/>
      <c r="DU17" s="81"/>
      <c r="DV17" s="81"/>
      <c r="DW17" s="81"/>
      <c r="DX17" s="81"/>
      <c r="DY17" s="81"/>
      <c r="DZ17" s="81"/>
      <c r="EA17" s="81"/>
      <c r="EB17" s="81"/>
      <c r="EC17" s="81"/>
      <c r="ED17" s="81"/>
      <c r="EE17" s="81"/>
      <c r="EF17" s="81"/>
      <c r="EG17" s="81"/>
      <c r="EH17" s="81"/>
      <c r="EI17" s="81"/>
      <c r="EJ17" s="81"/>
      <c r="EK17" s="81"/>
      <c r="EL17" s="81"/>
      <c r="EM17" s="81"/>
      <c r="EN17" s="81"/>
      <c r="EO17" s="81"/>
      <c r="EP17" s="81"/>
      <c r="EQ17" s="81"/>
      <c r="ER17" s="81"/>
      <c r="ES17" s="81"/>
      <c r="ET17" s="81"/>
      <c r="EU17" s="81"/>
      <c r="EV17" s="81"/>
      <c r="EW17" s="81"/>
      <c r="EX17" s="81"/>
      <c r="EY17" s="81"/>
      <c r="EZ17" s="81"/>
      <c r="FA17" s="81"/>
      <c r="FB17" s="81"/>
      <c r="FC17" s="81"/>
      <c r="FD17" s="81"/>
      <c r="FE17" s="81"/>
      <c r="FF17" s="81"/>
      <c r="FG17" s="81"/>
      <c r="FH17" s="81"/>
      <c r="FI17" s="81"/>
      <c r="FJ17" s="81"/>
      <c r="FK17" s="81"/>
      <c r="FL17" s="81"/>
      <c r="FM17" s="81"/>
      <c r="FN17" s="81"/>
      <c r="FO17" s="81"/>
      <c r="FP17" s="81"/>
      <c r="FQ17" s="81"/>
      <c r="FR17" s="81"/>
      <c r="FS17" s="81"/>
      <c r="FT17" s="81"/>
      <c r="FU17" s="81"/>
      <c r="FV17" s="81">
        <v>39.007377562508367</v>
      </c>
      <c r="FW17" s="81"/>
      <c r="FX17" s="86"/>
      <c r="FY17" s="81"/>
      <c r="FZ17" s="81"/>
      <c r="GA17" s="81"/>
      <c r="GB17" s="81"/>
      <c r="GC17" s="81"/>
      <c r="GD17" s="81"/>
      <c r="GE17" s="81"/>
      <c r="GF17" s="81"/>
      <c r="GG17" s="81"/>
      <c r="GH17" s="81"/>
    </row>
    <row r="18" spans="1:190" x14ac:dyDescent="0.2">
      <c r="A18" s="82" t="s">
        <v>231</v>
      </c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  <c r="AQ18" s="81"/>
      <c r="AR18" s="81"/>
      <c r="AS18" s="81"/>
      <c r="AT18" s="81"/>
      <c r="AU18" s="81"/>
      <c r="AV18" s="81"/>
      <c r="AW18" s="81"/>
      <c r="AX18" s="81"/>
      <c r="AY18" s="81"/>
      <c r="AZ18" s="81"/>
      <c r="BA18" s="81"/>
      <c r="BB18" s="81"/>
      <c r="BC18" s="81"/>
      <c r="BD18" s="81"/>
      <c r="BE18" s="81"/>
      <c r="BF18" s="81"/>
      <c r="BG18" s="81"/>
      <c r="BH18" s="81"/>
      <c r="BI18" s="81"/>
      <c r="BJ18" s="81"/>
      <c r="BK18" s="81"/>
      <c r="BL18" s="81"/>
      <c r="BM18" s="81"/>
      <c r="BN18" s="81"/>
      <c r="BO18" s="81"/>
      <c r="BP18" s="81"/>
      <c r="BQ18" s="81"/>
      <c r="BR18" s="81"/>
      <c r="BS18" s="81"/>
      <c r="BT18" s="81"/>
      <c r="BU18" s="81"/>
      <c r="BV18" s="81"/>
      <c r="BW18" s="81"/>
      <c r="BX18" s="81"/>
      <c r="BY18" s="81"/>
      <c r="BZ18" s="81"/>
      <c r="CA18" s="81"/>
      <c r="CB18" s="81"/>
      <c r="CC18" s="81"/>
      <c r="CD18" s="81"/>
      <c r="CE18" s="81"/>
      <c r="CF18" s="81"/>
      <c r="CG18" s="81"/>
      <c r="CH18" s="81"/>
      <c r="CI18" s="81"/>
      <c r="CJ18" s="81"/>
      <c r="CK18" s="81"/>
      <c r="CL18" s="81">
        <v>134.57482243875072</v>
      </c>
      <c r="CM18" s="81"/>
      <c r="CN18" s="81"/>
      <c r="CO18" s="81"/>
      <c r="CP18" s="81"/>
      <c r="CQ18" s="81"/>
      <c r="CR18" s="81"/>
      <c r="CS18" s="81"/>
      <c r="CT18" s="81"/>
      <c r="CU18" s="81"/>
      <c r="CV18" s="81"/>
      <c r="CW18" s="81"/>
      <c r="CX18" s="81"/>
      <c r="CY18" s="81"/>
      <c r="CZ18" s="81"/>
      <c r="DA18" s="81"/>
      <c r="DB18" s="81"/>
      <c r="DC18" s="81"/>
      <c r="DD18" s="81"/>
      <c r="DE18" s="81"/>
      <c r="DF18" s="81"/>
      <c r="DG18" s="81"/>
      <c r="DH18" s="81"/>
      <c r="DI18" s="81"/>
      <c r="DJ18" s="81"/>
      <c r="DK18" s="81"/>
      <c r="DL18" s="81"/>
      <c r="DM18" s="81"/>
      <c r="DN18" s="81"/>
      <c r="DO18" s="81"/>
      <c r="DP18" s="81"/>
      <c r="DQ18" s="81"/>
      <c r="DR18" s="81"/>
      <c r="DS18" s="81"/>
      <c r="DT18" s="81"/>
      <c r="DU18" s="81"/>
      <c r="DV18" s="81"/>
      <c r="DW18" s="81"/>
      <c r="DX18" s="81"/>
      <c r="DY18" s="81"/>
      <c r="DZ18" s="81"/>
      <c r="EA18" s="81"/>
      <c r="EB18" s="81"/>
      <c r="EC18" s="81"/>
      <c r="ED18" s="81"/>
      <c r="EE18" s="81"/>
      <c r="EF18" s="81"/>
      <c r="EG18" s="81"/>
      <c r="EH18" s="81"/>
      <c r="EI18" s="81"/>
      <c r="EJ18" s="81"/>
      <c r="EK18" s="81"/>
      <c r="EL18" s="81"/>
      <c r="EM18" s="81"/>
      <c r="EN18" s="81"/>
      <c r="EO18" s="81"/>
      <c r="EP18" s="81"/>
      <c r="EQ18" s="81"/>
      <c r="ER18" s="81"/>
      <c r="ES18" s="81"/>
      <c r="ET18" s="81"/>
      <c r="EU18" s="81"/>
      <c r="EV18" s="81"/>
      <c r="EW18" s="81"/>
      <c r="EX18" s="81"/>
      <c r="EY18" s="81"/>
      <c r="EZ18" s="81"/>
      <c r="FA18" s="81"/>
      <c r="FB18" s="81"/>
      <c r="FC18" s="81"/>
      <c r="FD18" s="81"/>
      <c r="FE18" s="81"/>
      <c r="FF18" s="81"/>
      <c r="FG18" s="81"/>
      <c r="FH18" s="81"/>
      <c r="FI18" s="81"/>
      <c r="FJ18" s="81"/>
      <c r="FK18" s="81"/>
      <c r="FL18" s="81"/>
      <c r="FM18" s="81"/>
      <c r="FN18" s="81"/>
      <c r="FO18" s="81"/>
      <c r="FP18" s="81"/>
      <c r="FQ18" s="81"/>
      <c r="FR18" s="81"/>
      <c r="FS18" s="81"/>
      <c r="FT18" s="81"/>
      <c r="FU18" s="81"/>
      <c r="FV18" s="81">
        <v>134.57482243875072</v>
      </c>
      <c r="FW18" s="81"/>
      <c r="FX18" s="86"/>
      <c r="FY18" s="81"/>
      <c r="FZ18" s="81"/>
      <c r="GA18" s="81"/>
      <c r="GB18" s="81"/>
      <c r="GC18" s="81"/>
      <c r="GD18" s="81"/>
      <c r="GE18" s="81"/>
      <c r="GF18" s="81"/>
      <c r="GG18" s="81"/>
      <c r="GH18" s="81"/>
    </row>
    <row r="19" spans="1:190" x14ac:dyDescent="0.2">
      <c r="A19" s="82" t="s">
        <v>232</v>
      </c>
      <c r="B19" s="81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1"/>
      <c r="AQ19" s="81"/>
      <c r="AR19" s="81"/>
      <c r="AS19" s="81"/>
      <c r="AT19" s="81"/>
      <c r="AU19" s="81"/>
      <c r="AV19" s="81"/>
      <c r="AW19" s="81"/>
      <c r="AX19" s="81"/>
      <c r="AY19" s="81"/>
      <c r="AZ19" s="81"/>
      <c r="BA19" s="81"/>
      <c r="BB19" s="81"/>
      <c r="BC19" s="81"/>
      <c r="BD19" s="81"/>
      <c r="BE19" s="81"/>
      <c r="BF19" s="81"/>
      <c r="BG19" s="81"/>
      <c r="BH19" s="81"/>
      <c r="BI19" s="81"/>
      <c r="BJ19" s="81"/>
      <c r="BK19" s="81"/>
      <c r="BL19" s="81"/>
      <c r="BM19" s="81"/>
      <c r="BN19" s="81"/>
      <c r="BO19" s="81"/>
      <c r="BP19" s="81"/>
      <c r="BQ19" s="81"/>
      <c r="BR19" s="81"/>
      <c r="BS19" s="81"/>
      <c r="BT19" s="81"/>
      <c r="BU19" s="81"/>
      <c r="BV19" s="81"/>
      <c r="BW19" s="81"/>
      <c r="BX19" s="81"/>
      <c r="BY19" s="81"/>
      <c r="BZ19" s="81"/>
      <c r="CA19" s="81"/>
      <c r="CB19" s="81"/>
      <c r="CC19" s="81"/>
      <c r="CD19" s="81"/>
      <c r="CE19" s="81"/>
      <c r="CF19" s="81"/>
      <c r="CG19" s="81"/>
      <c r="CH19" s="81"/>
      <c r="CI19" s="81"/>
      <c r="CJ19" s="81"/>
      <c r="CK19" s="81"/>
      <c r="CL19" s="81"/>
      <c r="CM19" s="81">
        <v>5.5136278462172941</v>
      </c>
      <c r="CN19" s="81"/>
      <c r="CO19" s="81"/>
      <c r="CP19" s="81"/>
      <c r="CQ19" s="81"/>
      <c r="CR19" s="81"/>
      <c r="CS19" s="81"/>
      <c r="CT19" s="81"/>
      <c r="CU19" s="81"/>
      <c r="CV19" s="81"/>
      <c r="CW19" s="81"/>
      <c r="CX19" s="81"/>
      <c r="CY19" s="81"/>
      <c r="CZ19" s="81"/>
      <c r="DA19" s="81"/>
      <c r="DB19" s="81"/>
      <c r="DC19" s="81"/>
      <c r="DD19" s="81"/>
      <c r="DE19" s="81"/>
      <c r="DF19" s="81"/>
      <c r="DG19" s="81"/>
      <c r="DH19" s="81"/>
      <c r="DI19" s="81"/>
      <c r="DJ19" s="81"/>
      <c r="DK19" s="81"/>
      <c r="DL19" s="81"/>
      <c r="DM19" s="81"/>
      <c r="DN19" s="81"/>
      <c r="DO19" s="81"/>
      <c r="DP19" s="81"/>
      <c r="DQ19" s="81"/>
      <c r="DR19" s="81"/>
      <c r="DS19" s="81"/>
      <c r="DT19" s="81"/>
      <c r="DU19" s="81"/>
      <c r="DV19" s="81"/>
      <c r="DW19" s="81"/>
      <c r="DX19" s="81"/>
      <c r="DY19" s="81"/>
      <c r="DZ19" s="81"/>
      <c r="EA19" s="81"/>
      <c r="EB19" s="81"/>
      <c r="EC19" s="81"/>
      <c r="ED19" s="81"/>
      <c r="EE19" s="81"/>
      <c r="EF19" s="81"/>
      <c r="EG19" s="81"/>
      <c r="EH19" s="81"/>
      <c r="EI19" s="81"/>
      <c r="EJ19" s="81"/>
      <c r="EK19" s="81"/>
      <c r="EL19" s="81"/>
      <c r="EM19" s="81"/>
      <c r="EN19" s="81"/>
      <c r="EO19" s="81"/>
      <c r="EP19" s="81"/>
      <c r="EQ19" s="81"/>
      <c r="ER19" s="81"/>
      <c r="ES19" s="81"/>
      <c r="ET19" s="81"/>
      <c r="EU19" s="81"/>
      <c r="EV19" s="81"/>
      <c r="EW19" s="81"/>
      <c r="EX19" s="81"/>
      <c r="EY19" s="81"/>
      <c r="EZ19" s="81"/>
      <c r="FA19" s="81"/>
      <c r="FB19" s="81"/>
      <c r="FC19" s="81"/>
      <c r="FD19" s="81"/>
      <c r="FE19" s="81"/>
      <c r="FF19" s="81"/>
      <c r="FG19" s="81"/>
      <c r="FH19" s="81"/>
      <c r="FI19" s="81"/>
      <c r="FJ19" s="81"/>
      <c r="FK19" s="81"/>
      <c r="FL19" s="81"/>
      <c r="FM19" s="81"/>
      <c r="FN19" s="81"/>
      <c r="FO19" s="81"/>
      <c r="FP19" s="81"/>
      <c r="FQ19" s="81"/>
      <c r="FR19" s="81"/>
      <c r="FS19" s="81"/>
      <c r="FT19" s="81"/>
      <c r="FU19" s="81"/>
      <c r="FV19" s="81">
        <v>5.5136278462172941</v>
      </c>
      <c r="FW19" s="81"/>
      <c r="FX19" s="86"/>
      <c r="FY19" s="81"/>
      <c r="FZ19" s="81"/>
      <c r="GA19" s="81"/>
      <c r="GB19" s="81"/>
      <c r="GC19" s="81"/>
      <c r="GD19" s="81"/>
      <c r="GE19" s="81"/>
      <c r="GF19" s="81"/>
      <c r="GG19" s="81"/>
      <c r="GH19" s="81"/>
    </row>
    <row r="20" spans="1:190" x14ac:dyDescent="0.2">
      <c r="A20" s="82" t="s">
        <v>233</v>
      </c>
      <c r="B20" s="81"/>
      <c r="C20" s="81"/>
      <c r="D20" s="81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  <c r="AA20" s="81"/>
      <c r="AB20" s="81"/>
      <c r="AC20" s="81"/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1"/>
      <c r="AQ20" s="81"/>
      <c r="AR20" s="81"/>
      <c r="AS20" s="81"/>
      <c r="AT20" s="81"/>
      <c r="AU20" s="81"/>
      <c r="AV20" s="81"/>
      <c r="AW20" s="81"/>
      <c r="AX20" s="81"/>
      <c r="AY20" s="81"/>
      <c r="AZ20" s="81"/>
      <c r="BA20" s="81"/>
      <c r="BB20" s="81"/>
      <c r="BC20" s="81"/>
      <c r="BD20" s="81"/>
      <c r="BE20" s="81"/>
      <c r="BF20" s="81"/>
      <c r="BG20" s="81"/>
      <c r="BH20" s="81"/>
      <c r="BI20" s="81"/>
      <c r="BJ20" s="81"/>
      <c r="BK20" s="81"/>
      <c r="BL20" s="81"/>
      <c r="BM20" s="81"/>
      <c r="BN20" s="81"/>
      <c r="BO20" s="81"/>
      <c r="BP20" s="81"/>
      <c r="BQ20" s="81"/>
      <c r="BR20" s="81"/>
      <c r="BS20" s="81"/>
      <c r="BT20" s="81"/>
      <c r="BU20" s="81"/>
      <c r="BV20" s="81"/>
      <c r="BW20" s="81"/>
      <c r="BX20" s="81"/>
      <c r="BY20" s="81"/>
      <c r="BZ20" s="81"/>
      <c r="CA20" s="81"/>
      <c r="CB20" s="81"/>
      <c r="CC20" s="81"/>
      <c r="CD20" s="81"/>
      <c r="CE20" s="81"/>
      <c r="CF20" s="81"/>
      <c r="CG20" s="81"/>
      <c r="CH20" s="81"/>
      <c r="CI20" s="81"/>
      <c r="CJ20" s="81"/>
      <c r="CK20" s="81"/>
      <c r="CL20" s="81"/>
      <c r="CM20" s="81"/>
      <c r="CN20" s="81">
        <v>22.424418540942753</v>
      </c>
      <c r="CO20" s="81"/>
      <c r="CP20" s="81"/>
      <c r="CQ20" s="81"/>
      <c r="CR20" s="81"/>
      <c r="CS20" s="81"/>
      <c r="CT20" s="81"/>
      <c r="CU20" s="81"/>
      <c r="CV20" s="81"/>
      <c r="CW20" s="81"/>
      <c r="CX20" s="81"/>
      <c r="CY20" s="81"/>
      <c r="CZ20" s="81"/>
      <c r="DA20" s="81"/>
      <c r="DB20" s="81"/>
      <c r="DC20" s="81"/>
      <c r="DD20" s="81"/>
      <c r="DE20" s="81"/>
      <c r="DF20" s="81"/>
      <c r="DG20" s="81"/>
      <c r="DH20" s="81"/>
      <c r="DI20" s="81"/>
      <c r="DJ20" s="81"/>
      <c r="DK20" s="81"/>
      <c r="DL20" s="81"/>
      <c r="DM20" s="81"/>
      <c r="DN20" s="81"/>
      <c r="DO20" s="81"/>
      <c r="DP20" s="81"/>
      <c r="DQ20" s="81"/>
      <c r="DR20" s="81"/>
      <c r="DS20" s="81"/>
      <c r="DT20" s="81"/>
      <c r="DU20" s="81"/>
      <c r="DV20" s="81"/>
      <c r="DW20" s="81"/>
      <c r="DX20" s="81"/>
      <c r="DY20" s="81"/>
      <c r="DZ20" s="81"/>
      <c r="EA20" s="81"/>
      <c r="EB20" s="81"/>
      <c r="EC20" s="81"/>
      <c r="ED20" s="81"/>
      <c r="EE20" s="81"/>
      <c r="EF20" s="81"/>
      <c r="EG20" s="81"/>
      <c r="EH20" s="81"/>
      <c r="EI20" s="81"/>
      <c r="EJ20" s="81"/>
      <c r="EK20" s="81"/>
      <c r="EL20" s="81"/>
      <c r="EM20" s="81"/>
      <c r="EN20" s="81"/>
      <c r="EO20" s="81"/>
      <c r="EP20" s="81"/>
      <c r="EQ20" s="81"/>
      <c r="ER20" s="81"/>
      <c r="ES20" s="81"/>
      <c r="ET20" s="81"/>
      <c r="EU20" s="81"/>
      <c r="EV20" s="81"/>
      <c r="EW20" s="81"/>
      <c r="EX20" s="81"/>
      <c r="EY20" s="81"/>
      <c r="EZ20" s="81"/>
      <c r="FA20" s="81"/>
      <c r="FB20" s="81"/>
      <c r="FC20" s="81"/>
      <c r="FD20" s="81"/>
      <c r="FE20" s="81"/>
      <c r="FF20" s="81"/>
      <c r="FG20" s="81"/>
      <c r="FH20" s="81"/>
      <c r="FI20" s="81"/>
      <c r="FJ20" s="81"/>
      <c r="FK20" s="81"/>
      <c r="FL20" s="81"/>
      <c r="FM20" s="81"/>
      <c r="FN20" s="81"/>
      <c r="FO20" s="81"/>
      <c r="FP20" s="81"/>
      <c r="FQ20" s="81"/>
      <c r="FR20" s="81"/>
      <c r="FS20" s="81"/>
      <c r="FT20" s="81"/>
      <c r="FU20" s="81"/>
      <c r="FV20" s="81">
        <v>22.424418540942753</v>
      </c>
      <c r="FW20" s="81"/>
      <c r="FX20" s="86"/>
      <c r="FY20" s="81"/>
      <c r="FZ20" s="81"/>
      <c r="GA20" s="81"/>
      <c r="GB20" s="81"/>
      <c r="GC20" s="81"/>
      <c r="GD20" s="81"/>
      <c r="GE20" s="81"/>
      <c r="GF20" s="81"/>
      <c r="GG20" s="81"/>
      <c r="GH20" s="81"/>
    </row>
    <row r="21" spans="1:190" x14ac:dyDescent="0.2">
      <c r="A21" s="82" t="s">
        <v>234</v>
      </c>
      <c r="B21" s="81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81"/>
      <c r="AS21" s="81"/>
      <c r="AT21" s="81"/>
      <c r="AU21" s="81"/>
      <c r="AV21" s="81"/>
      <c r="AW21" s="81"/>
      <c r="AX21" s="81"/>
      <c r="AY21" s="81"/>
      <c r="AZ21" s="81"/>
      <c r="BA21" s="81"/>
      <c r="BB21" s="81"/>
      <c r="BC21" s="81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81"/>
      <c r="BQ21" s="81"/>
      <c r="BR21" s="81"/>
      <c r="BS21" s="81"/>
      <c r="BT21" s="81"/>
      <c r="BU21" s="81"/>
      <c r="BV21" s="81"/>
      <c r="BW21" s="81"/>
      <c r="BX21" s="81"/>
      <c r="BY21" s="81"/>
      <c r="BZ21" s="81"/>
      <c r="CA21" s="81"/>
      <c r="CB21" s="81"/>
      <c r="CC21" s="81"/>
      <c r="CD21" s="81"/>
      <c r="CE21" s="81"/>
      <c r="CF21" s="81"/>
      <c r="CG21" s="81"/>
      <c r="CH21" s="81"/>
      <c r="CI21" s="81"/>
      <c r="CJ21" s="81"/>
      <c r="CK21" s="81"/>
      <c r="CL21" s="81"/>
      <c r="CM21" s="81"/>
      <c r="CN21" s="81"/>
      <c r="CO21" s="81">
        <v>6.3359279315265962</v>
      </c>
      <c r="CP21" s="81"/>
      <c r="CQ21" s="81"/>
      <c r="CR21" s="81"/>
      <c r="CS21" s="81"/>
      <c r="CT21" s="81"/>
      <c r="CU21" s="81"/>
      <c r="CV21" s="81"/>
      <c r="CW21" s="81"/>
      <c r="CX21" s="81"/>
      <c r="CY21" s="81"/>
      <c r="CZ21" s="81"/>
      <c r="DA21" s="81"/>
      <c r="DB21" s="81"/>
      <c r="DC21" s="81"/>
      <c r="DD21" s="81"/>
      <c r="DE21" s="81"/>
      <c r="DF21" s="81"/>
      <c r="DG21" s="81"/>
      <c r="DH21" s="81"/>
      <c r="DI21" s="81"/>
      <c r="DJ21" s="81"/>
      <c r="DK21" s="81"/>
      <c r="DL21" s="81"/>
      <c r="DM21" s="81"/>
      <c r="DN21" s="81"/>
      <c r="DO21" s="81"/>
      <c r="DP21" s="81"/>
      <c r="DQ21" s="81"/>
      <c r="DR21" s="81"/>
      <c r="DS21" s="81"/>
      <c r="DT21" s="81"/>
      <c r="DU21" s="81"/>
      <c r="DV21" s="81"/>
      <c r="DW21" s="81"/>
      <c r="DX21" s="81"/>
      <c r="DY21" s="81"/>
      <c r="DZ21" s="81"/>
      <c r="EA21" s="81"/>
      <c r="EB21" s="81"/>
      <c r="EC21" s="81"/>
      <c r="ED21" s="81"/>
      <c r="EE21" s="81"/>
      <c r="EF21" s="81"/>
      <c r="EG21" s="81"/>
      <c r="EH21" s="81"/>
      <c r="EI21" s="81"/>
      <c r="EJ21" s="81"/>
      <c r="EK21" s="81"/>
      <c r="EL21" s="81"/>
      <c r="EM21" s="81"/>
      <c r="EN21" s="81"/>
      <c r="EO21" s="81"/>
      <c r="EP21" s="81"/>
      <c r="EQ21" s="81"/>
      <c r="ER21" s="81"/>
      <c r="ES21" s="81"/>
      <c r="ET21" s="81"/>
      <c r="EU21" s="81"/>
      <c r="EV21" s="81"/>
      <c r="EW21" s="81"/>
      <c r="EX21" s="81"/>
      <c r="EY21" s="81"/>
      <c r="EZ21" s="81"/>
      <c r="FA21" s="81"/>
      <c r="FB21" s="81"/>
      <c r="FC21" s="81"/>
      <c r="FD21" s="81"/>
      <c r="FE21" s="81"/>
      <c r="FF21" s="81"/>
      <c r="FG21" s="81"/>
      <c r="FH21" s="81"/>
      <c r="FI21" s="81"/>
      <c r="FJ21" s="81"/>
      <c r="FK21" s="81"/>
      <c r="FL21" s="81"/>
      <c r="FM21" s="81"/>
      <c r="FN21" s="81"/>
      <c r="FO21" s="81"/>
      <c r="FP21" s="81"/>
      <c r="FQ21" s="81"/>
      <c r="FR21" s="81"/>
      <c r="FS21" s="81"/>
      <c r="FT21" s="81"/>
      <c r="FU21" s="81"/>
      <c r="FV21" s="81">
        <v>6.3359279315265962</v>
      </c>
      <c r="FW21" s="81"/>
      <c r="FX21" s="86"/>
      <c r="FY21" s="81"/>
      <c r="FZ21" s="81"/>
      <c r="GA21" s="81"/>
      <c r="GB21" s="81"/>
      <c r="GC21" s="81"/>
      <c r="GD21" s="81"/>
      <c r="GE21" s="81"/>
      <c r="GF21" s="81"/>
      <c r="GG21" s="81"/>
      <c r="GH21" s="81"/>
    </row>
    <row r="22" spans="1:190" x14ac:dyDescent="0.2">
      <c r="A22" s="82" t="s">
        <v>235</v>
      </c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  <c r="AQ22" s="81"/>
      <c r="AR22" s="81"/>
      <c r="AS22" s="81"/>
      <c r="AT22" s="81"/>
      <c r="AU22" s="81"/>
      <c r="AV22" s="81"/>
      <c r="AW22" s="81"/>
      <c r="AX22" s="81"/>
      <c r="AY22" s="81"/>
      <c r="AZ22" s="81"/>
      <c r="BA22" s="81"/>
      <c r="BB22" s="81"/>
      <c r="BC22" s="81"/>
      <c r="BD22" s="81"/>
      <c r="BE22" s="81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81"/>
      <c r="BQ22" s="81"/>
      <c r="BR22" s="81"/>
      <c r="BS22" s="81"/>
      <c r="BT22" s="81"/>
      <c r="BU22" s="81"/>
      <c r="BV22" s="81"/>
      <c r="BW22" s="81"/>
      <c r="BX22" s="81"/>
      <c r="BY22" s="81"/>
      <c r="BZ22" s="81"/>
      <c r="CA22" s="81"/>
      <c r="CB22" s="81"/>
      <c r="CC22" s="81"/>
      <c r="CD22" s="81"/>
      <c r="CE22" s="81"/>
      <c r="CF22" s="81"/>
      <c r="CG22" s="81"/>
      <c r="CH22" s="81"/>
      <c r="CI22" s="81"/>
      <c r="CJ22" s="81"/>
      <c r="CK22" s="81"/>
      <c r="CL22" s="81"/>
      <c r="CM22" s="81"/>
      <c r="CN22" s="81"/>
      <c r="CO22" s="81"/>
      <c r="CP22" s="81">
        <v>72.703896570704202</v>
      </c>
      <c r="CQ22" s="81"/>
      <c r="CR22" s="81"/>
      <c r="CS22" s="81"/>
      <c r="CT22" s="81"/>
      <c r="CU22" s="81"/>
      <c r="CV22" s="81"/>
      <c r="CW22" s="81"/>
      <c r="CX22" s="81"/>
      <c r="CY22" s="81"/>
      <c r="CZ22" s="81"/>
      <c r="DA22" s="81"/>
      <c r="DB22" s="81"/>
      <c r="DC22" s="81"/>
      <c r="DD22" s="81"/>
      <c r="DE22" s="81"/>
      <c r="DF22" s="81"/>
      <c r="DG22" s="81"/>
      <c r="DH22" s="81"/>
      <c r="DI22" s="81"/>
      <c r="DJ22" s="81"/>
      <c r="DK22" s="81"/>
      <c r="DL22" s="81"/>
      <c r="DM22" s="81"/>
      <c r="DN22" s="81"/>
      <c r="DO22" s="81"/>
      <c r="DP22" s="81"/>
      <c r="DQ22" s="81"/>
      <c r="DR22" s="81"/>
      <c r="DS22" s="81"/>
      <c r="DT22" s="81"/>
      <c r="DU22" s="81"/>
      <c r="DV22" s="81"/>
      <c r="DW22" s="81"/>
      <c r="DX22" s="81"/>
      <c r="DY22" s="81"/>
      <c r="DZ22" s="81"/>
      <c r="EA22" s="81"/>
      <c r="EB22" s="81"/>
      <c r="EC22" s="81"/>
      <c r="ED22" s="81"/>
      <c r="EE22" s="81"/>
      <c r="EF22" s="81"/>
      <c r="EG22" s="81"/>
      <c r="EH22" s="81"/>
      <c r="EI22" s="81"/>
      <c r="EJ22" s="81"/>
      <c r="EK22" s="81"/>
      <c r="EL22" s="81"/>
      <c r="EM22" s="81"/>
      <c r="EN22" s="81"/>
      <c r="EO22" s="81"/>
      <c r="EP22" s="81"/>
      <c r="EQ22" s="81"/>
      <c r="ER22" s="81"/>
      <c r="ES22" s="81"/>
      <c r="ET22" s="81"/>
      <c r="EU22" s="81"/>
      <c r="EV22" s="81"/>
      <c r="EW22" s="81"/>
      <c r="EX22" s="81"/>
      <c r="EY22" s="81"/>
      <c r="EZ22" s="81"/>
      <c r="FA22" s="81"/>
      <c r="FB22" s="81"/>
      <c r="FC22" s="81"/>
      <c r="FD22" s="81"/>
      <c r="FE22" s="81"/>
      <c r="FF22" s="81"/>
      <c r="FG22" s="81"/>
      <c r="FH22" s="81"/>
      <c r="FI22" s="81"/>
      <c r="FJ22" s="81"/>
      <c r="FK22" s="81"/>
      <c r="FL22" s="81"/>
      <c r="FM22" s="81"/>
      <c r="FN22" s="81"/>
      <c r="FO22" s="81"/>
      <c r="FP22" s="81"/>
      <c r="FQ22" s="81"/>
      <c r="FR22" s="81"/>
      <c r="FS22" s="81"/>
      <c r="FT22" s="81"/>
      <c r="FU22" s="81"/>
      <c r="FV22" s="81">
        <v>72.703896570704202</v>
      </c>
      <c r="FW22" s="81"/>
      <c r="FX22" s="86"/>
      <c r="FY22" s="81"/>
      <c r="FZ22" s="81"/>
      <c r="GA22" s="81"/>
      <c r="GB22" s="81"/>
      <c r="GC22" s="81"/>
      <c r="GD22" s="81"/>
      <c r="GE22" s="81"/>
      <c r="GF22" s="81"/>
      <c r="GG22" s="81"/>
      <c r="GH22" s="81"/>
    </row>
    <row r="23" spans="1:190" x14ac:dyDescent="0.2">
      <c r="A23" s="82" t="s">
        <v>236</v>
      </c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81"/>
      <c r="AS23" s="81"/>
      <c r="AT23" s="81"/>
      <c r="AU23" s="81"/>
      <c r="AV23" s="81"/>
      <c r="AW23" s="81"/>
      <c r="AX23" s="81"/>
      <c r="AY23" s="81"/>
      <c r="AZ23" s="81"/>
      <c r="BA23" s="81"/>
      <c r="BB23" s="81"/>
      <c r="BC23" s="81"/>
      <c r="BD23" s="81"/>
      <c r="BE23" s="81"/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81"/>
      <c r="BQ23" s="81"/>
      <c r="BR23" s="81"/>
      <c r="BS23" s="81"/>
      <c r="BT23" s="81"/>
      <c r="BU23" s="81"/>
      <c r="BV23" s="81"/>
      <c r="BW23" s="81"/>
      <c r="BX23" s="81"/>
      <c r="BY23" s="81"/>
      <c r="BZ23" s="81"/>
      <c r="CA23" s="81"/>
      <c r="CB23" s="81"/>
      <c r="CC23" s="81"/>
      <c r="CD23" s="81"/>
      <c r="CE23" s="81"/>
      <c r="CF23" s="81"/>
      <c r="CG23" s="81"/>
      <c r="CH23" s="81"/>
      <c r="CI23" s="81"/>
      <c r="CJ23" s="81"/>
      <c r="CK23" s="81"/>
      <c r="CL23" s="81"/>
      <c r="CM23" s="81"/>
      <c r="CN23" s="81"/>
      <c r="CO23" s="81"/>
      <c r="CP23" s="81"/>
      <c r="CQ23" s="81"/>
      <c r="CR23" s="81">
        <v>299.77128219367148</v>
      </c>
      <c r="CS23" s="81"/>
      <c r="CT23" s="81"/>
      <c r="CU23" s="81"/>
      <c r="CV23" s="81"/>
      <c r="CW23" s="81"/>
      <c r="CX23" s="81"/>
      <c r="CY23" s="81"/>
      <c r="CZ23" s="81"/>
      <c r="DA23" s="81"/>
      <c r="DB23" s="81"/>
      <c r="DC23" s="81"/>
      <c r="DD23" s="81"/>
      <c r="DE23" s="81"/>
      <c r="DF23" s="81"/>
      <c r="DG23" s="81"/>
      <c r="DH23" s="81"/>
      <c r="DI23" s="81"/>
      <c r="DJ23" s="81"/>
      <c r="DK23" s="81"/>
      <c r="DL23" s="81"/>
      <c r="DM23" s="81"/>
      <c r="DN23" s="81"/>
      <c r="DO23" s="81"/>
      <c r="DP23" s="81"/>
      <c r="DQ23" s="81"/>
      <c r="DR23" s="81"/>
      <c r="DS23" s="81"/>
      <c r="DT23" s="81"/>
      <c r="DU23" s="81"/>
      <c r="DV23" s="81"/>
      <c r="DW23" s="81"/>
      <c r="DX23" s="81"/>
      <c r="DY23" s="81"/>
      <c r="DZ23" s="81"/>
      <c r="EA23" s="81"/>
      <c r="EB23" s="81"/>
      <c r="EC23" s="81"/>
      <c r="ED23" s="81"/>
      <c r="EE23" s="81"/>
      <c r="EF23" s="81"/>
      <c r="EG23" s="81"/>
      <c r="EH23" s="81"/>
      <c r="EI23" s="81"/>
      <c r="EJ23" s="81"/>
      <c r="EK23" s="81"/>
      <c r="EL23" s="81"/>
      <c r="EM23" s="81"/>
      <c r="EN23" s="81"/>
      <c r="EO23" s="81"/>
      <c r="EP23" s="81"/>
      <c r="EQ23" s="81"/>
      <c r="ER23" s="81"/>
      <c r="ES23" s="81"/>
      <c r="ET23" s="81"/>
      <c r="EU23" s="81"/>
      <c r="EV23" s="81"/>
      <c r="EW23" s="81"/>
      <c r="EX23" s="81"/>
      <c r="EY23" s="81"/>
      <c r="EZ23" s="81"/>
      <c r="FA23" s="81"/>
      <c r="FB23" s="81"/>
      <c r="FC23" s="81"/>
      <c r="FD23" s="81"/>
      <c r="FE23" s="81"/>
      <c r="FF23" s="81"/>
      <c r="FG23" s="81"/>
      <c r="FH23" s="81"/>
      <c r="FI23" s="81"/>
      <c r="FJ23" s="81"/>
      <c r="FK23" s="81"/>
      <c r="FL23" s="81"/>
      <c r="FM23" s="81"/>
      <c r="FN23" s="81"/>
      <c r="FO23" s="81"/>
      <c r="FP23" s="81"/>
      <c r="FQ23" s="81"/>
      <c r="FR23" s="81"/>
      <c r="FS23" s="81"/>
      <c r="FT23" s="81"/>
      <c r="FU23" s="81"/>
      <c r="FV23" s="81">
        <v>299.77128219367148</v>
      </c>
      <c r="FW23" s="81"/>
      <c r="FX23" s="86"/>
      <c r="FY23" s="81"/>
      <c r="FZ23" s="81"/>
      <c r="GA23" s="81"/>
      <c r="GB23" s="81"/>
      <c r="GC23" s="81"/>
      <c r="GD23" s="81"/>
      <c r="GE23" s="81"/>
      <c r="GF23" s="81"/>
      <c r="GG23" s="81"/>
      <c r="GH23" s="81"/>
    </row>
    <row r="24" spans="1:190" x14ac:dyDescent="0.2">
      <c r="A24" s="82" t="s">
        <v>237</v>
      </c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  <c r="AQ24" s="81"/>
      <c r="AR24" s="81"/>
      <c r="AS24" s="81"/>
      <c r="AT24" s="81"/>
      <c r="AU24" s="81"/>
      <c r="AV24" s="81"/>
      <c r="AW24" s="81"/>
      <c r="AX24" s="81"/>
      <c r="AY24" s="81"/>
      <c r="AZ24" s="81"/>
      <c r="BA24" s="81"/>
      <c r="BB24" s="81"/>
      <c r="BC24" s="81"/>
      <c r="BD24" s="81"/>
      <c r="BE24" s="81"/>
      <c r="BF24" s="81"/>
      <c r="BG24" s="81"/>
      <c r="BH24" s="81"/>
      <c r="BI24" s="81"/>
      <c r="BJ24" s="81"/>
      <c r="BK24" s="81"/>
      <c r="BL24" s="81"/>
      <c r="BM24" s="81"/>
      <c r="BN24" s="81"/>
      <c r="BO24" s="81"/>
      <c r="BP24" s="81"/>
      <c r="BQ24" s="81"/>
      <c r="BR24" s="81"/>
      <c r="BS24" s="81"/>
      <c r="BT24" s="81"/>
      <c r="BU24" s="81"/>
      <c r="BV24" s="81"/>
      <c r="BW24" s="81"/>
      <c r="BX24" s="81"/>
      <c r="BY24" s="81"/>
      <c r="BZ24" s="81"/>
      <c r="CA24" s="81"/>
      <c r="CB24" s="81"/>
      <c r="CC24" s="81"/>
      <c r="CD24" s="81"/>
      <c r="CE24" s="81"/>
      <c r="CF24" s="81"/>
      <c r="CG24" s="81"/>
      <c r="CH24" s="81"/>
      <c r="CI24" s="81"/>
      <c r="CJ24" s="81"/>
      <c r="CK24" s="81"/>
      <c r="CL24" s="81"/>
      <c r="CM24" s="81"/>
      <c r="CN24" s="81"/>
      <c r="CO24" s="81"/>
      <c r="CP24" s="81"/>
      <c r="CQ24" s="81"/>
      <c r="CR24" s="81"/>
      <c r="CS24" s="81">
        <v>167.98515370707401</v>
      </c>
      <c r="CT24" s="81"/>
      <c r="CU24" s="81"/>
      <c r="CV24" s="81"/>
      <c r="CW24" s="81"/>
      <c r="CX24" s="81"/>
      <c r="CY24" s="81"/>
      <c r="CZ24" s="81"/>
      <c r="DA24" s="81"/>
      <c r="DB24" s="81"/>
      <c r="DC24" s="81"/>
      <c r="DD24" s="81"/>
      <c r="DE24" s="81"/>
      <c r="DF24" s="81"/>
      <c r="DG24" s="81"/>
      <c r="DH24" s="81"/>
      <c r="DI24" s="81"/>
      <c r="DJ24" s="81"/>
      <c r="DK24" s="81"/>
      <c r="DL24" s="81"/>
      <c r="DM24" s="81"/>
      <c r="DN24" s="81"/>
      <c r="DO24" s="81"/>
      <c r="DP24" s="81"/>
      <c r="DQ24" s="81"/>
      <c r="DR24" s="81"/>
      <c r="DS24" s="81"/>
      <c r="DT24" s="81"/>
      <c r="DU24" s="81"/>
      <c r="DV24" s="81"/>
      <c r="DW24" s="81"/>
      <c r="DX24" s="81"/>
      <c r="DY24" s="81"/>
      <c r="DZ24" s="81"/>
      <c r="EA24" s="81"/>
      <c r="EB24" s="81"/>
      <c r="EC24" s="81"/>
      <c r="ED24" s="81"/>
      <c r="EE24" s="81"/>
      <c r="EF24" s="81"/>
      <c r="EG24" s="81"/>
      <c r="EH24" s="81"/>
      <c r="EI24" s="81"/>
      <c r="EJ24" s="81"/>
      <c r="EK24" s="81"/>
      <c r="EL24" s="81"/>
      <c r="EM24" s="81"/>
      <c r="EN24" s="81"/>
      <c r="EO24" s="81"/>
      <c r="EP24" s="81"/>
      <c r="EQ24" s="81"/>
      <c r="ER24" s="81"/>
      <c r="ES24" s="81"/>
      <c r="ET24" s="81"/>
      <c r="EU24" s="81"/>
      <c r="EV24" s="81"/>
      <c r="EW24" s="81"/>
      <c r="EX24" s="81"/>
      <c r="EY24" s="81"/>
      <c r="EZ24" s="81"/>
      <c r="FA24" s="81"/>
      <c r="FB24" s="81"/>
      <c r="FC24" s="81"/>
      <c r="FD24" s="81"/>
      <c r="FE24" s="81"/>
      <c r="FF24" s="81"/>
      <c r="FG24" s="81"/>
      <c r="FH24" s="81"/>
      <c r="FI24" s="81"/>
      <c r="FJ24" s="81"/>
      <c r="FK24" s="81"/>
      <c r="FL24" s="81"/>
      <c r="FM24" s="81"/>
      <c r="FN24" s="81"/>
      <c r="FO24" s="81"/>
      <c r="FP24" s="81"/>
      <c r="FQ24" s="81"/>
      <c r="FR24" s="81"/>
      <c r="FS24" s="81"/>
      <c r="FT24" s="81"/>
      <c r="FU24" s="81"/>
      <c r="FV24" s="81">
        <v>167.98515370707401</v>
      </c>
      <c r="FW24" s="81"/>
      <c r="FX24" s="86"/>
      <c r="FY24" s="81"/>
      <c r="FZ24" s="81"/>
      <c r="GA24" s="81"/>
      <c r="GB24" s="81"/>
      <c r="GC24" s="81"/>
      <c r="GD24" s="81"/>
      <c r="GE24" s="81"/>
      <c r="GF24" s="81"/>
      <c r="GG24" s="81"/>
      <c r="GH24" s="81"/>
    </row>
    <row r="25" spans="1:190" x14ac:dyDescent="0.2">
      <c r="A25" s="82" t="s">
        <v>238</v>
      </c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  <c r="AQ25" s="81"/>
      <c r="AR25" s="81"/>
      <c r="AS25" s="81"/>
      <c r="AT25" s="81"/>
      <c r="AU25" s="81"/>
      <c r="AV25" s="81"/>
      <c r="AW25" s="81"/>
      <c r="AX25" s="81"/>
      <c r="AY25" s="81"/>
      <c r="AZ25" s="81"/>
      <c r="BA25" s="81"/>
      <c r="BB25" s="81"/>
      <c r="BC25" s="81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81"/>
      <c r="BQ25" s="81"/>
      <c r="BR25" s="81"/>
      <c r="BS25" s="81"/>
      <c r="BT25" s="81"/>
      <c r="BU25" s="81"/>
      <c r="BV25" s="81"/>
      <c r="BW25" s="81"/>
      <c r="BX25" s="81"/>
      <c r="BY25" s="81"/>
      <c r="BZ25" s="81"/>
      <c r="CA25" s="81"/>
      <c r="CB25" s="81"/>
      <c r="CC25" s="81"/>
      <c r="CD25" s="81"/>
      <c r="CE25" s="81"/>
      <c r="CF25" s="81"/>
      <c r="CG25" s="81"/>
      <c r="CH25" s="81"/>
      <c r="CI25" s="81"/>
      <c r="CJ25" s="81"/>
      <c r="CK25" s="81"/>
      <c r="CL25" s="81"/>
      <c r="CM25" s="81"/>
      <c r="CN25" s="81"/>
      <c r="CO25" s="81"/>
      <c r="CP25" s="81"/>
      <c r="CQ25" s="81"/>
      <c r="CR25" s="81"/>
      <c r="CS25" s="81"/>
      <c r="CT25" s="81">
        <v>106.4825208914865</v>
      </c>
      <c r="CU25" s="81"/>
      <c r="CV25" s="81"/>
      <c r="CW25" s="81"/>
      <c r="CX25" s="81"/>
      <c r="CY25" s="81"/>
      <c r="CZ25" s="81"/>
      <c r="DA25" s="81"/>
      <c r="DB25" s="81"/>
      <c r="DC25" s="81"/>
      <c r="DD25" s="81"/>
      <c r="DE25" s="81"/>
      <c r="DF25" s="81"/>
      <c r="DG25" s="81"/>
      <c r="DH25" s="81"/>
      <c r="DI25" s="81"/>
      <c r="DJ25" s="81"/>
      <c r="DK25" s="81"/>
      <c r="DL25" s="81"/>
      <c r="DM25" s="81"/>
      <c r="DN25" s="81"/>
      <c r="DO25" s="81"/>
      <c r="DP25" s="81"/>
      <c r="DQ25" s="81"/>
      <c r="DR25" s="81"/>
      <c r="DS25" s="81"/>
      <c r="DT25" s="81"/>
      <c r="DU25" s="81"/>
      <c r="DV25" s="81"/>
      <c r="DW25" s="81"/>
      <c r="DX25" s="81"/>
      <c r="DY25" s="81"/>
      <c r="DZ25" s="81"/>
      <c r="EA25" s="81"/>
      <c r="EB25" s="81"/>
      <c r="EC25" s="81"/>
      <c r="ED25" s="81"/>
      <c r="EE25" s="81"/>
      <c r="EF25" s="81"/>
      <c r="EG25" s="81"/>
      <c r="EH25" s="81"/>
      <c r="EI25" s="81"/>
      <c r="EJ25" s="81"/>
      <c r="EK25" s="81"/>
      <c r="EL25" s="81"/>
      <c r="EM25" s="81"/>
      <c r="EN25" s="81"/>
      <c r="EO25" s="81"/>
      <c r="EP25" s="81"/>
      <c r="EQ25" s="81"/>
      <c r="ER25" s="81"/>
      <c r="ES25" s="81"/>
      <c r="ET25" s="81"/>
      <c r="EU25" s="81"/>
      <c r="EV25" s="81"/>
      <c r="EW25" s="81"/>
      <c r="EX25" s="81"/>
      <c r="EY25" s="81"/>
      <c r="EZ25" s="81"/>
      <c r="FA25" s="81"/>
      <c r="FB25" s="81"/>
      <c r="FC25" s="81"/>
      <c r="FD25" s="81"/>
      <c r="FE25" s="81"/>
      <c r="FF25" s="81"/>
      <c r="FG25" s="81"/>
      <c r="FH25" s="81"/>
      <c r="FI25" s="81"/>
      <c r="FJ25" s="81"/>
      <c r="FK25" s="81"/>
      <c r="FL25" s="81"/>
      <c r="FM25" s="81"/>
      <c r="FN25" s="81"/>
      <c r="FO25" s="81"/>
      <c r="FP25" s="81"/>
      <c r="FQ25" s="81"/>
      <c r="FR25" s="81"/>
      <c r="FS25" s="81"/>
      <c r="FT25" s="81"/>
      <c r="FU25" s="81"/>
      <c r="FV25" s="81">
        <v>106.4825208914865</v>
      </c>
      <c r="FW25" s="81"/>
      <c r="FX25" s="86"/>
      <c r="FY25" s="81"/>
      <c r="FZ25" s="81"/>
      <c r="GA25" s="81"/>
      <c r="GB25" s="81"/>
      <c r="GC25" s="81"/>
      <c r="GD25" s="81"/>
      <c r="GE25" s="81"/>
      <c r="GF25" s="81"/>
      <c r="GG25" s="81"/>
      <c r="GH25" s="81"/>
    </row>
    <row r="26" spans="1:190" x14ac:dyDescent="0.2">
      <c r="A26" s="82" t="s">
        <v>239</v>
      </c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  <c r="AQ26" s="81"/>
      <c r="AR26" s="81"/>
      <c r="AS26" s="81"/>
      <c r="AT26" s="81"/>
      <c r="AU26" s="81"/>
      <c r="AV26" s="81"/>
      <c r="AW26" s="81"/>
      <c r="AX26" s="81"/>
      <c r="AY26" s="81"/>
      <c r="AZ26" s="81"/>
      <c r="BA26" s="81"/>
      <c r="BB26" s="81"/>
      <c r="BC26" s="81"/>
      <c r="BD26" s="81"/>
      <c r="BE26" s="81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81"/>
      <c r="BQ26" s="81"/>
      <c r="BR26" s="81"/>
      <c r="BS26" s="81"/>
      <c r="BT26" s="81"/>
      <c r="BU26" s="81"/>
      <c r="BV26" s="81"/>
      <c r="BW26" s="81"/>
      <c r="BX26" s="81"/>
      <c r="BY26" s="81"/>
      <c r="BZ26" s="81"/>
      <c r="CA26" s="81"/>
      <c r="CB26" s="81"/>
      <c r="CC26" s="81"/>
      <c r="CD26" s="81"/>
      <c r="CE26" s="81"/>
      <c r="CF26" s="81"/>
      <c r="CG26" s="81"/>
      <c r="CH26" s="81"/>
      <c r="CI26" s="81"/>
      <c r="CJ26" s="81"/>
      <c r="CK26" s="81"/>
      <c r="CL26" s="81"/>
      <c r="CM26" s="81"/>
      <c r="CN26" s="81"/>
      <c r="CO26" s="81"/>
      <c r="CP26" s="81"/>
      <c r="CQ26" s="81"/>
      <c r="CR26" s="81"/>
      <c r="CS26" s="81"/>
      <c r="CT26" s="81"/>
      <c r="CU26" s="81">
        <v>24.669296424017034</v>
      </c>
      <c r="CV26" s="81"/>
      <c r="CW26" s="81"/>
      <c r="CX26" s="81"/>
      <c r="CY26" s="81"/>
      <c r="CZ26" s="81"/>
      <c r="DA26" s="81"/>
      <c r="DB26" s="81"/>
      <c r="DC26" s="81"/>
      <c r="DD26" s="81"/>
      <c r="DE26" s="81"/>
      <c r="DF26" s="81"/>
      <c r="DG26" s="81"/>
      <c r="DH26" s="81"/>
      <c r="DI26" s="81"/>
      <c r="DJ26" s="81"/>
      <c r="DK26" s="81"/>
      <c r="DL26" s="81"/>
      <c r="DM26" s="81"/>
      <c r="DN26" s="81"/>
      <c r="DO26" s="81"/>
      <c r="DP26" s="81"/>
      <c r="DQ26" s="81"/>
      <c r="DR26" s="81"/>
      <c r="DS26" s="81"/>
      <c r="DT26" s="81"/>
      <c r="DU26" s="81"/>
      <c r="DV26" s="81"/>
      <c r="DW26" s="81"/>
      <c r="DX26" s="81"/>
      <c r="DY26" s="81"/>
      <c r="DZ26" s="81"/>
      <c r="EA26" s="81"/>
      <c r="EB26" s="81"/>
      <c r="EC26" s="81"/>
      <c r="ED26" s="81"/>
      <c r="EE26" s="81"/>
      <c r="EF26" s="81"/>
      <c r="EG26" s="81"/>
      <c r="EH26" s="81"/>
      <c r="EI26" s="81"/>
      <c r="EJ26" s="81"/>
      <c r="EK26" s="81"/>
      <c r="EL26" s="81"/>
      <c r="EM26" s="81"/>
      <c r="EN26" s="81"/>
      <c r="EO26" s="81"/>
      <c r="EP26" s="81"/>
      <c r="EQ26" s="81"/>
      <c r="ER26" s="81"/>
      <c r="ES26" s="81"/>
      <c r="ET26" s="81"/>
      <c r="EU26" s="81"/>
      <c r="EV26" s="81"/>
      <c r="EW26" s="81"/>
      <c r="EX26" s="81"/>
      <c r="EY26" s="81"/>
      <c r="EZ26" s="81"/>
      <c r="FA26" s="81"/>
      <c r="FB26" s="81"/>
      <c r="FC26" s="81"/>
      <c r="FD26" s="81"/>
      <c r="FE26" s="81"/>
      <c r="FF26" s="81"/>
      <c r="FG26" s="81"/>
      <c r="FH26" s="81"/>
      <c r="FI26" s="81"/>
      <c r="FJ26" s="81"/>
      <c r="FK26" s="81"/>
      <c r="FL26" s="81"/>
      <c r="FM26" s="81"/>
      <c r="FN26" s="81"/>
      <c r="FO26" s="81"/>
      <c r="FP26" s="81"/>
      <c r="FQ26" s="81"/>
      <c r="FR26" s="81"/>
      <c r="FS26" s="81"/>
      <c r="FT26" s="81"/>
      <c r="FU26" s="81"/>
      <c r="FV26" s="81">
        <v>24.669296424017034</v>
      </c>
      <c r="FW26" s="81"/>
      <c r="FX26" s="86"/>
      <c r="FY26" s="81"/>
      <c r="FZ26" s="81"/>
      <c r="GA26" s="81"/>
      <c r="GB26" s="81"/>
      <c r="GC26" s="81"/>
      <c r="GD26" s="81"/>
      <c r="GE26" s="81"/>
      <c r="GF26" s="81"/>
      <c r="GG26" s="81"/>
      <c r="GH26" s="81"/>
    </row>
    <row r="27" spans="1:190" x14ac:dyDescent="0.2">
      <c r="A27" s="82" t="s">
        <v>240</v>
      </c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1"/>
      <c r="BF27" s="81"/>
      <c r="BG27" s="81"/>
      <c r="BH27" s="81"/>
      <c r="BI27" s="81"/>
      <c r="BJ27" s="81"/>
      <c r="BK27" s="81"/>
      <c r="BL27" s="81"/>
      <c r="BM27" s="81"/>
      <c r="BN27" s="81"/>
      <c r="BO27" s="81"/>
      <c r="BP27" s="81"/>
      <c r="BQ27" s="81"/>
      <c r="BR27" s="81"/>
      <c r="BS27" s="81"/>
      <c r="BT27" s="81"/>
      <c r="BU27" s="81"/>
      <c r="BV27" s="81"/>
      <c r="BW27" s="81"/>
      <c r="BX27" s="81"/>
      <c r="BY27" s="81"/>
      <c r="BZ27" s="81"/>
      <c r="CA27" s="81"/>
      <c r="CB27" s="81"/>
      <c r="CC27" s="81"/>
      <c r="CD27" s="81"/>
      <c r="CE27" s="81"/>
      <c r="CF27" s="81"/>
      <c r="CG27" s="81"/>
      <c r="CH27" s="81"/>
      <c r="CI27" s="81"/>
      <c r="CJ27" s="81"/>
      <c r="CK27" s="81"/>
      <c r="CL27" s="81"/>
      <c r="CM27" s="81"/>
      <c r="CN27" s="81"/>
      <c r="CO27" s="81"/>
      <c r="CP27" s="81"/>
      <c r="CQ27" s="81"/>
      <c r="CR27" s="81"/>
      <c r="CS27" s="81"/>
      <c r="CT27" s="81"/>
      <c r="CU27" s="81"/>
      <c r="CV27" s="81">
        <v>2.2966605059375476</v>
      </c>
      <c r="CW27" s="81"/>
      <c r="CX27" s="81"/>
      <c r="CY27" s="81"/>
      <c r="CZ27" s="81"/>
      <c r="DA27" s="81"/>
      <c r="DB27" s="81"/>
      <c r="DC27" s="81"/>
      <c r="DD27" s="81"/>
      <c r="DE27" s="81"/>
      <c r="DF27" s="81"/>
      <c r="DG27" s="81"/>
      <c r="DH27" s="81"/>
      <c r="DI27" s="81"/>
      <c r="DJ27" s="81"/>
      <c r="DK27" s="81"/>
      <c r="DL27" s="81"/>
      <c r="DM27" s="81"/>
      <c r="DN27" s="81"/>
      <c r="DO27" s="81"/>
      <c r="DP27" s="81"/>
      <c r="DQ27" s="81"/>
      <c r="DR27" s="81"/>
      <c r="DS27" s="81"/>
      <c r="DT27" s="81"/>
      <c r="DU27" s="81"/>
      <c r="DV27" s="81"/>
      <c r="DW27" s="81"/>
      <c r="DX27" s="81"/>
      <c r="DY27" s="81"/>
      <c r="DZ27" s="81"/>
      <c r="EA27" s="81"/>
      <c r="EB27" s="81"/>
      <c r="EC27" s="81"/>
      <c r="ED27" s="81"/>
      <c r="EE27" s="81"/>
      <c r="EF27" s="81"/>
      <c r="EG27" s="81"/>
      <c r="EH27" s="81"/>
      <c r="EI27" s="81"/>
      <c r="EJ27" s="81"/>
      <c r="EK27" s="81"/>
      <c r="EL27" s="81"/>
      <c r="EM27" s="81"/>
      <c r="EN27" s="81"/>
      <c r="EO27" s="81"/>
      <c r="EP27" s="81"/>
      <c r="EQ27" s="81"/>
      <c r="ER27" s="81"/>
      <c r="ES27" s="81"/>
      <c r="ET27" s="81"/>
      <c r="EU27" s="81"/>
      <c r="EV27" s="81"/>
      <c r="EW27" s="81"/>
      <c r="EX27" s="81"/>
      <c r="EY27" s="81"/>
      <c r="EZ27" s="81"/>
      <c r="FA27" s="81"/>
      <c r="FB27" s="81"/>
      <c r="FC27" s="81"/>
      <c r="FD27" s="81"/>
      <c r="FE27" s="81"/>
      <c r="FF27" s="81"/>
      <c r="FG27" s="81"/>
      <c r="FH27" s="81"/>
      <c r="FI27" s="81"/>
      <c r="FJ27" s="81"/>
      <c r="FK27" s="81"/>
      <c r="FL27" s="81"/>
      <c r="FM27" s="81"/>
      <c r="FN27" s="81"/>
      <c r="FO27" s="81"/>
      <c r="FP27" s="81"/>
      <c r="FQ27" s="81"/>
      <c r="FR27" s="81"/>
      <c r="FS27" s="81"/>
      <c r="FT27" s="81"/>
      <c r="FU27" s="81"/>
      <c r="FV27" s="81">
        <v>2.2966605059375476</v>
      </c>
      <c r="FW27" s="81"/>
      <c r="FX27" s="86"/>
      <c r="FY27" s="81"/>
      <c r="FZ27" s="81"/>
      <c r="GA27" s="81"/>
      <c r="GB27" s="81"/>
      <c r="GC27" s="81"/>
      <c r="GD27" s="81"/>
      <c r="GE27" s="81"/>
      <c r="GF27" s="81"/>
      <c r="GG27" s="81"/>
      <c r="GH27" s="81"/>
    </row>
    <row r="28" spans="1:190" x14ac:dyDescent="0.2">
      <c r="A28" s="82" t="s">
        <v>241</v>
      </c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  <c r="AQ28" s="81"/>
      <c r="AR28" s="81"/>
      <c r="AS28" s="81"/>
      <c r="AT28" s="81"/>
      <c r="AU28" s="81"/>
      <c r="AV28" s="81"/>
      <c r="AW28" s="81"/>
      <c r="AX28" s="81"/>
      <c r="AY28" s="81"/>
      <c r="AZ28" s="81"/>
      <c r="BA28" s="81"/>
      <c r="BB28" s="81"/>
      <c r="BC28" s="81"/>
      <c r="BD28" s="81"/>
      <c r="BE28" s="81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81"/>
      <c r="BQ28" s="81"/>
      <c r="BR28" s="81"/>
      <c r="BS28" s="81"/>
      <c r="BT28" s="81"/>
      <c r="BU28" s="81"/>
      <c r="BV28" s="81"/>
      <c r="BW28" s="81"/>
      <c r="BX28" s="81"/>
      <c r="BY28" s="81"/>
      <c r="BZ28" s="81"/>
      <c r="CA28" s="81"/>
      <c r="CB28" s="81"/>
      <c r="CC28" s="81"/>
      <c r="CD28" s="81"/>
      <c r="CE28" s="81"/>
      <c r="CF28" s="81"/>
      <c r="CG28" s="81"/>
      <c r="CH28" s="81"/>
      <c r="CI28" s="81"/>
      <c r="CJ28" s="81"/>
      <c r="CK28" s="81"/>
      <c r="CL28" s="81"/>
      <c r="CM28" s="81"/>
      <c r="CN28" s="81"/>
      <c r="CO28" s="81"/>
      <c r="CP28" s="81"/>
      <c r="CQ28" s="81"/>
      <c r="CR28" s="81"/>
      <c r="CS28" s="81"/>
      <c r="CT28" s="81"/>
      <c r="CU28" s="81"/>
      <c r="CV28" s="81"/>
      <c r="CW28" s="81">
        <v>80.329639102197291</v>
      </c>
      <c r="CX28" s="81"/>
      <c r="CY28" s="81"/>
      <c r="CZ28" s="81"/>
      <c r="DA28" s="81"/>
      <c r="DB28" s="81"/>
      <c r="DC28" s="81"/>
      <c r="DD28" s="81"/>
      <c r="DE28" s="81"/>
      <c r="DF28" s="81"/>
      <c r="DG28" s="81"/>
      <c r="DH28" s="81"/>
      <c r="DI28" s="81"/>
      <c r="DJ28" s="81"/>
      <c r="DK28" s="81"/>
      <c r="DL28" s="81"/>
      <c r="DM28" s="81"/>
      <c r="DN28" s="81"/>
      <c r="DO28" s="81"/>
      <c r="DP28" s="81"/>
      <c r="DQ28" s="81"/>
      <c r="DR28" s="81"/>
      <c r="DS28" s="81"/>
      <c r="DT28" s="81"/>
      <c r="DU28" s="81"/>
      <c r="DV28" s="81"/>
      <c r="DW28" s="81"/>
      <c r="DX28" s="81"/>
      <c r="DY28" s="81"/>
      <c r="DZ28" s="81"/>
      <c r="EA28" s="81"/>
      <c r="EB28" s="81"/>
      <c r="EC28" s="81"/>
      <c r="ED28" s="81"/>
      <c r="EE28" s="81"/>
      <c r="EF28" s="81"/>
      <c r="EG28" s="81"/>
      <c r="EH28" s="81"/>
      <c r="EI28" s="81"/>
      <c r="EJ28" s="81"/>
      <c r="EK28" s="81"/>
      <c r="EL28" s="81"/>
      <c r="EM28" s="81"/>
      <c r="EN28" s="81"/>
      <c r="EO28" s="81"/>
      <c r="EP28" s="81"/>
      <c r="EQ28" s="81"/>
      <c r="ER28" s="81"/>
      <c r="ES28" s="81"/>
      <c r="ET28" s="81"/>
      <c r="EU28" s="81"/>
      <c r="EV28" s="81"/>
      <c r="EW28" s="81"/>
      <c r="EX28" s="81"/>
      <c r="EY28" s="81"/>
      <c r="EZ28" s="81"/>
      <c r="FA28" s="81"/>
      <c r="FB28" s="81"/>
      <c r="FC28" s="81"/>
      <c r="FD28" s="81"/>
      <c r="FE28" s="81"/>
      <c r="FF28" s="81"/>
      <c r="FG28" s="81"/>
      <c r="FH28" s="81"/>
      <c r="FI28" s="81"/>
      <c r="FJ28" s="81"/>
      <c r="FK28" s="81"/>
      <c r="FL28" s="81"/>
      <c r="FM28" s="81"/>
      <c r="FN28" s="81"/>
      <c r="FO28" s="81"/>
      <c r="FP28" s="81"/>
      <c r="FQ28" s="81"/>
      <c r="FR28" s="81"/>
      <c r="FS28" s="81"/>
      <c r="FT28" s="81"/>
      <c r="FU28" s="81"/>
      <c r="FV28" s="81">
        <v>80.329639102197291</v>
      </c>
      <c r="FW28" s="81"/>
      <c r="FX28" s="86"/>
      <c r="FY28" s="81"/>
      <c r="FZ28" s="81"/>
      <c r="GA28" s="81"/>
      <c r="GB28" s="81"/>
      <c r="GC28" s="81"/>
      <c r="GD28" s="81"/>
      <c r="GE28" s="81"/>
      <c r="GF28" s="81"/>
      <c r="GG28" s="81"/>
      <c r="GH28" s="81"/>
    </row>
    <row r="29" spans="1:190" x14ac:dyDescent="0.2">
      <c r="A29" s="82" t="s">
        <v>242</v>
      </c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1"/>
      <c r="AQ29" s="81"/>
      <c r="AR29" s="81"/>
      <c r="AS29" s="81"/>
      <c r="AT29" s="81"/>
      <c r="AU29" s="81"/>
      <c r="AV29" s="81"/>
      <c r="AW29" s="81"/>
      <c r="AX29" s="81"/>
      <c r="AY29" s="81"/>
      <c r="AZ29" s="81"/>
      <c r="BA29" s="81"/>
      <c r="BB29" s="81"/>
      <c r="BC29" s="81"/>
      <c r="BD29" s="81"/>
      <c r="BE29" s="81"/>
      <c r="BF29" s="81"/>
      <c r="BG29" s="81"/>
      <c r="BH29" s="81"/>
      <c r="BI29" s="81"/>
      <c r="BJ29" s="81"/>
      <c r="BK29" s="81"/>
      <c r="BL29" s="81"/>
      <c r="BM29" s="81"/>
      <c r="BN29" s="81"/>
      <c r="BO29" s="81"/>
      <c r="BP29" s="81"/>
      <c r="BQ29" s="81"/>
      <c r="BR29" s="81"/>
      <c r="BS29" s="81"/>
      <c r="BT29" s="81"/>
      <c r="BU29" s="81"/>
      <c r="BV29" s="81"/>
      <c r="BW29" s="81"/>
      <c r="BX29" s="81"/>
      <c r="BY29" s="81"/>
      <c r="BZ29" s="81"/>
      <c r="CA29" s="81"/>
      <c r="CB29" s="81"/>
      <c r="CC29" s="81"/>
      <c r="CD29" s="81"/>
      <c r="CE29" s="81"/>
      <c r="CF29" s="81"/>
      <c r="CG29" s="81"/>
      <c r="CH29" s="81"/>
      <c r="CI29" s="81"/>
      <c r="CJ29" s="81"/>
      <c r="CK29" s="81"/>
      <c r="CL29" s="81"/>
      <c r="CM29" s="81"/>
      <c r="CN29" s="81"/>
      <c r="CO29" s="81"/>
      <c r="CP29" s="81"/>
      <c r="CQ29" s="81"/>
      <c r="CR29" s="81"/>
      <c r="CS29" s="81"/>
      <c r="CT29" s="81"/>
      <c r="CU29" s="81"/>
      <c r="CV29" s="81"/>
      <c r="CW29" s="81"/>
      <c r="CX29" s="81">
        <v>35.344032150776776</v>
      </c>
      <c r="CY29" s="81"/>
      <c r="CZ29" s="81"/>
      <c r="DA29" s="81"/>
      <c r="DB29" s="81"/>
      <c r="DC29" s="81"/>
      <c r="DD29" s="81"/>
      <c r="DE29" s="81"/>
      <c r="DF29" s="81"/>
      <c r="DG29" s="81"/>
      <c r="DH29" s="81"/>
      <c r="DI29" s="81"/>
      <c r="DJ29" s="81"/>
      <c r="DK29" s="81"/>
      <c r="DL29" s="81"/>
      <c r="DM29" s="81"/>
      <c r="DN29" s="81"/>
      <c r="DO29" s="81"/>
      <c r="DP29" s="81"/>
      <c r="DQ29" s="81"/>
      <c r="DR29" s="81"/>
      <c r="DS29" s="81"/>
      <c r="DT29" s="81"/>
      <c r="DU29" s="81"/>
      <c r="DV29" s="81"/>
      <c r="DW29" s="81"/>
      <c r="DX29" s="81"/>
      <c r="DY29" s="81"/>
      <c r="DZ29" s="81"/>
      <c r="EA29" s="81"/>
      <c r="EB29" s="81"/>
      <c r="EC29" s="81"/>
      <c r="ED29" s="81"/>
      <c r="EE29" s="81"/>
      <c r="EF29" s="81"/>
      <c r="EG29" s="81"/>
      <c r="EH29" s="81"/>
      <c r="EI29" s="81"/>
      <c r="EJ29" s="81"/>
      <c r="EK29" s="81"/>
      <c r="EL29" s="81"/>
      <c r="EM29" s="81"/>
      <c r="EN29" s="81"/>
      <c r="EO29" s="81"/>
      <c r="EP29" s="81"/>
      <c r="EQ29" s="81"/>
      <c r="ER29" s="81"/>
      <c r="ES29" s="81"/>
      <c r="ET29" s="81"/>
      <c r="EU29" s="81"/>
      <c r="EV29" s="81"/>
      <c r="EW29" s="81"/>
      <c r="EX29" s="81"/>
      <c r="EY29" s="81"/>
      <c r="EZ29" s="81"/>
      <c r="FA29" s="81"/>
      <c r="FB29" s="81"/>
      <c r="FC29" s="81"/>
      <c r="FD29" s="81"/>
      <c r="FE29" s="81"/>
      <c r="FF29" s="81"/>
      <c r="FG29" s="81"/>
      <c r="FH29" s="81"/>
      <c r="FI29" s="81"/>
      <c r="FJ29" s="81"/>
      <c r="FK29" s="81"/>
      <c r="FL29" s="81"/>
      <c r="FM29" s="81"/>
      <c r="FN29" s="81"/>
      <c r="FO29" s="81"/>
      <c r="FP29" s="81"/>
      <c r="FQ29" s="81"/>
      <c r="FR29" s="81"/>
      <c r="FS29" s="81"/>
      <c r="FT29" s="81"/>
      <c r="FU29" s="81"/>
      <c r="FV29" s="81">
        <v>35.344032150776776</v>
      </c>
      <c r="FW29" s="81"/>
      <c r="FX29" s="86"/>
      <c r="FY29" s="81"/>
      <c r="FZ29" s="81"/>
      <c r="GA29" s="81"/>
      <c r="GB29" s="81"/>
      <c r="GC29" s="81"/>
      <c r="GD29" s="81"/>
      <c r="GE29" s="81"/>
      <c r="GF29" s="81"/>
      <c r="GG29" s="81"/>
      <c r="GH29" s="81"/>
    </row>
    <row r="30" spans="1:190" x14ac:dyDescent="0.2">
      <c r="A30" s="82" t="s">
        <v>243</v>
      </c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  <c r="AQ30" s="81"/>
      <c r="AR30" s="81"/>
      <c r="AS30" s="81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81"/>
      <c r="BG30" s="81"/>
      <c r="BH30" s="81"/>
      <c r="BI30" s="81"/>
      <c r="BJ30" s="81"/>
      <c r="BK30" s="81"/>
      <c r="BL30" s="81"/>
      <c r="BM30" s="81"/>
      <c r="BN30" s="81"/>
      <c r="BO30" s="81"/>
      <c r="BP30" s="81"/>
      <c r="BQ30" s="81"/>
      <c r="BR30" s="81"/>
      <c r="BS30" s="81"/>
      <c r="BT30" s="81"/>
      <c r="BU30" s="81"/>
      <c r="BV30" s="81"/>
      <c r="BW30" s="81"/>
      <c r="BX30" s="81"/>
      <c r="BY30" s="81"/>
      <c r="BZ30" s="81"/>
      <c r="CA30" s="81"/>
      <c r="CB30" s="81"/>
      <c r="CC30" s="81"/>
      <c r="CD30" s="81"/>
      <c r="CE30" s="81"/>
      <c r="CF30" s="81"/>
      <c r="CG30" s="81"/>
      <c r="CH30" s="81"/>
      <c r="CI30" s="81"/>
      <c r="CJ30" s="81"/>
      <c r="CK30" s="81"/>
      <c r="CL30" s="81"/>
      <c r="CM30" s="81"/>
      <c r="CN30" s="81"/>
      <c r="CO30" s="81"/>
      <c r="CP30" s="81"/>
      <c r="CQ30" s="81"/>
      <c r="CR30" s="81"/>
      <c r="CS30" s="81"/>
      <c r="CT30" s="81"/>
      <c r="CU30" s="81"/>
      <c r="CV30" s="81"/>
      <c r="CW30" s="81"/>
      <c r="CX30" s="81"/>
      <c r="CY30" s="81">
        <v>60.347296220355872</v>
      </c>
      <c r="CZ30" s="81"/>
      <c r="DA30" s="81"/>
      <c r="DB30" s="81"/>
      <c r="DC30" s="81"/>
      <c r="DD30" s="81"/>
      <c r="DE30" s="81"/>
      <c r="DF30" s="81"/>
      <c r="DG30" s="81"/>
      <c r="DH30" s="81"/>
      <c r="DI30" s="81"/>
      <c r="DJ30" s="81"/>
      <c r="DK30" s="81"/>
      <c r="DL30" s="81"/>
      <c r="DM30" s="81"/>
      <c r="DN30" s="81"/>
      <c r="DO30" s="81"/>
      <c r="DP30" s="81"/>
      <c r="DQ30" s="81"/>
      <c r="DR30" s="81"/>
      <c r="DS30" s="81"/>
      <c r="DT30" s="81"/>
      <c r="DU30" s="81"/>
      <c r="DV30" s="81"/>
      <c r="DW30" s="81"/>
      <c r="DX30" s="81"/>
      <c r="DY30" s="81"/>
      <c r="DZ30" s="81"/>
      <c r="EA30" s="81"/>
      <c r="EB30" s="81"/>
      <c r="EC30" s="81"/>
      <c r="ED30" s="81"/>
      <c r="EE30" s="81"/>
      <c r="EF30" s="81"/>
      <c r="EG30" s="81"/>
      <c r="EH30" s="81"/>
      <c r="EI30" s="81"/>
      <c r="EJ30" s="81"/>
      <c r="EK30" s="81"/>
      <c r="EL30" s="81"/>
      <c r="EM30" s="81"/>
      <c r="EN30" s="81"/>
      <c r="EO30" s="81"/>
      <c r="EP30" s="81"/>
      <c r="EQ30" s="81"/>
      <c r="ER30" s="81"/>
      <c r="ES30" s="81"/>
      <c r="ET30" s="81"/>
      <c r="EU30" s="81"/>
      <c r="EV30" s="81"/>
      <c r="EW30" s="81"/>
      <c r="EX30" s="81"/>
      <c r="EY30" s="81"/>
      <c r="EZ30" s="81"/>
      <c r="FA30" s="81"/>
      <c r="FB30" s="81"/>
      <c r="FC30" s="81"/>
      <c r="FD30" s="81"/>
      <c r="FE30" s="81"/>
      <c r="FF30" s="81"/>
      <c r="FG30" s="81"/>
      <c r="FH30" s="81"/>
      <c r="FI30" s="81"/>
      <c r="FJ30" s="81"/>
      <c r="FK30" s="81"/>
      <c r="FL30" s="81"/>
      <c r="FM30" s="81"/>
      <c r="FN30" s="81"/>
      <c r="FO30" s="81"/>
      <c r="FP30" s="81"/>
      <c r="FQ30" s="81"/>
      <c r="FR30" s="81"/>
      <c r="FS30" s="81"/>
      <c r="FT30" s="81"/>
      <c r="FU30" s="81"/>
      <c r="FV30" s="81">
        <v>60.347296220355872</v>
      </c>
      <c r="FW30" s="81"/>
      <c r="FX30" s="86"/>
      <c r="FY30" s="81"/>
      <c r="FZ30" s="81"/>
      <c r="GA30" s="81"/>
      <c r="GB30" s="81"/>
      <c r="GC30" s="81"/>
      <c r="GD30" s="81"/>
      <c r="GE30" s="81"/>
      <c r="GF30" s="81"/>
      <c r="GG30" s="81"/>
      <c r="GH30" s="81"/>
    </row>
    <row r="31" spans="1:190" x14ac:dyDescent="0.2">
      <c r="A31" s="82" t="s">
        <v>244</v>
      </c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  <c r="AQ31" s="81"/>
      <c r="AR31" s="81"/>
      <c r="AS31" s="81"/>
      <c r="AT31" s="81"/>
      <c r="AU31" s="81"/>
      <c r="AV31" s="81"/>
      <c r="AW31" s="81"/>
      <c r="AX31" s="81"/>
      <c r="AY31" s="81"/>
      <c r="AZ31" s="81"/>
      <c r="BA31" s="81"/>
      <c r="BB31" s="81"/>
      <c r="BC31" s="81"/>
      <c r="BD31" s="81"/>
      <c r="BE31" s="81"/>
      <c r="BF31" s="81"/>
      <c r="BG31" s="81"/>
      <c r="BH31" s="81"/>
      <c r="BI31" s="81"/>
      <c r="BJ31" s="81"/>
      <c r="BK31" s="81"/>
      <c r="BL31" s="81"/>
      <c r="BM31" s="81"/>
      <c r="BN31" s="81"/>
      <c r="BO31" s="81"/>
      <c r="BP31" s="81"/>
      <c r="BQ31" s="81"/>
      <c r="BR31" s="81"/>
      <c r="BS31" s="81"/>
      <c r="BT31" s="81"/>
      <c r="BU31" s="81"/>
      <c r="BV31" s="81"/>
      <c r="BW31" s="81"/>
      <c r="BX31" s="81"/>
      <c r="BY31" s="81"/>
      <c r="BZ31" s="81"/>
      <c r="CA31" s="81"/>
      <c r="CB31" s="81"/>
      <c r="CC31" s="81"/>
      <c r="CD31" s="81"/>
      <c r="CE31" s="81"/>
      <c r="CF31" s="81"/>
      <c r="CG31" s="81"/>
      <c r="CH31" s="81"/>
      <c r="CI31" s="81"/>
      <c r="CJ31" s="81"/>
      <c r="CK31" s="81"/>
      <c r="CL31" s="81"/>
      <c r="CM31" s="81"/>
      <c r="CN31" s="81"/>
      <c r="CO31" s="81"/>
      <c r="CP31" s="81"/>
      <c r="CQ31" s="81"/>
      <c r="CR31" s="81"/>
      <c r="CS31" s="81"/>
      <c r="CT31" s="81"/>
      <c r="CU31" s="81"/>
      <c r="CV31" s="81"/>
      <c r="CW31" s="81"/>
      <c r="CX31" s="81"/>
      <c r="CY31" s="81"/>
      <c r="CZ31" s="81">
        <v>9.1416252497754105</v>
      </c>
      <c r="DA31" s="81"/>
      <c r="DB31" s="81"/>
      <c r="DC31" s="81"/>
      <c r="DD31" s="81"/>
      <c r="DE31" s="81"/>
      <c r="DF31" s="81"/>
      <c r="DG31" s="81"/>
      <c r="DH31" s="81"/>
      <c r="DI31" s="81"/>
      <c r="DJ31" s="81"/>
      <c r="DK31" s="81"/>
      <c r="DL31" s="81"/>
      <c r="DM31" s="81"/>
      <c r="DN31" s="81"/>
      <c r="DO31" s="81"/>
      <c r="DP31" s="81"/>
      <c r="DQ31" s="81"/>
      <c r="DR31" s="81"/>
      <c r="DS31" s="81"/>
      <c r="DT31" s="81"/>
      <c r="DU31" s="81"/>
      <c r="DV31" s="81"/>
      <c r="DW31" s="81"/>
      <c r="DX31" s="81"/>
      <c r="DY31" s="81"/>
      <c r="DZ31" s="81"/>
      <c r="EA31" s="81"/>
      <c r="EB31" s="81"/>
      <c r="EC31" s="81"/>
      <c r="ED31" s="81"/>
      <c r="EE31" s="81"/>
      <c r="EF31" s="81"/>
      <c r="EG31" s="81"/>
      <c r="EH31" s="81"/>
      <c r="EI31" s="81"/>
      <c r="EJ31" s="81"/>
      <c r="EK31" s="81"/>
      <c r="EL31" s="81"/>
      <c r="EM31" s="81"/>
      <c r="EN31" s="81"/>
      <c r="EO31" s="81"/>
      <c r="EP31" s="81"/>
      <c r="EQ31" s="81"/>
      <c r="ER31" s="81"/>
      <c r="ES31" s="81"/>
      <c r="ET31" s="81"/>
      <c r="EU31" s="81"/>
      <c r="EV31" s="81"/>
      <c r="EW31" s="81"/>
      <c r="EX31" s="81"/>
      <c r="EY31" s="81"/>
      <c r="EZ31" s="81"/>
      <c r="FA31" s="81"/>
      <c r="FB31" s="81"/>
      <c r="FC31" s="81"/>
      <c r="FD31" s="81"/>
      <c r="FE31" s="81"/>
      <c r="FF31" s="81"/>
      <c r="FG31" s="81"/>
      <c r="FH31" s="81"/>
      <c r="FI31" s="81"/>
      <c r="FJ31" s="81"/>
      <c r="FK31" s="81"/>
      <c r="FL31" s="81"/>
      <c r="FM31" s="81"/>
      <c r="FN31" s="81"/>
      <c r="FO31" s="81"/>
      <c r="FP31" s="81"/>
      <c r="FQ31" s="81"/>
      <c r="FR31" s="81"/>
      <c r="FS31" s="81"/>
      <c r="FT31" s="81"/>
      <c r="FU31" s="81"/>
      <c r="FV31" s="81">
        <v>9.1416252497754105</v>
      </c>
      <c r="FW31" s="81"/>
      <c r="FX31" s="86"/>
      <c r="FY31" s="81"/>
      <c r="FZ31" s="81"/>
      <c r="GA31" s="81"/>
      <c r="GB31" s="81"/>
      <c r="GC31" s="81"/>
      <c r="GD31" s="81"/>
      <c r="GE31" s="81"/>
      <c r="GF31" s="81"/>
      <c r="GG31" s="81"/>
      <c r="GH31" s="81"/>
    </row>
    <row r="32" spans="1:190" x14ac:dyDescent="0.2">
      <c r="A32" s="82" t="s">
        <v>245</v>
      </c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  <c r="AQ32" s="81"/>
      <c r="AR32" s="81"/>
      <c r="AS32" s="81"/>
      <c r="AT32" s="81"/>
      <c r="AU32" s="81"/>
      <c r="AV32" s="81"/>
      <c r="AW32" s="81"/>
      <c r="AX32" s="81"/>
      <c r="AY32" s="81"/>
      <c r="AZ32" s="81"/>
      <c r="BA32" s="81"/>
      <c r="BB32" s="81"/>
      <c r="BC32" s="81"/>
      <c r="BD32" s="81"/>
      <c r="BE32" s="81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81"/>
      <c r="BQ32" s="81"/>
      <c r="BR32" s="81"/>
      <c r="BS32" s="81"/>
      <c r="BT32" s="81"/>
      <c r="BU32" s="81"/>
      <c r="BV32" s="81"/>
      <c r="BW32" s="81"/>
      <c r="BX32" s="81"/>
      <c r="BY32" s="81"/>
      <c r="BZ32" s="81"/>
      <c r="CA32" s="81"/>
      <c r="CB32" s="81"/>
      <c r="CC32" s="81"/>
      <c r="CD32" s="81"/>
      <c r="CE32" s="81"/>
      <c r="CF32" s="81"/>
      <c r="CG32" s="81"/>
      <c r="CH32" s="81"/>
      <c r="CI32" s="81"/>
      <c r="CJ32" s="81"/>
      <c r="CK32" s="81"/>
      <c r="CL32" s="81"/>
      <c r="CM32" s="81"/>
      <c r="CN32" s="81"/>
      <c r="CO32" s="81"/>
      <c r="CP32" s="81"/>
      <c r="CQ32" s="81"/>
      <c r="CR32" s="81"/>
      <c r="CS32" s="81"/>
      <c r="CT32" s="81"/>
      <c r="CU32" s="81"/>
      <c r="CV32" s="81"/>
      <c r="CW32" s="81"/>
      <c r="CX32" s="81"/>
      <c r="CY32" s="81"/>
      <c r="CZ32" s="81"/>
      <c r="DA32" s="81">
        <v>0.99011215447804135</v>
      </c>
      <c r="DB32" s="81"/>
      <c r="DC32" s="81"/>
      <c r="DD32" s="81"/>
      <c r="DE32" s="81"/>
      <c r="DF32" s="81"/>
      <c r="DG32" s="81"/>
      <c r="DH32" s="81"/>
      <c r="DI32" s="81"/>
      <c r="DJ32" s="81"/>
      <c r="DK32" s="81"/>
      <c r="DL32" s="81"/>
      <c r="DM32" s="81"/>
      <c r="DN32" s="81"/>
      <c r="DO32" s="81"/>
      <c r="DP32" s="81"/>
      <c r="DQ32" s="81"/>
      <c r="DR32" s="81"/>
      <c r="DS32" s="81"/>
      <c r="DT32" s="81"/>
      <c r="DU32" s="81"/>
      <c r="DV32" s="81"/>
      <c r="DW32" s="81"/>
      <c r="DX32" s="81"/>
      <c r="DY32" s="81"/>
      <c r="DZ32" s="81"/>
      <c r="EA32" s="81"/>
      <c r="EB32" s="81"/>
      <c r="EC32" s="81"/>
      <c r="ED32" s="81"/>
      <c r="EE32" s="81"/>
      <c r="EF32" s="81"/>
      <c r="EG32" s="81"/>
      <c r="EH32" s="81"/>
      <c r="EI32" s="81"/>
      <c r="EJ32" s="81"/>
      <c r="EK32" s="81"/>
      <c r="EL32" s="81"/>
      <c r="EM32" s="81"/>
      <c r="EN32" s="81"/>
      <c r="EO32" s="81"/>
      <c r="EP32" s="81"/>
      <c r="EQ32" s="81"/>
      <c r="ER32" s="81"/>
      <c r="ES32" s="81"/>
      <c r="ET32" s="81"/>
      <c r="EU32" s="81"/>
      <c r="EV32" s="81"/>
      <c r="EW32" s="81"/>
      <c r="EX32" s="81"/>
      <c r="EY32" s="81"/>
      <c r="EZ32" s="81"/>
      <c r="FA32" s="81"/>
      <c r="FB32" s="81"/>
      <c r="FC32" s="81"/>
      <c r="FD32" s="81"/>
      <c r="FE32" s="81"/>
      <c r="FF32" s="81"/>
      <c r="FG32" s="81"/>
      <c r="FH32" s="81"/>
      <c r="FI32" s="81"/>
      <c r="FJ32" s="81"/>
      <c r="FK32" s="81"/>
      <c r="FL32" s="81"/>
      <c r="FM32" s="81"/>
      <c r="FN32" s="81"/>
      <c r="FO32" s="81"/>
      <c r="FP32" s="81"/>
      <c r="FQ32" s="81"/>
      <c r="FR32" s="81"/>
      <c r="FS32" s="81"/>
      <c r="FT32" s="81"/>
      <c r="FU32" s="81"/>
      <c r="FV32" s="81">
        <v>0.99011215447804135</v>
      </c>
      <c r="FW32" s="81"/>
      <c r="FX32" s="86"/>
      <c r="FY32" s="81"/>
      <c r="FZ32" s="81"/>
      <c r="GA32" s="81"/>
      <c r="GB32" s="81"/>
      <c r="GC32" s="81"/>
      <c r="GD32" s="81"/>
      <c r="GE32" s="81"/>
      <c r="GF32" s="81"/>
      <c r="GG32" s="81"/>
      <c r="GH32" s="81"/>
    </row>
    <row r="33" spans="1:190" x14ac:dyDescent="0.2">
      <c r="A33" s="82" t="s">
        <v>246</v>
      </c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81"/>
      <c r="BQ33" s="81"/>
      <c r="BR33" s="81"/>
      <c r="BS33" s="81"/>
      <c r="BT33" s="81"/>
      <c r="BU33" s="81"/>
      <c r="BV33" s="81"/>
      <c r="BW33" s="81"/>
      <c r="BX33" s="81"/>
      <c r="BY33" s="81"/>
      <c r="BZ33" s="81"/>
      <c r="CA33" s="81"/>
      <c r="CB33" s="81"/>
      <c r="CC33" s="81"/>
      <c r="CD33" s="81"/>
      <c r="CE33" s="81"/>
      <c r="CF33" s="81"/>
      <c r="CG33" s="81"/>
      <c r="CH33" s="81"/>
      <c r="CI33" s="81"/>
      <c r="CJ33" s="81"/>
      <c r="CK33" s="81"/>
      <c r="CL33" s="81"/>
      <c r="CM33" s="81"/>
      <c r="CN33" s="81"/>
      <c r="CO33" s="81"/>
      <c r="CP33" s="81"/>
      <c r="CQ33" s="81"/>
      <c r="CR33" s="81"/>
      <c r="CS33" s="81"/>
      <c r="CT33" s="81"/>
      <c r="CU33" s="81"/>
      <c r="CV33" s="81"/>
      <c r="CW33" s="81"/>
      <c r="CX33" s="81"/>
      <c r="CY33" s="81"/>
      <c r="CZ33" s="81"/>
      <c r="DA33" s="81"/>
      <c r="DB33" s="81">
        <v>8.028883958109871</v>
      </c>
      <c r="DC33" s="81"/>
      <c r="DD33" s="81"/>
      <c r="DE33" s="81"/>
      <c r="DF33" s="81"/>
      <c r="DG33" s="81"/>
      <c r="DH33" s="81"/>
      <c r="DI33" s="81"/>
      <c r="DJ33" s="81"/>
      <c r="DK33" s="81"/>
      <c r="DL33" s="81"/>
      <c r="DM33" s="81"/>
      <c r="DN33" s="81"/>
      <c r="DO33" s="81"/>
      <c r="DP33" s="81"/>
      <c r="DQ33" s="81"/>
      <c r="DR33" s="81"/>
      <c r="DS33" s="81"/>
      <c r="DT33" s="81"/>
      <c r="DU33" s="81"/>
      <c r="DV33" s="81"/>
      <c r="DW33" s="81"/>
      <c r="DX33" s="81"/>
      <c r="DY33" s="81"/>
      <c r="DZ33" s="81"/>
      <c r="EA33" s="81"/>
      <c r="EB33" s="81"/>
      <c r="EC33" s="81"/>
      <c r="ED33" s="81"/>
      <c r="EE33" s="81"/>
      <c r="EF33" s="81"/>
      <c r="EG33" s="81"/>
      <c r="EH33" s="81"/>
      <c r="EI33" s="81"/>
      <c r="EJ33" s="81"/>
      <c r="EK33" s="81"/>
      <c r="EL33" s="81"/>
      <c r="EM33" s="81"/>
      <c r="EN33" s="81"/>
      <c r="EO33" s="81"/>
      <c r="EP33" s="81"/>
      <c r="EQ33" s="81"/>
      <c r="ER33" s="81"/>
      <c r="ES33" s="81"/>
      <c r="ET33" s="81"/>
      <c r="EU33" s="81"/>
      <c r="EV33" s="81"/>
      <c r="EW33" s="81"/>
      <c r="EX33" s="81"/>
      <c r="EY33" s="81"/>
      <c r="EZ33" s="81"/>
      <c r="FA33" s="81"/>
      <c r="FB33" s="81"/>
      <c r="FC33" s="81"/>
      <c r="FD33" s="81"/>
      <c r="FE33" s="81"/>
      <c r="FF33" s="81"/>
      <c r="FG33" s="81"/>
      <c r="FH33" s="81"/>
      <c r="FI33" s="81"/>
      <c r="FJ33" s="81"/>
      <c r="FK33" s="81"/>
      <c r="FL33" s="81"/>
      <c r="FM33" s="81"/>
      <c r="FN33" s="81"/>
      <c r="FO33" s="81"/>
      <c r="FP33" s="81"/>
      <c r="FQ33" s="81"/>
      <c r="FR33" s="81"/>
      <c r="FS33" s="81"/>
      <c r="FT33" s="81"/>
      <c r="FU33" s="81"/>
      <c r="FV33" s="81">
        <v>8.028883958109871</v>
      </c>
      <c r="FW33" s="81"/>
      <c r="FX33" s="86"/>
      <c r="FY33" s="81"/>
      <c r="FZ33" s="81"/>
      <c r="GA33" s="81"/>
      <c r="GB33" s="81"/>
      <c r="GC33" s="81"/>
      <c r="GD33" s="81"/>
      <c r="GE33" s="81"/>
      <c r="GF33" s="81"/>
      <c r="GG33" s="81"/>
      <c r="GH33" s="81"/>
    </row>
    <row r="34" spans="1:190" x14ac:dyDescent="0.2">
      <c r="A34" s="82" t="s">
        <v>247</v>
      </c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81"/>
      <c r="AS34" s="81"/>
      <c r="AT34" s="81"/>
      <c r="AU34" s="81"/>
      <c r="AV34" s="81"/>
      <c r="AW34" s="81"/>
      <c r="AX34" s="81"/>
      <c r="AY34" s="81"/>
      <c r="AZ34" s="81"/>
      <c r="BA34" s="81"/>
      <c r="BB34" s="81"/>
      <c r="BC34" s="81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81"/>
      <c r="BQ34" s="81"/>
      <c r="BR34" s="81"/>
      <c r="BS34" s="81"/>
      <c r="BT34" s="81"/>
      <c r="BU34" s="81"/>
      <c r="BV34" s="81"/>
      <c r="BW34" s="81"/>
      <c r="BX34" s="81"/>
      <c r="BY34" s="81"/>
      <c r="BZ34" s="81"/>
      <c r="CA34" s="81"/>
      <c r="CB34" s="81"/>
      <c r="CC34" s="81"/>
      <c r="CD34" s="81"/>
      <c r="CE34" s="81"/>
      <c r="CF34" s="81"/>
      <c r="CG34" s="81"/>
      <c r="CH34" s="81"/>
      <c r="CI34" s="81"/>
      <c r="CJ34" s="81"/>
      <c r="CK34" s="81"/>
      <c r="CL34" s="81"/>
      <c r="CM34" s="81"/>
      <c r="CN34" s="81"/>
      <c r="CO34" s="81"/>
      <c r="CP34" s="81"/>
      <c r="CQ34" s="81"/>
      <c r="CR34" s="81"/>
      <c r="CS34" s="81"/>
      <c r="CT34" s="81"/>
      <c r="CU34" s="81"/>
      <c r="CV34" s="81"/>
      <c r="CW34" s="81"/>
      <c r="CX34" s="81"/>
      <c r="CY34" s="81"/>
      <c r="CZ34" s="81"/>
      <c r="DA34" s="81"/>
      <c r="DB34" s="81"/>
      <c r="DC34" s="81">
        <v>18.392424032078569</v>
      </c>
      <c r="DD34" s="81"/>
      <c r="DE34" s="81"/>
      <c r="DF34" s="81"/>
      <c r="DG34" s="81"/>
      <c r="DH34" s="81"/>
      <c r="DI34" s="81"/>
      <c r="DJ34" s="81"/>
      <c r="DK34" s="81"/>
      <c r="DL34" s="81"/>
      <c r="DM34" s="81"/>
      <c r="DN34" s="81"/>
      <c r="DO34" s="81"/>
      <c r="DP34" s="81"/>
      <c r="DQ34" s="81"/>
      <c r="DR34" s="81"/>
      <c r="DS34" s="81"/>
      <c r="DT34" s="81"/>
      <c r="DU34" s="81"/>
      <c r="DV34" s="81"/>
      <c r="DW34" s="81"/>
      <c r="DX34" s="81"/>
      <c r="DY34" s="81"/>
      <c r="DZ34" s="81"/>
      <c r="EA34" s="81"/>
      <c r="EB34" s="81"/>
      <c r="EC34" s="81"/>
      <c r="ED34" s="81"/>
      <c r="EE34" s="81"/>
      <c r="EF34" s="81"/>
      <c r="EG34" s="81"/>
      <c r="EH34" s="81"/>
      <c r="EI34" s="81"/>
      <c r="EJ34" s="81"/>
      <c r="EK34" s="81"/>
      <c r="EL34" s="81"/>
      <c r="EM34" s="81"/>
      <c r="EN34" s="81"/>
      <c r="EO34" s="81"/>
      <c r="EP34" s="81"/>
      <c r="EQ34" s="81"/>
      <c r="ER34" s="81"/>
      <c r="ES34" s="81"/>
      <c r="ET34" s="81"/>
      <c r="EU34" s="81"/>
      <c r="EV34" s="81"/>
      <c r="EW34" s="81"/>
      <c r="EX34" s="81"/>
      <c r="EY34" s="81"/>
      <c r="EZ34" s="81"/>
      <c r="FA34" s="81"/>
      <c r="FB34" s="81"/>
      <c r="FC34" s="81"/>
      <c r="FD34" s="81"/>
      <c r="FE34" s="81"/>
      <c r="FF34" s="81"/>
      <c r="FG34" s="81"/>
      <c r="FH34" s="81"/>
      <c r="FI34" s="81"/>
      <c r="FJ34" s="81"/>
      <c r="FK34" s="81"/>
      <c r="FL34" s="81"/>
      <c r="FM34" s="81"/>
      <c r="FN34" s="81"/>
      <c r="FO34" s="81"/>
      <c r="FP34" s="81"/>
      <c r="FQ34" s="81"/>
      <c r="FR34" s="81"/>
      <c r="FS34" s="81"/>
      <c r="FT34" s="81"/>
      <c r="FU34" s="81"/>
      <c r="FV34" s="81">
        <v>18.392424032078569</v>
      </c>
      <c r="FW34" s="81"/>
      <c r="FX34" s="86"/>
      <c r="FY34" s="81"/>
      <c r="FZ34" s="81"/>
      <c r="GA34" s="81"/>
      <c r="GB34" s="81"/>
      <c r="GC34" s="81"/>
      <c r="GD34" s="81"/>
      <c r="GE34" s="81"/>
      <c r="GF34" s="81"/>
      <c r="GG34" s="81"/>
      <c r="GH34" s="81"/>
    </row>
    <row r="35" spans="1:190" x14ac:dyDescent="0.2">
      <c r="A35" s="82" t="s">
        <v>248</v>
      </c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81"/>
      <c r="AS35" s="81"/>
      <c r="AT35" s="81"/>
      <c r="AU35" s="81"/>
      <c r="AV35" s="81"/>
      <c r="AW35" s="81"/>
      <c r="AX35" s="81"/>
      <c r="AY35" s="81"/>
      <c r="AZ35" s="81"/>
      <c r="BA35" s="81"/>
      <c r="BB35" s="81"/>
      <c r="BC35" s="81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81"/>
      <c r="BQ35" s="81"/>
      <c r="BR35" s="81"/>
      <c r="BS35" s="81"/>
      <c r="BT35" s="81"/>
      <c r="BU35" s="81"/>
      <c r="BV35" s="81"/>
      <c r="BW35" s="81"/>
      <c r="BX35" s="81"/>
      <c r="BY35" s="81"/>
      <c r="BZ35" s="81"/>
      <c r="CA35" s="81"/>
      <c r="CB35" s="81"/>
      <c r="CC35" s="81"/>
      <c r="CD35" s="81"/>
      <c r="CE35" s="81"/>
      <c r="CF35" s="81"/>
      <c r="CG35" s="81"/>
      <c r="CH35" s="81"/>
      <c r="CI35" s="81"/>
      <c r="CJ35" s="81"/>
      <c r="CK35" s="81"/>
      <c r="CL35" s="81"/>
      <c r="CM35" s="81"/>
      <c r="CN35" s="81"/>
      <c r="CO35" s="81"/>
      <c r="CP35" s="81"/>
      <c r="CQ35" s="81"/>
      <c r="CR35" s="81"/>
      <c r="CS35" s="81"/>
      <c r="CT35" s="81"/>
      <c r="CU35" s="81"/>
      <c r="CV35" s="81"/>
      <c r="CW35" s="81"/>
      <c r="CX35" s="81"/>
      <c r="CY35" s="81"/>
      <c r="CZ35" s="81"/>
      <c r="DA35" s="81"/>
      <c r="DB35" s="81"/>
      <c r="DC35" s="81"/>
      <c r="DD35" s="81">
        <v>1.9234475414475627</v>
      </c>
      <c r="DE35" s="81"/>
      <c r="DF35" s="81"/>
      <c r="DG35" s="81"/>
      <c r="DH35" s="81"/>
      <c r="DI35" s="81"/>
      <c r="DJ35" s="81"/>
      <c r="DK35" s="81"/>
      <c r="DL35" s="81"/>
      <c r="DM35" s="81"/>
      <c r="DN35" s="81"/>
      <c r="DO35" s="81"/>
      <c r="DP35" s="81"/>
      <c r="DQ35" s="81"/>
      <c r="DR35" s="81"/>
      <c r="DS35" s="81"/>
      <c r="DT35" s="81"/>
      <c r="DU35" s="81"/>
      <c r="DV35" s="81"/>
      <c r="DW35" s="81"/>
      <c r="DX35" s="81"/>
      <c r="DY35" s="81"/>
      <c r="DZ35" s="81"/>
      <c r="EA35" s="81"/>
      <c r="EB35" s="81"/>
      <c r="EC35" s="81"/>
      <c r="ED35" s="81"/>
      <c r="EE35" s="81"/>
      <c r="EF35" s="81"/>
      <c r="EG35" s="81"/>
      <c r="EH35" s="81"/>
      <c r="EI35" s="81"/>
      <c r="EJ35" s="81"/>
      <c r="EK35" s="81"/>
      <c r="EL35" s="81"/>
      <c r="EM35" s="81"/>
      <c r="EN35" s="81"/>
      <c r="EO35" s="81"/>
      <c r="EP35" s="81"/>
      <c r="EQ35" s="81"/>
      <c r="ER35" s="81"/>
      <c r="ES35" s="81"/>
      <c r="ET35" s="81"/>
      <c r="EU35" s="81"/>
      <c r="EV35" s="81"/>
      <c r="EW35" s="81"/>
      <c r="EX35" s="81"/>
      <c r="EY35" s="81"/>
      <c r="EZ35" s="81"/>
      <c r="FA35" s="81"/>
      <c r="FB35" s="81"/>
      <c r="FC35" s="81"/>
      <c r="FD35" s="81"/>
      <c r="FE35" s="81"/>
      <c r="FF35" s="81"/>
      <c r="FG35" s="81"/>
      <c r="FH35" s="81"/>
      <c r="FI35" s="81"/>
      <c r="FJ35" s="81"/>
      <c r="FK35" s="81"/>
      <c r="FL35" s="81"/>
      <c r="FM35" s="81"/>
      <c r="FN35" s="81"/>
      <c r="FO35" s="81"/>
      <c r="FP35" s="81"/>
      <c r="FQ35" s="81"/>
      <c r="FR35" s="81"/>
      <c r="FS35" s="81"/>
      <c r="FT35" s="81"/>
      <c r="FU35" s="81"/>
      <c r="FV35" s="81">
        <v>1.9234475414475627</v>
      </c>
      <c r="FW35" s="81"/>
      <c r="FX35" s="86"/>
      <c r="FY35" s="81"/>
      <c r="FZ35" s="81"/>
      <c r="GA35" s="81"/>
      <c r="GB35" s="81"/>
      <c r="GC35" s="81"/>
      <c r="GD35" s="81"/>
      <c r="GE35" s="81"/>
      <c r="GF35" s="81"/>
      <c r="GG35" s="81"/>
      <c r="GH35" s="81"/>
    </row>
    <row r="36" spans="1:190" x14ac:dyDescent="0.2">
      <c r="A36" s="82" t="s">
        <v>249</v>
      </c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  <c r="AQ36" s="81"/>
      <c r="AR36" s="81"/>
      <c r="AS36" s="81"/>
      <c r="AT36" s="81"/>
      <c r="AU36" s="81"/>
      <c r="AV36" s="81"/>
      <c r="AW36" s="81"/>
      <c r="AX36" s="81"/>
      <c r="AY36" s="81"/>
      <c r="AZ36" s="81"/>
      <c r="BA36" s="81"/>
      <c r="BB36" s="81"/>
      <c r="BC36" s="81"/>
      <c r="BD36" s="81"/>
      <c r="BE36" s="81"/>
      <c r="BF36" s="81"/>
      <c r="BG36" s="81"/>
      <c r="BH36" s="81"/>
      <c r="BI36" s="81"/>
      <c r="BJ36" s="81"/>
      <c r="BK36" s="81"/>
      <c r="BL36" s="81"/>
      <c r="BM36" s="81"/>
      <c r="BN36" s="81"/>
      <c r="BO36" s="81"/>
      <c r="BP36" s="81"/>
      <c r="BQ36" s="81"/>
      <c r="BR36" s="81"/>
      <c r="BS36" s="81"/>
      <c r="BT36" s="81"/>
      <c r="BU36" s="81"/>
      <c r="BV36" s="81"/>
      <c r="BW36" s="81"/>
      <c r="BX36" s="81"/>
      <c r="BY36" s="81"/>
      <c r="BZ36" s="81"/>
      <c r="CA36" s="81"/>
      <c r="CB36" s="81"/>
      <c r="CC36" s="81"/>
      <c r="CD36" s="81"/>
      <c r="CE36" s="81"/>
      <c r="CF36" s="81"/>
      <c r="CG36" s="81"/>
      <c r="CH36" s="81"/>
      <c r="CI36" s="81"/>
      <c r="CJ36" s="81"/>
      <c r="CK36" s="81"/>
      <c r="CL36" s="81"/>
      <c r="CM36" s="81"/>
      <c r="CN36" s="81"/>
      <c r="CO36" s="81"/>
      <c r="CP36" s="81"/>
      <c r="CQ36" s="81"/>
      <c r="CR36" s="81"/>
      <c r="CS36" s="81"/>
      <c r="CT36" s="81"/>
      <c r="CU36" s="81"/>
      <c r="CV36" s="81"/>
      <c r="CW36" s="81"/>
      <c r="CX36" s="81"/>
      <c r="CY36" s="81"/>
      <c r="CZ36" s="81"/>
      <c r="DA36" s="81"/>
      <c r="DB36" s="81"/>
      <c r="DC36" s="81"/>
      <c r="DD36" s="81"/>
      <c r="DE36" s="81">
        <v>64.831307513471259</v>
      </c>
      <c r="DF36" s="81"/>
      <c r="DG36" s="81"/>
      <c r="DH36" s="81"/>
      <c r="DI36" s="81"/>
      <c r="DJ36" s="81"/>
      <c r="DK36" s="81"/>
      <c r="DL36" s="81"/>
      <c r="DM36" s="81"/>
      <c r="DN36" s="81"/>
      <c r="DO36" s="81"/>
      <c r="DP36" s="81"/>
      <c r="DQ36" s="81"/>
      <c r="DR36" s="81"/>
      <c r="DS36" s="81"/>
      <c r="DT36" s="81"/>
      <c r="DU36" s="81"/>
      <c r="DV36" s="81"/>
      <c r="DW36" s="81"/>
      <c r="DX36" s="81"/>
      <c r="DY36" s="81"/>
      <c r="DZ36" s="81"/>
      <c r="EA36" s="81"/>
      <c r="EB36" s="81"/>
      <c r="EC36" s="81"/>
      <c r="ED36" s="81"/>
      <c r="EE36" s="81"/>
      <c r="EF36" s="81"/>
      <c r="EG36" s="81"/>
      <c r="EH36" s="81"/>
      <c r="EI36" s="81"/>
      <c r="EJ36" s="81"/>
      <c r="EK36" s="81"/>
      <c r="EL36" s="81"/>
      <c r="EM36" s="81"/>
      <c r="EN36" s="81"/>
      <c r="EO36" s="81"/>
      <c r="EP36" s="81"/>
      <c r="EQ36" s="81"/>
      <c r="ER36" s="81"/>
      <c r="ES36" s="81"/>
      <c r="ET36" s="81"/>
      <c r="EU36" s="81"/>
      <c r="EV36" s="81"/>
      <c r="EW36" s="81"/>
      <c r="EX36" s="81"/>
      <c r="EY36" s="81"/>
      <c r="EZ36" s="81"/>
      <c r="FA36" s="81"/>
      <c r="FB36" s="81"/>
      <c r="FC36" s="81"/>
      <c r="FD36" s="81"/>
      <c r="FE36" s="81"/>
      <c r="FF36" s="81"/>
      <c r="FG36" s="81"/>
      <c r="FH36" s="81"/>
      <c r="FI36" s="81"/>
      <c r="FJ36" s="81"/>
      <c r="FK36" s="81"/>
      <c r="FL36" s="81"/>
      <c r="FM36" s="81"/>
      <c r="FN36" s="81"/>
      <c r="FO36" s="81"/>
      <c r="FP36" s="81"/>
      <c r="FQ36" s="81"/>
      <c r="FR36" s="81"/>
      <c r="FS36" s="81"/>
      <c r="FT36" s="81"/>
      <c r="FU36" s="81"/>
      <c r="FV36" s="81">
        <v>64.831307513471259</v>
      </c>
      <c r="FW36" s="81"/>
      <c r="FX36" s="86"/>
      <c r="FY36" s="81"/>
      <c r="FZ36" s="81"/>
      <c r="GA36" s="81"/>
      <c r="GB36" s="81"/>
      <c r="GC36" s="81"/>
      <c r="GD36" s="81"/>
      <c r="GE36" s="81"/>
      <c r="GF36" s="81"/>
      <c r="GG36" s="81"/>
      <c r="GH36" s="81"/>
    </row>
    <row r="37" spans="1:190" x14ac:dyDescent="0.2">
      <c r="A37" s="82" t="s">
        <v>250</v>
      </c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  <c r="AQ37" s="81"/>
      <c r="AR37" s="81"/>
      <c r="AS37" s="81"/>
      <c r="AT37" s="81"/>
      <c r="AU37" s="81"/>
      <c r="AV37" s="81"/>
      <c r="AW37" s="81"/>
      <c r="AX37" s="81"/>
      <c r="AY37" s="81"/>
      <c r="AZ37" s="81"/>
      <c r="BA37" s="81"/>
      <c r="BB37" s="81"/>
      <c r="BC37" s="81"/>
      <c r="BD37" s="81"/>
      <c r="BE37" s="81"/>
      <c r="BF37" s="81"/>
      <c r="BG37" s="81"/>
      <c r="BH37" s="81"/>
      <c r="BI37" s="81"/>
      <c r="BJ37" s="81"/>
      <c r="BK37" s="81"/>
      <c r="BL37" s="81"/>
      <c r="BM37" s="81"/>
      <c r="BN37" s="81"/>
      <c r="BO37" s="81"/>
      <c r="BP37" s="81"/>
      <c r="BQ37" s="81"/>
      <c r="BR37" s="81"/>
      <c r="BS37" s="81"/>
      <c r="BT37" s="81"/>
      <c r="BU37" s="81"/>
      <c r="BV37" s="81"/>
      <c r="BW37" s="81"/>
      <c r="BX37" s="81"/>
      <c r="BY37" s="81"/>
      <c r="BZ37" s="81"/>
      <c r="CA37" s="81"/>
      <c r="CB37" s="81"/>
      <c r="CC37" s="81"/>
      <c r="CD37" s="81"/>
      <c r="CE37" s="81"/>
      <c r="CF37" s="81"/>
      <c r="CG37" s="81"/>
      <c r="CH37" s="81"/>
      <c r="CI37" s="81"/>
      <c r="CJ37" s="81"/>
      <c r="CK37" s="81"/>
      <c r="CL37" s="81"/>
      <c r="CM37" s="81"/>
      <c r="CN37" s="81"/>
      <c r="CO37" s="81"/>
      <c r="CP37" s="81"/>
      <c r="CQ37" s="81"/>
      <c r="CR37" s="81"/>
      <c r="CS37" s="81"/>
      <c r="CT37" s="81"/>
      <c r="CU37" s="81"/>
      <c r="CV37" s="81"/>
      <c r="CW37" s="81"/>
      <c r="CX37" s="81"/>
      <c r="CY37" s="81"/>
      <c r="CZ37" s="81"/>
      <c r="DA37" s="81"/>
      <c r="DB37" s="81"/>
      <c r="DC37" s="81"/>
      <c r="DD37" s="81"/>
      <c r="DE37" s="81"/>
      <c r="DF37" s="81">
        <v>215.23004336354057</v>
      </c>
      <c r="DG37" s="81"/>
      <c r="DH37" s="81"/>
      <c r="DI37" s="81"/>
      <c r="DJ37" s="81"/>
      <c r="DK37" s="81"/>
      <c r="DL37" s="81"/>
      <c r="DM37" s="81"/>
      <c r="DN37" s="81"/>
      <c r="DO37" s="81"/>
      <c r="DP37" s="81"/>
      <c r="DQ37" s="81"/>
      <c r="DR37" s="81"/>
      <c r="DS37" s="81"/>
      <c r="DT37" s="81"/>
      <c r="DU37" s="81"/>
      <c r="DV37" s="81"/>
      <c r="DW37" s="81"/>
      <c r="DX37" s="81"/>
      <c r="DY37" s="81"/>
      <c r="DZ37" s="81"/>
      <c r="EA37" s="81"/>
      <c r="EB37" s="81"/>
      <c r="EC37" s="81"/>
      <c r="ED37" s="81"/>
      <c r="EE37" s="81"/>
      <c r="EF37" s="81"/>
      <c r="EG37" s="81"/>
      <c r="EH37" s="81"/>
      <c r="EI37" s="81"/>
      <c r="EJ37" s="81"/>
      <c r="EK37" s="81"/>
      <c r="EL37" s="81"/>
      <c r="EM37" s="81"/>
      <c r="EN37" s="81"/>
      <c r="EO37" s="81"/>
      <c r="EP37" s="81"/>
      <c r="EQ37" s="81"/>
      <c r="ER37" s="81"/>
      <c r="ES37" s="81"/>
      <c r="ET37" s="81"/>
      <c r="EU37" s="81"/>
      <c r="EV37" s="81"/>
      <c r="EW37" s="81"/>
      <c r="EX37" s="81"/>
      <c r="EY37" s="81"/>
      <c r="EZ37" s="81"/>
      <c r="FA37" s="81"/>
      <c r="FB37" s="81"/>
      <c r="FC37" s="81"/>
      <c r="FD37" s="81"/>
      <c r="FE37" s="81"/>
      <c r="FF37" s="81"/>
      <c r="FG37" s="81"/>
      <c r="FH37" s="81"/>
      <c r="FI37" s="81"/>
      <c r="FJ37" s="81"/>
      <c r="FK37" s="81"/>
      <c r="FL37" s="81"/>
      <c r="FM37" s="81"/>
      <c r="FN37" s="81"/>
      <c r="FO37" s="81"/>
      <c r="FP37" s="81"/>
      <c r="FQ37" s="81"/>
      <c r="FR37" s="81"/>
      <c r="FS37" s="81"/>
      <c r="FT37" s="81"/>
      <c r="FU37" s="81"/>
      <c r="FV37" s="81">
        <v>215.23004336354057</v>
      </c>
      <c r="FW37" s="81"/>
      <c r="FX37" s="86"/>
      <c r="FY37" s="81"/>
      <c r="FZ37" s="81"/>
      <c r="GA37" s="81"/>
      <c r="GB37" s="81"/>
      <c r="GC37" s="81"/>
      <c r="GD37" s="81"/>
      <c r="GE37" s="81"/>
      <c r="GF37" s="81"/>
      <c r="GG37" s="81"/>
      <c r="GH37" s="81"/>
    </row>
    <row r="38" spans="1:190" x14ac:dyDescent="0.2">
      <c r="A38" s="82" t="s">
        <v>251</v>
      </c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81"/>
      <c r="AU38" s="81"/>
      <c r="AV38" s="81"/>
      <c r="AW38" s="81"/>
      <c r="AX38" s="81"/>
      <c r="AY38" s="81"/>
      <c r="AZ38" s="81"/>
      <c r="BA38" s="81"/>
      <c r="BB38" s="81"/>
      <c r="BC38" s="81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81"/>
      <c r="BQ38" s="81"/>
      <c r="BR38" s="81"/>
      <c r="BS38" s="81"/>
      <c r="BT38" s="81"/>
      <c r="BU38" s="81"/>
      <c r="BV38" s="81"/>
      <c r="BW38" s="81"/>
      <c r="BX38" s="81"/>
      <c r="BY38" s="81"/>
      <c r="BZ38" s="81"/>
      <c r="CA38" s="81"/>
      <c r="CB38" s="81"/>
      <c r="CC38" s="81"/>
      <c r="CD38" s="81"/>
      <c r="CE38" s="81"/>
      <c r="CF38" s="81"/>
      <c r="CG38" s="81"/>
      <c r="CH38" s="81"/>
      <c r="CI38" s="81"/>
      <c r="CJ38" s="81"/>
      <c r="CK38" s="81"/>
      <c r="CL38" s="81"/>
      <c r="CM38" s="81"/>
      <c r="CN38" s="81"/>
      <c r="CO38" s="81"/>
      <c r="CP38" s="81"/>
      <c r="CQ38" s="81"/>
      <c r="CR38" s="81"/>
      <c r="CS38" s="81"/>
      <c r="CT38" s="81"/>
      <c r="CU38" s="81"/>
      <c r="CV38" s="81"/>
      <c r="CW38" s="81"/>
      <c r="CX38" s="81"/>
      <c r="CY38" s="81"/>
      <c r="CZ38" s="81"/>
      <c r="DA38" s="81"/>
      <c r="DB38" s="81"/>
      <c r="DC38" s="81"/>
      <c r="DD38" s="81"/>
      <c r="DE38" s="81"/>
      <c r="DF38" s="81"/>
      <c r="DG38" s="81">
        <v>18.815943643033211</v>
      </c>
      <c r="DH38" s="81"/>
      <c r="DI38" s="81"/>
      <c r="DJ38" s="81"/>
      <c r="DK38" s="81"/>
      <c r="DL38" s="81"/>
      <c r="DM38" s="81"/>
      <c r="DN38" s="81"/>
      <c r="DO38" s="81"/>
      <c r="DP38" s="81"/>
      <c r="DQ38" s="81"/>
      <c r="DR38" s="81"/>
      <c r="DS38" s="81"/>
      <c r="DT38" s="81"/>
      <c r="DU38" s="81"/>
      <c r="DV38" s="81"/>
      <c r="DW38" s="81"/>
      <c r="DX38" s="81"/>
      <c r="DY38" s="81"/>
      <c r="DZ38" s="81"/>
      <c r="EA38" s="81"/>
      <c r="EB38" s="81"/>
      <c r="EC38" s="81"/>
      <c r="ED38" s="81"/>
      <c r="EE38" s="81"/>
      <c r="EF38" s="81"/>
      <c r="EG38" s="81"/>
      <c r="EH38" s="81"/>
      <c r="EI38" s="81"/>
      <c r="EJ38" s="81"/>
      <c r="EK38" s="81"/>
      <c r="EL38" s="81"/>
      <c r="EM38" s="81"/>
      <c r="EN38" s="81"/>
      <c r="EO38" s="81"/>
      <c r="EP38" s="81"/>
      <c r="EQ38" s="81"/>
      <c r="ER38" s="81"/>
      <c r="ES38" s="81"/>
      <c r="ET38" s="81"/>
      <c r="EU38" s="81"/>
      <c r="EV38" s="81"/>
      <c r="EW38" s="81"/>
      <c r="EX38" s="81"/>
      <c r="EY38" s="81"/>
      <c r="EZ38" s="81"/>
      <c r="FA38" s="81"/>
      <c r="FB38" s="81"/>
      <c r="FC38" s="81"/>
      <c r="FD38" s="81"/>
      <c r="FE38" s="81"/>
      <c r="FF38" s="81"/>
      <c r="FG38" s="81"/>
      <c r="FH38" s="81"/>
      <c r="FI38" s="81"/>
      <c r="FJ38" s="81"/>
      <c r="FK38" s="81"/>
      <c r="FL38" s="81"/>
      <c r="FM38" s="81"/>
      <c r="FN38" s="81"/>
      <c r="FO38" s="81"/>
      <c r="FP38" s="81"/>
      <c r="FQ38" s="81"/>
      <c r="FR38" s="81"/>
      <c r="FS38" s="81"/>
      <c r="FT38" s="81"/>
      <c r="FU38" s="81"/>
      <c r="FV38" s="81">
        <v>18.815943643033211</v>
      </c>
      <c r="FW38" s="81"/>
      <c r="FX38" s="86"/>
      <c r="FY38" s="81"/>
      <c r="FZ38" s="81"/>
      <c r="GA38" s="81"/>
      <c r="GB38" s="81"/>
      <c r="GC38" s="81"/>
      <c r="GD38" s="81"/>
      <c r="GE38" s="81"/>
      <c r="GF38" s="81"/>
      <c r="GG38" s="81"/>
      <c r="GH38" s="81"/>
    </row>
    <row r="39" spans="1:190" x14ac:dyDescent="0.2">
      <c r="A39" s="82" t="s">
        <v>252</v>
      </c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  <c r="AQ39" s="81"/>
      <c r="AR39" s="81"/>
      <c r="AS39" s="81"/>
      <c r="AT39" s="81"/>
      <c r="AU39" s="81"/>
      <c r="AV39" s="81"/>
      <c r="AW39" s="81"/>
      <c r="AX39" s="81"/>
      <c r="AY39" s="81"/>
      <c r="AZ39" s="81"/>
      <c r="BA39" s="81"/>
      <c r="BB39" s="81"/>
      <c r="BC39" s="81"/>
      <c r="BD39" s="81"/>
      <c r="BE39" s="81"/>
      <c r="BF39" s="81"/>
      <c r="BG39" s="81"/>
      <c r="BH39" s="81"/>
      <c r="BI39" s="81"/>
      <c r="BJ39" s="81"/>
      <c r="BK39" s="81"/>
      <c r="BL39" s="81"/>
      <c r="BM39" s="81"/>
      <c r="BN39" s="81"/>
      <c r="BO39" s="81"/>
      <c r="BP39" s="81"/>
      <c r="BQ39" s="81"/>
      <c r="BR39" s="81"/>
      <c r="BS39" s="81"/>
      <c r="BT39" s="81"/>
      <c r="BU39" s="81"/>
      <c r="BV39" s="81"/>
      <c r="BW39" s="81"/>
      <c r="BX39" s="81"/>
      <c r="BY39" s="81"/>
      <c r="BZ39" s="81"/>
      <c r="CA39" s="81"/>
      <c r="CB39" s="81"/>
      <c r="CC39" s="81"/>
      <c r="CD39" s="81"/>
      <c r="CE39" s="81"/>
      <c r="CF39" s="81"/>
      <c r="CG39" s="81"/>
      <c r="CH39" s="81"/>
      <c r="CI39" s="81"/>
      <c r="CJ39" s="81"/>
      <c r="CK39" s="81"/>
      <c r="CL39" s="81"/>
      <c r="CM39" s="81"/>
      <c r="CN39" s="81"/>
      <c r="CO39" s="81"/>
      <c r="CP39" s="81"/>
      <c r="CQ39" s="81"/>
      <c r="CR39" s="81"/>
      <c r="CS39" s="81"/>
      <c r="CT39" s="81"/>
      <c r="CU39" s="81"/>
      <c r="CV39" s="81"/>
      <c r="CW39" s="81"/>
      <c r="CX39" s="81"/>
      <c r="CY39" s="81"/>
      <c r="CZ39" s="81"/>
      <c r="DA39" s="81"/>
      <c r="DB39" s="81"/>
      <c r="DC39" s="81"/>
      <c r="DD39" s="81"/>
      <c r="DE39" s="81"/>
      <c r="DF39" s="81"/>
      <c r="DG39" s="81"/>
      <c r="DH39" s="81">
        <v>18.155035214624736</v>
      </c>
      <c r="DI39" s="81"/>
      <c r="DJ39" s="81"/>
      <c r="DK39" s="81"/>
      <c r="DL39" s="81"/>
      <c r="DM39" s="81"/>
      <c r="DN39" s="81"/>
      <c r="DO39" s="81"/>
      <c r="DP39" s="81"/>
      <c r="DQ39" s="81"/>
      <c r="DR39" s="81"/>
      <c r="DS39" s="81"/>
      <c r="DT39" s="81"/>
      <c r="DU39" s="81"/>
      <c r="DV39" s="81"/>
      <c r="DW39" s="81"/>
      <c r="DX39" s="81"/>
      <c r="DY39" s="81"/>
      <c r="DZ39" s="81"/>
      <c r="EA39" s="81"/>
      <c r="EB39" s="81"/>
      <c r="EC39" s="81"/>
      <c r="ED39" s="81"/>
      <c r="EE39" s="81"/>
      <c r="EF39" s="81"/>
      <c r="EG39" s="81"/>
      <c r="EH39" s="81"/>
      <c r="EI39" s="81"/>
      <c r="EJ39" s="81"/>
      <c r="EK39" s="81"/>
      <c r="EL39" s="81"/>
      <c r="EM39" s="81"/>
      <c r="EN39" s="81"/>
      <c r="EO39" s="81"/>
      <c r="EP39" s="81"/>
      <c r="EQ39" s="81"/>
      <c r="ER39" s="81"/>
      <c r="ES39" s="81"/>
      <c r="ET39" s="81"/>
      <c r="EU39" s="81"/>
      <c r="EV39" s="81"/>
      <c r="EW39" s="81"/>
      <c r="EX39" s="81"/>
      <c r="EY39" s="81"/>
      <c r="EZ39" s="81"/>
      <c r="FA39" s="81"/>
      <c r="FB39" s="81"/>
      <c r="FC39" s="81"/>
      <c r="FD39" s="81"/>
      <c r="FE39" s="81"/>
      <c r="FF39" s="81"/>
      <c r="FG39" s="81"/>
      <c r="FH39" s="81"/>
      <c r="FI39" s="81"/>
      <c r="FJ39" s="81"/>
      <c r="FK39" s="81"/>
      <c r="FL39" s="81"/>
      <c r="FM39" s="81"/>
      <c r="FN39" s="81"/>
      <c r="FO39" s="81"/>
      <c r="FP39" s="81"/>
      <c r="FQ39" s="81"/>
      <c r="FR39" s="81"/>
      <c r="FS39" s="81"/>
      <c r="FT39" s="81"/>
      <c r="FU39" s="81"/>
      <c r="FV39" s="81">
        <v>18.155035214624736</v>
      </c>
      <c r="FW39" s="81"/>
      <c r="FX39" s="86"/>
      <c r="FY39" s="81"/>
      <c r="FZ39" s="81"/>
      <c r="GA39" s="81"/>
      <c r="GB39" s="81"/>
      <c r="GC39" s="81"/>
      <c r="GD39" s="81"/>
      <c r="GE39" s="81"/>
      <c r="GF39" s="81"/>
      <c r="GG39" s="81"/>
      <c r="GH39" s="81"/>
    </row>
    <row r="40" spans="1:190" x14ac:dyDescent="0.2">
      <c r="A40" s="82" t="s">
        <v>253</v>
      </c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81"/>
      <c r="AS40" s="81"/>
      <c r="AT40" s="81"/>
      <c r="AU40" s="81"/>
      <c r="AV40" s="81"/>
      <c r="AW40" s="81"/>
      <c r="AX40" s="81"/>
      <c r="AY40" s="81"/>
      <c r="AZ40" s="81"/>
      <c r="BA40" s="81"/>
      <c r="BB40" s="81"/>
      <c r="BC40" s="81"/>
      <c r="BD40" s="81"/>
      <c r="BE40" s="81"/>
      <c r="BF40" s="81"/>
      <c r="BG40" s="81"/>
      <c r="BH40" s="81"/>
      <c r="BI40" s="81"/>
      <c r="BJ40" s="81"/>
      <c r="BK40" s="81"/>
      <c r="BL40" s="81"/>
      <c r="BM40" s="81"/>
      <c r="BN40" s="81"/>
      <c r="BO40" s="81"/>
      <c r="BP40" s="81"/>
      <c r="BQ40" s="81"/>
      <c r="BR40" s="81"/>
      <c r="BS40" s="81"/>
      <c r="BT40" s="81"/>
      <c r="BU40" s="81"/>
      <c r="BV40" s="81"/>
      <c r="BW40" s="81"/>
      <c r="BX40" s="81"/>
      <c r="BY40" s="81"/>
      <c r="BZ40" s="81"/>
      <c r="CA40" s="81"/>
      <c r="CB40" s="81"/>
      <c r="CC40" s="81"/>
      <c r="CD40" s="81"/>
      <c r="CE40" s="81"/>
      <c r="CF40" s="81"/>
      <c r="CG40" s="81"/>
      <c r="CH40" s="81"/>
      <c r="CI40" s="81"/>
      <c r="CJ40" s="81"/>
      <c r="CK40" s="81"/>
      <c r="CL40" s="81"/>
      <c r="CM40" s="81"/>
      <c r="CN40" s="81"/>
      <c r="CO40" s="81"/>
      <c r="CP40" s="81"/>
      <c r="CQ40" s="81"/>
      <c r="CR40" s="81"/>
      <c r="CS40" s="81"/>
      <c r="CT40" s="81"/>
      <c r="CU40" s="81"/>
      <c r="CV40" s="81"/>
      <c r="CW40" s="81"/>
      <c r="CX40" s="81"/>
      <c r="CY40" s="81"/>
      <c r="CZ40" s="81"/>
      <c r="DA40" s="81"/>
      <c r="DB40" s="81"/>
      <c r="DC40" s="81"/>
      <c r="DD40" s="81"/>
      <c r="DE40" s="81"/>
      <c r="DF40" s="81"/>
      <c r="DG40" s="81"/>
      <c r="DH40" s="81"/>
      <c r="DI40" s="81">
        <v>49.885998691053494</v>
      </c>
      <c r="DJ40" s="81"/>
      <c r="DK40" s="81"/>
      <c r="DL40" s="81"/>
      <c r="DM40" s="81"/>
      <c r="DN40" s="81"/>
      <c r="DO40" s="81"/>
      <c r="DP40" s="81"/>
      <c r="DQ40" s="81"/>
      <c r="DR40" s="81"/>
      <c r="DS40" s="81"/>
      <c r="DT40" s="81"/>
      <c r="DU40" s="81"/>
      <c r="DV40" s="81"/>
      <c r="DW40" s="81"/>
      <c r="DX40" s="81"/>
      <c r="DY40" s="81"/>
      <c r="DZ40" s="81"/>
      <c r="EA40" s="81"/>
      <c r="EB40" s="81"/>
      <c r="EC40" s="81"/>
      <c r="ED40" s="81"/>
      <c r="EE40" s="81"/>
      <c r="EF40" s="81"/>
      <c r="EG40" s="81"/>
      <c r="EH40" s="81"/>
      <c r="EI40" s="81"/>
      <c r="EJ40" s="81"/>
      <c r="EK40" s="81"/>
      <c r="EL40" s="81"/>
      <c r="EM40" s="81"/>
      <c r="EN40" s="81"/>
      <c r="EO40" s="81"/>
      <c r="EP40" s="81"/>
      <c r="EQ40" s="81"/>
      <c r="ER40" s="81"/>
      <c r="ES40" s="81"/>
      <c r="ET40" s="81"/>
      <c r="EU40" s="81"/>
      <c r="EV40" s="81"/>
      <c r="EW40" s="81"/>
      <c r="EX40" s="81"/>
      <c r="EY40" s="81"/>
      <c r="EZ40" s="81"/>
      <c r="FA40" s="81"/>
      <c r="FB40" s="81"/>
      <c r="FC40" s="81"/>
      <c r="FD40" s="81"/>
      <c r="FE40" s="81"/>
      <c r="FF40" s="81"/>
      <c r="FG40" s="81"/>
      <c r="FH40" s="81"/>
      <c r="FI40" s="81"/>
      <c r="FJ40" s="81"/>
      <c r="FK40" s="81"/>
      <c r="FL40" s="81"/>
      <c r="FM40" s="81"/>
      <c r="FN40" s="81"/>
      <c r="FO40" s="81"/>
      <c r="FP40" s="81"/>
      <c r="FQ40" s="81"/>
      <c r="FR40" s="81"/>
      <c r="FS40" s="81"/>
      <c r="FT40" s="81"/>
      <c r="FU40" s="81"/>
      <c r="FV40" s="81">
        <v>49.885998691053494</v>
      </c>
      <c r="FW40" s="81"/>
      <c r="FX40" s="86"/>
      <c r="FY40" s="81"/>
      <c r="FZ40" s="81"/>
      <c r="GA40" s="81"/>
      <c r="GB40" s="81"/>
      <c r="GC40" s="81"/>
      <c r="GD40" s="81"/>
      <c r="GE40" s="81"/>
      <c r="GF40" s="81"/>
      <c r="GG40" s="81"/>
      <c r="GH40" s="81"/>
    </row>
    <row r="41" spans="1:190" x14ac:dyDescent="0.2">
      <c r="A41" s="82" t="s">
        <v>254</v>
      </c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  <c r="AQ41" s="81"/>
      <c r="AR41" s="81"/>
      <c r="AS41" s="81"/>
      <c r="AT41" s="81"/>
      <c r="AU41" s="81"/>
      <c r="AV41" s="81"/>
      <c r="AW41" s="81"/>
      <c r="AX41" s="81"/>
      <c r="AY41" s="81"/>
      <c r="AZ41" s="81"/>
      <c r="BA41" s="81"/>
      <c r="BB41" s="81"/>
      <c r="BC41" s="81"/>
      <c r="BD41" s="81"/>
      <c r="BE41" s="81"/>
      <c r="BF41" s="81"/>
      <c r="BG41" s="81"/>
      <c r="BH41" s="81"/>
      <c r="BI41" s="81"/>
      <c r="BJ41" s="81"/>
      <c r="BK41" s="81"/>
      <c r="BL41" s="81"/>
      <c r="BM41" s="81"/>
      <c r="BN41" s="81"/>
      <c r="BO41" s="81"/>
      <c r="BP41" s="81"/>
      <c r="BQ41" s="81"/>
      <c r="BR41" s="81"/>
      <c r="BS41" s="81"/>
      <c r="BT41" s="81"/>
      <c r="BU41" s="81"/>
      <c r="BV41" s="81"/>
      <c r="BW41" s="81"/>
      <c r="BX41" s="81"/>
      <c r="BY41" s="81"/>
      <c r="BZ41" s="81"/>
      <c r="CA41" s="81"/>
      <c r="CB41" s="81"/>
      <c r="CC41" s="81"/>
      <c r="CD41" s="81"/>
      <c r="CE41" s="81"/>
      <c r="CF41" s="81"/>
      <c r="CG41" s="81"/>
      <c r="CH41" s="81"/>
      <c r="CI41" s="81"/>
      <c r="CJ41" s="81"/>
      <c r="CK41" s="81"/>
      <c r="CL41" s="81"/>
      <c r="CM41" s="81"/>
      <c r="CN41" s="81"/>
      <c r="CO41" s="81"/>
      <c r="CP41" s="81"/>
      <c r="CQ41" s="81"/>
      <c r="CR41" s="81"/>
      <c r="CS41" s="81"/>
      <c r="CT41" s="81"/>
      <c r="CU41" s="81"/>
      <c r="CV41" s="81"/>
      <c r="CW41" s="81"/>
      <c r="CX41" s="81"/>
      <c r="CY41" s="81"/>
      <c r="CZ41" s="81"/>
      <c r="DA41" s="81"/>
      <c r="DB41" s="81"/>
      <c r="DC41" s="81"/>
      <c r="DD41" s="81"/>
      <c r="DE41" s="81"/>
      <c r="DF41" s="81"/>
      <c r="DG41" s="81"/>
      <c r="DH41" s="81"/>
      <c r="DI41" s="81"/>
      <c r="DJ41" s="81">
        <v>15.666274985734345</v>
      </c>
      <c r="DK41" s="81"/>
      <c r="DL41" s="81"/>
      <c r="DM41" s="81"/>
      <c r="DN41" s="81"/>
      <c r="DO41" s="81"/>
      <c r="DP41" s="81"/>
      <c r="DQ41" s="81"/>
      <c r="DR41" s="81"/>
      <c r="DS41" s="81"/>
      <c r="DT41" s="81"/>
      <c r="DU41" s="81"/>
      <c r="DV41" s="81"/>
      <c r="DW41" s="81"/>
      <c r="DX41" s="81"/>
      <c r="DY41" s="81"/>
      <c r="DZ41" s="81"/>
      <c r="EA41" s="81"/>
      <c r="EB41" s="81"/>
      <c r="EC41" s="81"/>
      <c r="ED41" s="81"/>
      <c r="EE41" s="81"/>
      <c r="EF41" s="81"/>
      <c r="EG41" s="81"/>
      <c r="EH41" s="81"/>
      <c r="EI41" s="81"/>
      <c r="EJ41" s="81"/>
      <c r="EK41" s="81"/>
      <c r="EL41" s="81"/>
      <c r="EM41" s="81"/>
      <c r="EN41" s="81"/>
      <c r="EO41" s="81"/>
      <c r="EP41" s="81"/>
      <c r="EQ41" s="81"/>
      <c r="ER41" s="81"/>
      <c r="ES41" s="81"/>
      <c r="ET41" s="81"/>
      <c r="EU41" s="81"/>
      <c r="EV41" s="81"/>
      <c r="EW41" s="81"/>
      <c r="EX41" s="81"/>
      <c r="EY41" s="81"/>
      <c r="EZ41" s="81"/>
      <c r="FA41" s="81"/>
      <c r="FB41" s="81"/>
      <c r="FC41" s="81"/>
      <c r="FD41" s="81"/>
      <c r="FE41" s="81"/>
      <c r="FF41" s="81"/>
      <c r="FG41" s="81"/>
      <c r="FH41" s="81"/>
      <c r="FI41" s="81"/>
      <c r="FJ41" s="81"/>
      <c r="FK41" s="81"/>
      <c r="FL41" s="81"/>
      <c r="FM41" s="81"/>
      <c r="FN41" s="81"/>
      <c r="FO41" s="81"/>
      <c r="FP41" s="81"/>
      <c r="FQ41" s="81"/>
      <c r="FR41" s="81"/>
      <c r="FS41" s="81"/>
      <c r="FT41" s="81"/>
      <c r="FU41" s="81"/>
      <c r="FV41" s="81">
        <v>15.666274985734345</v>
      </c>
      <c r="FW41" s="81"/>
      <c r="FX41" s="86"/>
      <c r="FY41" s="81"/>
      <c r="FZ41" s="81"/>
      <c r="GA41" s="81"/>
      <c r="GB41" s="81"/>
      <c r="GC41" s="81"/>
      <c r="GD41" s="81"/>
      <c r="GE41" s="81"/>
      <c r="GF41" s="81"/>
      <c r="GG41" s="81"/>
      <c r="GH41" s="81"/>
    </row>
    <row r="42" spans="1:190" x14ac:dyDescent="0.2">
      <c r="A42" s="82" t="s">
        <v>255</v>
      </c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  <c r="AR42" s="81"/>
      <c r="AS42" s="81"/>
      <c r="AT42" s="81"/>
      <c r="AU42" s="81"/>
      <c r="AV42" s="81"/>
      <c r="AW42" s="81"/>
      <c r="AX42" s="81"/>
      <c r="AY42" s="81"/>
      <c r="AZ42" s="81"/>
      <c r="BA42" s="81"/>
      <c r="BB42" s="81"/>
      <c r="BC42" s="81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81"/>
      <c r="BQ42" s="81"/>
      <c r="BR42" s="81"/>
      <c r="BS42" s="81"/>
      <c r="BT42" s="81"/>
      <c r="BU42" s="81"/>
      <c r="BV42" s="81"/>
      <c r="BW42" s="81"/>
      <c r="BX42" s="81"/>
      <c r="BY42" s="81"/>
      <c r="BZ42" s="81"/>
      <c r="CA42" s="81"/>
      <c r="CB42" s="81"/>
      <c r="CC42" s="81"/>
      <c r="CD42" s="81"/>
      <c r="CE42" s="81"/>
      <c r="CF42" s="81"/>
      <c r="CG42" s="81"/>
      <c r="CH42" s="81"/>
      <c r="CI42" s="81"/>
      <c r="CJ42" s="81"/>
      <c r="CK42" s="81"/>
      <c r="CL42" s="81"/>
      <c r="CM42" s="81"/>
      <c r="CN42" s="81"/>
      <c r="CO42" s="81"/>
      <c r="CP42" s="81"/>
      <c r="CQ42" s="81"/>
      <c r="CR42" s="81"/>
      <c r="CS42" s="81"/>
      <c r="CT42" s="81"/>
      <c r="CU42" s="81"/>
      <c r="CV42" s="81"/>
      <c r="CW42" s="81"/>
      <c r="CX42" s="81"/>
      <c r="CY42" s="81"/>
      <c r="CZ42" s="81"/>
      <c r="DA42" s="81"/>
      <c r="DB42" s="81"/>
      <c r="DC42" s="81"/>
      <c r="DD42" s="81"/>
      <c r="DE42" s="81"/>
      <c r="DF42" s="81"/>
      <c r="DG42" s="81"/>
      <c r="DH42" s="81"/>
      <c r="DI42" s="81"/>
      <c r="DJ42" s="81"/>
      <c r="DK42" s="81">
        <v>80.966904667025432</v>
      </c>
      <c r="DL42" s="81"/>
      <c r="DM42" s="81"/>
      <c r="DN42" s="81"/>
      <c r="DO42" s="81"/>
      <c r="DP42" s="81"/>
      <c r="DQ42" s="81"/>
      <c r="DR42" s="81"/>
      <c r="DS42" s="81"/>
      <c r="DT42" s="81"/>
      <c r="DU42" s="81"/>
      <c r="DV42" s="81"/>
      <c r="DW42" s="81"/>
      <c r="DX42" s="81"/>
      <c r="DY42" s="81"/>
      <c r="DZ42" s="81"/>
      <c r="EA42" s="81"/>
      <c r="EB42" s="81"/>
      <c r="EC42" s="81"/>
      <c r="ED42" s="81"/>
      <c r="EE42" s="81"/>
      <c r="EF42" s="81"/>
      <c r="EG42" s="81"/>
      <c r="EH42" s="81"/>
      <c r="EI42" s="81"/>
      <c r="EJ42" s="81"/>
      <c r="EK42" s="81"/>
      <c r="EL42" s="81"/>
      <c r="EM42" s="81"/>
      <c r="EN42" s="81"/>
      <c r="EO42" s="81"/>
      <c r="EP42" s="81"/>
      <c r="EQ42" s="81"/>
      <c r="ER42" s="81"/>
      <c r="ES42" s="81"/>
      <c r="ET42" s="81"/>
      <c r="EU42" s="81"/>
      <c r="EV42" s="81"/>
      <c r="EW42" s="81"/>
      <c r="EX42" s="81"/>
      <c r="EY42" s="81"/>
      <c r="EZ42" s="81"/>
      <c r="FA42" s="81"/>
      <c r="FB42" s="81"/>
      <c r="FC42" s="81"/>
      <c r="FD42" s="81"/>
      <c r="FE42" s="81"/>
      <c r="FF42" s="81"/>
      <c r="FG42" s="81"/>
      <c r="FH42" s="81"/>
      <c r="FI42" s="81"/>
      <c r="FJ42" s="81"/>
      <c r="FK42" s="81"/>
      <c r="FL42" s="81"/>
      <c r="FM42" s="81"/>
      <c r="FN42" s="81"/>
      <c r="FO42" s="81"/>
      <c r="FP42" s="81"/>
      <c r="FQ42" s="81"/>
      <c r="FR42" s="81"/>
      <c r="FS42" s="81"/>
      <c r="FT42" s="81"/>
      <c r="FU42" s="81"/>
      <c r="FV42" s="81">
        <v>80.966904667025432</v>
      </c>
      <c r="FW42" s="81"/>
      <c r="FX42" s="86"/>
      <c r="FY42" s="81"/>
      <c r="FZ42" s="81"/>
      <c r="GA42" s="81"/>
      <c r="GB42" s="81"/>
      <c r="GC42" s="81"/>
      <c r="GD42" s="81"/>
      <c r="GE42" s="81"/>
      <c r="GF42" s="81"/>
      <c r="GG42" s="81"/>
      <c r="GH42" s="81"/>
    </row>
    <row r="43" spans="1:190" x14ac:dyDescent="0.2">
      <c r="A43" s="82" t="s">
        <v>256</v>
      </c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  <c r="AO43" s="81"/>
      <c r="AP43" s="81"/>
      <c r="AQ43" s="81"/>
      <c r="AR43" s="81"/>
      <c r="AS43" s="81"/>
      <c r="AT43" s="81"/>
      <c r="AU43" s="81"/>
      <c r="AV43" s="81"/>
      <c r="AW43" s="81"/>
      <c r="AX43" s="81"/>
      <c r="AY43" s="81"/>
      <c r="AZ43" s="81"/>
      <c r="BA43" s="81"/>
      <c r="BB43" s="81"/>
      <c r="BC43" s="81"/>
      <c r="BD43" s="81"/>
      <c r="BE43" s="81"/>
      <c r="BF43" s="81"/>
      <c r="BG43" s="81"/>
      <c r="BH43" s="81"/>
      <c r="BI43" s="81"/>
      <c r="BJ43" s="81"/>
      <c r="BK43" s="81"/>
      <c r="BL43" s="81"/>
      <c r="BM43" s="81"/>
      <c r="BN43" s="81"/>
      <c r="BO43" s="81"/>
      <c r="BP43" s="81"/>
      <c r="BQ43" s="81"/>
      <c r="BR43" s="81"/>
      <c r="BS43" s="81"/>
      <c r="BT43" s="81"/>
      <c r="BU43" s="81"/>
      <c r="BV43" s="81"/>
      <c r="BW43" s="81"/>
      <c r="BX43" s="81"/>
      <c r="BY43" s="81"/>
      <c r="BZ43" s="81"/>
      <c r="CA43" s="81"/>
      <c r="CB43" s="81"/>
      <c r="CC43" s="81"/>
      <c r="CD43" s="81"/>
      <c r="CE43" s="81"/>
      <c r="CF43" s="81"/>
      <c r="CG43" s="81"/>
      <c r="CH43" s="81"/>
      <c r="CI43" s="81"/>
      <c r="CJ43" s="81"/>
      <c r="CK43" s="81"/>
      <c r="CL43" s="81"/>
      <c r="CM43" s="81"/>
      <c r="CN43" s="81"/>
      <c r="CO43" s="81"/>
      <c r="CP43" s="81"/>
      <c r="CQ43" s="81"/>
      <c r="CR43" s="81"/>
      <c r="CS43" s="81"/>
      <c r="CT43" s="81"/>
      <c r="CU43" s="81"/>
      <c r="CV43" s="81"/>
      <c r="CW43" s="81"/>
      <c r="CX43" s="81"/>
      <c r="CY43" s="81"/>
      <c r="CZ43" s="81"/>
      <c r="DA43" s="81"/>
      <c r="DB43" s="81"/>
      <c r="DC43" s="81"/>
      <c r="DD43" s="81"/>
      <c r="DE43" s="81"/>
      <c r="DF43" s="81"/>
      <c r="DG43" s="81"/>
      <c r="DH43" s="81"/>
      <c r="DI43" s="81"/>
      <c r="DJ43" s="81"/>
      <c r="DK43" s="81"/>
      <c r="DL43" s="81">
        <v>115.03579684190598</v>
      </c>
      <c r="DM43" s="81"/>
      <c r="DN43" s="81"/>
      <c r="DO43" s="81"/>
      <c r="DP43" s="81"/>
      <c r="DQ43" s="81"/>
      <c r="DR43" s="81"/>
      <c r="DS43" s="81"/>
      <c r="DT43" s="81"/>
      <c r="DU43" s="81"/>
      <c r="DV43" s="81"/>
      <c r="DW43" s="81"/>
      <c r="DX43" s="81"/>
      <c r="DY43" s="81"/>
      <c r="DZ43" s="81"/>
      <c r="EA43" s="81"/>
      <c r="EB43" s="81"/>
      <c r="EC43" s="81"/>
      <c r="ED43" s="81"/>
      <c r="EE43" s="81"/>
      <c r="EF43" s="81"/>
      <c r="EG43" s="81"/>
      <c r="EH43" s="81"/>
      <c r="EI43" s="81"/>
      <c r="EJ43" s="81"/>
      <c r="EK43" s="81"/>
      <c r="EL43" s="81"/>
      <c r="EM43" s="81"/>
      <c r="EN43" s="81"/>
      <c r="EO43" s="81"/>
      <c r="EP43" s="81"/>
      <c r="EQ43" s="81"/>
      <c r="ER43" s="81"/>
      <c r="ES43" s="81"/>
      <c r="ET43" s="81"/>
      <c r="EU43" s="81"/>
      <c r="EV43" s="81"/>
      <c r="EW43" s="81"/>
      <c r="EX43" s="81"/>
      <c r="EY43" s="81"/>
      <c r="EZ43" s="81"/>
      <c r="FA43" s="81"/>
      <c r="FB43" s="81"/>
      <c r="FC43" s="81"/>
      <c r="FD43" s="81"/>
      <c r="FE43" s="81"/>
      <c r="FF43" s="81"/>
      <c r="FG43" s="81"/>
      <c r="FH43" s="81"/>
      <c r="FI43" s="81"/>
      <c r="FJ43" s="81"/>
      <c r="FK43" s="81"/>
      <c r="FL43" s="81"/>
      <c r="FM43" s="81"/>
      <c r="FN43" s="81"/>
      <c r="FO43" s="81"/>
      <c r="FP43" s="81"/>
      <c r="FQ43" s="81"/>
      <c r="FR43" s="81"/>
      <c r="FS43" s="81"/>
      <c r="FT43" s="81"/>
      <c r="FU43" s="81"/>
      <c r="FV43" s="81">
        <v>115.03579684190598</v>
      </c>
      <c r="FW43" s="81"/>
      <c r="FX43" s="86"/>
      <c r="FY43" s="81"/>
      <c r="FZ43" s="81"/>
      <c r="GA43" s="81"/>
      <c r="GB43" s="81"/>
      <c r="GC43" s="81"/>
      <c r="GD43" s="81"/>
      <c r="GE43" s="81"/>
      <c r="GF43" s="81"/>
      <c r="GG43" s="81"/>
      <c r="GH43" s="81"/>
    </row>
    <row r="44" spans="1:190" x14ac:dyDescent="0.2">
      <c r="A44" s="82" t="s">
        <v>257</v>
      </c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  <c r="AQ44" s="81"/>
      <c r="AR44" s="81"/>
      <c r="AS44" s="81"/>
      <c r="AT44" s="81"/>
      <c r="AU44" s="81"/>
      <c r="AV44" s="81"/>
      <c r="AW44" s="81"/>
      <c r="AX44" s="81"/>
      <c r="AY44" s="81"/>
      <c r="AZ44" s="81"/>
      <c r="BA44" s="81"/>
      <c r="BB44" s="81"/>
      <c r="BC44" s="81"/>
      <c r="BD44" s="81"/>
      <c r="BE44" s="81"/>
      <c r="BF44" s="81"/>
      <c r="BG44" s="81"/>
      <c r="BH44" s="81"/>
      <c r="BI44" s="81"/>
      <c r="BJ44" s="81"/>
      <c r="BK44" s="81"/>
      <c r="BL44" s="81"/>
      <c r="BM44" s="81"/>
      <c r="BN44" s="81"/>
      <c r="BO44" s="81"/>
      <c r="BP44" s="81"/>
      <c r="BQ44" s="81"/>
      <c r="BR44" s="81"/>
      <c r="BS44" s="81"/>
      <c r="BT44" s="81"/>
      <c r="BU44" s="81"/>
      <c r="BV44" s="81"/>
      <c r="BW44" s="81"/>
      <c r="BX44" s="81"/>
      <c r="BY44" s="81"/>
      <c r="BZ44" s="81"/>
      <c r="CA44" s="81"/>
      <c r="CB44" s="81"/>
      <c r="CC44" s="81"/>
      <c r="CD44" s="81"/>
      <c r="CE44" s="81"/>
      <c r="CF44" s="81"/>
      <c r="CG44" s="81"/>
      <c r="CH44" s="81"/>
      <c r="CI44" s="81"/>
      <c r="CJ44" s="81"/>
      <c r="CK44" s="81"/>
      <c r="CL44" s="81"/>
      <c r="CM44" s="81"/>
      <c r="CN44" s="81"/>
      <c r="CO44" s="81"/>
      <c r="CP44" s="81"/>
      <c r="CQ44" s="81"/>
      <c r="CR44" s="81"/>
      <c r="CS44" s="81"/>
      <c r="CT44" s="81"/>
      <c r="CU44" s="81"/>
      <c r="CV44" s="81"/>
      <c r="CW44" s="81"/>
      <c r="CX44" s="81"/>
      <c r="CY44" s="81"/>
      <c r="CZ44" s="81"/>
      <c r="DA44" s="81"/>
      <c r="DB44" s="81"/>
      <c r="DC44" s="81"/>
      <c r="DD44" s="81"/>
      <c r="DE44" s="81"/>
      <c r="DF44" s="81"/>
      <c r="DG44" s="81"/>
      <c r="DH44" s="81"/>
      <c r="DI44" s="81"/>
      <c r="DJ44" s="81"/>
      <c r="DK44" s="81"/>
      <c r="DL44" s="81"/>
      <c r="DM44" s="81">
        <v>10.678210498984232</v>
      </c>
      <c r="DN44" s="81"/>
      <c r="DO44" s="81"/>
      <c r="DP44" s="81"/>
      <c r="DQ44" s="81"/>
      <c r="DR44" s="81"/>
      <c r="DS44" s="81"/>
      <c r="DT44" s="81"/>
      <c r="DU44" s="81"/>
      <c r="DV44" s="81"/>
      <c r="DW44" s="81"/>
      <c r="DX44" s="81"/>
      <c r="DY44" s="81"/>
      <c r="DZ44" s="81"/>
      <c r="EA44" s="81"/>
      <c r="EB44" s="81"/>
      <c r="EC44" s="81"/>
      <c r="ED44" s="81"/>
      <c r="EE44" s="81"/>
      <c r="EF44" s="81"/>
      <c r="EG44" s="81"/>
      <c r="EH44" s="81"/>
      <c r="EI44" s="81"/>
      <c r="EJ44" s="81"/>
      <c r="EK44" s="81"/>
      <c r="EL44" s="81"/>
      <c r="EM44" s="81"/>
      <c r="EN44" s="81"/>
      <c r="EO44" s="81"/>
      <c r="EP44" s="81"/>
      <c r="EQ44" s="81"/>
      <c r="ER44" s="81"/>
      <c r="ES44" s="81"/>
      <c r="ET44" s="81"/>
      <c r="EU44" s="81"/>
      <c r="EV44" s="81"/>
      <c r="EW44" s="81"/>
      <c r="EX44" s="81"/>
      <c r="EY44" s="81"/>
      <c r="EZ44" s="81"/>
      <c r="FA44" s="81"/>
      <c r="FB44" s="81"/>
      <c r="FC44" s="81"/>
      <c r="FD44" s="81"/>
      <c r="FE44" s="81"/>
      <c r="FF44" s="81"/>
      <c r="FG44" s="81"/>
      <c r="FH44" s="81"/>
      <c r="FI44" s="81"/>
      <c r="FJ44" s="81"/>
      <c r="FK44" s="81"/>
      <c r="FL44" s="81"/>
      <c r="FM44" s="81"/>
      <c r="FN44" s="81"/>
      <c r="FO44" s="81"/>
      <c r="FP44" s="81"/>
      <c r="FQ44" s="81"/>
      <c r="FR44" s="81"/>
      <c r="FS44" s="81"/>
      <c r="FT44" s="81"/>
      <c r="FU44" s="81"/>
      <c r="FV44" s="81">
        <v>10.678210498984232</v>
      </c>
      <c r="FW44" s="81"/>
      <c r="FX44" s="86"/>
      <c r="FY44" s="81"/>
      <c r="FZ44" s="81"/>
      <c r="GA44" s="81"/>
      <c r="GB44" s="81"/>
      <c r="GC44" s="81"/>
      <c r="GD44" s="81"/>
      <c r="GE44" s="81"/>
      <c r="GF44" s="81"/>
      <c r="GG44" s="81"/>
      <c r="GH44" s="81"/>
    </row>
    <row r="45" spans="1:190" x14ac:dyDescent="0.2">
      <c r="A45" s="82" t="s">
        <v>258</v>
      </c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81"/>
      <c r="AJ45" s="81"/>
      <c r="AK45" s="81"/>
      <c r="AL45" s="81"/>
      <c r="AM45" s="81"/>
      <c r="AN45" s="81"/>
      <c r="AO45" s="81"/>
      <c r="AP45" s="81"/>
      <c r="AQ45" s="81"/>
      <c r="AR45" s="81"/>
      <c r="AS45" s="81"/>
      <c r="AT45" s="81"/>
      <c r="AU45" s="81"/>
      <c r="AV45" s="81"/>
      <c r="AW45" s="81"/>
      <c r="AX45" s="81"/>
      <c r="AY45" s="81"/>
      <c r="AZ45" s="81"/>
      <c r="BA45" s="81"/>
      <c r="BB45" s="81"/>
      <c r="BC45" s="81"/>
      <c r="BD45" s="81"/>
      <c r="BE45" s="81"/>
      <c r="BF45" s="81"/>
      <c r="BG45" s="81"/>
      <c r="BH45" s="81"/>
      <c r="BI45" s="81"/>
      <c r="BJ45" s="81"/>
      <c r="BK45" s="81"/>
      <c r="BL45" s="81"/>
      <c r="BM45" s="81"/>
      <c r="BN45" s="81"/>
      <c r="BO45" s="81"/>
      <c r="BP45" s="81"/>
      <c r="BQ45" s="81"/>
      <c r="BR45" s="81"/>
      <c r="BS45" s="81"/>
      <c r="BT45" s="81"/>
      <c r="BU45" s="81"/>
      <c r="BV45" s="81"/>
      <c r="BW45" s="81"/>
      <c r="BX45" s="81"/>
      <c r="BY45" s="81"/>
      <c r="BZ45" s="81"/>
      <c r="CA45" s="81"/>
      <c r="CB45" s="81"/>
      <c r="CC45" s="81"/>
      <c r="CD45" s="81"/>
      <c r="CE45" s="81"/>
      <c r="CF45" s="81"/>
      <c r="CG45" s="81"/>
      <c r="CH45" s="81"/>
      <c r="CI45" s="81"/>
      <c r="CJ45" s="81"/>
      <c r="CK45" s="81"/>
      <c r="CL45" s="81"/>
      <c r="CM45" s="81"/>
      <c r="CN45" s="81"/>
      <c r="CO45" s="81"/>
      <c r="CP45" s="81"/>
      <c r="CQ45" s="81"/>
      <c r="CR45" s="81"/>
      <c r="CS45" s="81"/>
      <c r="CT45" s="81"/>
      <c r="CU45" s="81"/>
      <c r="CV45" s="81"/>
      <c r="CW45" s="81"/>
      <c r="CX45" s="81"/>
      <c r="CY45" s="81"/>
      <c r="CZ45" s="81"/>
      <c r="DA45" s="81"/>
      <c r="DB45" s="81"/>
      <c r="DC45" s="81"/>
      <c r="DD45" s="81"/>
      <c r="DE45" s="81"/>
      <c r="DF45" s="81"/>
      <c r="DG45" s="81"/>
      <c r="DH45" s="81"/>
      <c r="DI45" s="81"/>
      <c r="DJ45" s="81"/>
      <c r="DK45" s="81"/>
      <c r="DL45" s="81"/>
      <c r="DM45" s="81"/>
      <c r="DN45" s="81">
        <v>9.6534324511980074</v>
      </c>
      <c r="DO45" s="81"/>
      <c r="DP45" s="81"/>
      <c r="DQ45" s="81"/>
      <c r="DR45" s="81"/>
      <c r="DS45" s="81"/>
      <c r="DT45" s="81"/>
      <c r="DU45" s="81"/>
      <c r="DV45" s="81"/>
      <c r="DW45" s="81"/>
      <c r="DX45" s="81"/>
      <c r="DY45" s="81"/>
      <c r="DZ45" s="81"/>
      <c r="EA45" s="81"/>
      <c r="EB45" s="81"/>
      <c r="EC45" s="81"/>
      <c r="ED45" s="81"/>
      <c r="EE45" s="81"/>
      <c r="EF45" s="81"/>
      <c r="EG45" s="81"/>
      <c r="EH45" s="81"/>
      <c r="EI45" s="81"/>
      <c r="EJ45" s="81"/>
      <c r="EK45" s="81"/>
      <c r="EL45" s="81"/>
      <c r="EM45" s="81"/>
      <c r="EN45" s="81"/>
      <c r="EO45" s="81"/>
      <c r="EP45" s="81"/>
      <c r="EQ45" s="81"/>
      <c r="ER45" s="81"/>
      <c r="ES45" s="81"/>
      <c r="ET45" s="81"/>
      <c r="EU45" s="81"/>
      <c r="EV45" s="81"/>
      <c r="EW45" s="81"/>
      <c r="EX45" s="81"/>
      <c r="EY45" s="81"/>
      <c r="EZ45" s="81"/>
      <c r="FA45" s="81"/>
      <c r="FB45" s="81"/>
      <c r="FC45" s="81"/>
      <c r="FD45" s="81"/>
      <c r="FE45" s="81"/>
      <c r="FF45" s="81"/>
      <c r="FG45" s="81"/>
      <c r="FH45" s="81"/>
      <c r="FI45" s="81"/>
      <c r="FJ45" s="81"/>
      <c r="FK45" s="81"/>
      <c r="FL45" s="81"/>
      <c r="FM45" s="81"/>
      <c r="FN45" s="81"/>
      <c r="FO45" s="81"/>
      <c r="FP45" s="81"/>
      <c r="FQ45" s="81"/>
      <c r="FR45" s="81"/>
      <c r="FS45" s="81"/>
      <c r="FT45" s="81"/>
      <c r="FU45" s="81"/>
      <c r="FV45" s="81">
        <v>9.6534324511980074</v>
      </c>
      <c r="FW45" s="81"/>
      <c r="FX45" s="86"/>
      <c r="FY45" s="81"/>
      <c r="FZ45" s="81"/>
      <c r="GA45" s="81"/>
      <c r="GB45" s="81"/>
      <c r="GC45" s="81"/>
      <c r="GD45" s="81"/>
      <c r="GE45" s="81"/>
      <c r="GF45" s="81"/>
      <c r="GG45" s="81"/>
      <c r="GH45" s="81"/>
    </row>
    <row r="46" spans="1:190" x14ac:dyDescent="0.2">
      <c r="A46" s="82" t="s">
        <v>259</v>
      </c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  <c r="AQ46" s="81"/>
      <c r="AR46" s="81"/>
      <c r="AS46" s="81"/>
      <c r="AT46" s="81"/>
      <c r="AU46" s="81"/>
      <c r="AV46" s="81"/>
      <c r="AW46" s="81"/>
      <c r="AX46" s="81"/>
      <c r="AY46" s="81"/>
      <c r="AZ46" s="81"/>
      <c r="BA46" s="81"/>
      <c r="BB46" s="81"/>
      <c r="BC46" s="81"/>
      <c r="BD46" s="81"/>
      <c r="BE46" s="81"/>
      <c r="BF46" s="81"/>
      <c r="BG46" s="81"/>
      <c r="BH46" s="81"/>
      <c r="BI46" s="81"/>
      <c r="BJ46" s="81"/>
      <c r="BK46" s="81"/>
      <c r="BL46" s="81"/>
      <c r="BM46" s="81"/>
      <c r="BN46" s="81"/>
      <c r="BO46" s="81"/>
      <c r="BP46" s="81"/>
      <c r="BQ46" s="81"/>
      <c r="BR46" s="81"/>
      <c r="BS46" s="81"/>
      <c r="BT46" s="81"/>
      <c r="BU46" s="81"/>
      <c r="BV46" s="81"/>
      <c r="BW46" s="81"/>
      <c r="BX46" s="81"/>
      <c r="BY46" s="81"/>
      <c r="BZ46" s="81"/>
      <c r="CA46" s="81"/>
      <c r="CB46" s="81"/>
      <c r="CC46" s="81"/>
      <c r="CD46" s="81"/>
      <c r="CE46" s="81"/>
      <c r="CF46" s="81"/>
      <c r="CG46" s="81"/>
      <c r="CH46" s="81"/>
      <c r="CI46" s="81"/>
      <c r="CJ46" s="81"/>
      <c r="CK46" s="81"/>
      <c r="CL46" s="81"/>
      <c r="CM46" s="81"/>
      <c r="CN46" s="81"/>
      <c r="CO46" s="81"/>
      <c r="CP46" s="81"/>
      <c r="CQ46" s="81"/>
      <c r="CR46" s="81"/>
      <c r="CS46" s="81"/>
      <c r="CT46" s="81"/>
      <c r="CU46" s="81"/>
      <c r="CV46" s="81"/>
      <c r="CW46" s="81"/>
      <c r="CX46" s="81"/>
      <c r="CY46" s="81"/>
      <c r="CZ46" s="81"/>
      <c r="DA46" s="81"/>
      <c r="DB46" s="81"/>
      <c r="DC46" s="81"/>
      <c r="DD46" s="81"/>
      <c r="DE46" s="81"/>
      <c r="DF46" s="81"/>
      <c r="DG46" s="81"/>
      <c r="DH46" s="81"/>
      <c r="DI46" s="81"/>
      <c r="DJ46" s="81"/>
      <c r="DK46" s="81"/>
      <c r="DL46" s="81"/>
      <c r="DM46" s="81"/>
      <c r="DN46" s="81"/>
      <c r="DO46" s="81">
        <v>52.039678410489017</v>
      </c>
      <c r="DP46" s="81"/>
      <c r="DQ46" s="81"/>
      <c r="DR46" s="81"/>
      <c r="DS46" s="81"/>
      <c r="DT46" s="81"/>
      <c r="DU46" s="81"/>
      <c r="DV46" s="81"/>
      <c r="DW46" s="81"/>
      <c r="DX46" s="81"/>
      <c r="DY46" s="81"/>
      <c r="DZ46" s="81"/>
      <c r="EA46" s="81"/>
      <c r="EB46" s="81"/>
      <c r="EC46" s="81"/>
      <c r="ED46" s="81"/>
      <c r="EE46" s="81"/>
      <c r="EF46" s="81"/>
      <c r="EG46" s="81"/>
      <c r="EH46" s="81"/>
      <c r="EI46" s="81"/>
      <c r="EJ46" s="81"/>
      <c r="EK46" s="81"/>
      <c r="EL46" s="81"/>
      <c r="EM46" s="81"/>
      <c r="EN46" s="81"/>
      <c r="EO46" s="81"/>
      <c r="EP46" s="81"/>
      <c r="EQ46" s="81"/>
      <c r="ER46" s="81"/>
      <c r="ES46" s="81"/>
      <c r="ET46" s="81"/>
      <c r="EU46" s="81"/>
      <c r="EV46" s="81"/>
      <c r="EW46" s="81"/>
      <c r="EX46" s="81"/>
      <c r="EY46" s="81"/>
      <c r="EZ46" s="81"/>
      <c r="FA46" s="81"/>
      <c r="FB46" s="81"/>
      <c r="FC46" s="81"/>
      <c r="FD46" s="81"/>
      <c r="FE46" s="81"/>
      <c r="FF46" s="81"/>
      <c r="FG46" s="81"/>
      <c r="FH46" s="81"/>
      <c r="FI46" s="81"/>
      <c r="FJ46" s="81"/>
      <c r="FK46" s="81"/>
      <c r="FL46" s="81"/>
      <c r="FM46" s="81"/>
      <c r="FN46" s="81"/>
      <c r="FO46" s="81"/>
      <c r="FP46" s="81"/>
      <c r="FQ46" s="81"/>
      <c r="FR46" s="81"/>
      <c r="FS46" s="81"/>
      <c r="FT46" s="81"/>
      <c r="FU46" s="81"/>
      <c r="FV46" s="81">
        <v>52.039678410489017</v>
      </c>
      <c r="FW46" s="81"/>
      <c r="FX46" s="86"/>
      <c r="FY46" s="81"/>
      <c r="FZ46" s="81"/>
      <c r="GA46" s="81"/>
      <c r="GB46" s="81"/>
      <c r="GC46" s="81"/>
      <c r="GD46" s="81"/>
      <c r="GE46" s="81"/>
      <c r="GF46" s="81"/>
      <c r="GG46" s="81"/>
      <c r="GH46" s="81"/>
    </row>
    <row r="47" spans="1:190" x14ac:dyDescent="0.2">
      <c r="A47" s="82" t="s">
        <v>260</v>
      </c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81"/>
      <c r="AJ47" s="81"/>
      <c r="AK47" s="81"/>
      <c r="AL47" s="81"/>
      <c r="AM47" s="81"/>
      <c r="AN47" s="81"/>
      <c r="AO47" s="81"/>
      <c r="AP47" s="81"/>
      <c r="AQ47" s="81"/>
      <c r="AR47" s="81"/>
      <c r="AS47" s="81"/>
      <c r="AT47" s="81"/>
      <c r="AU47" s="81"/>
      <c r="AV47" s="81"/>
      <c r="AW47" s="81"/>
      <c r="AX47" s="81"/>
      <c r="AY47" s="81"/>
      <c r="AZ47" s="81"/>
      <c r="BA47" s="81"/>
      <c r="BB47" s="81"/>
      <c r="BC47" s="81"/>
      <c r="BD47" s="81"/>
      <c r="BE47" s="81"/>
      <c r="BF47" s="81"/>
      <c r="BG47" s="81"/>
      <c r="BH47" s="81"/>
      <c r="BI47" s="81"/>
      <c r="BJ47" s="81"/>
      <c r="BK47" s="81"/>
      <c r="BL47" s="81"/>
      <c r="BM47" s="81"/>
      <c r="BN47" s="81"/>
      <c r="BO47" s="81"/>
      <c r="BP47" s="81"/>
      <c r="BQ47" s="81"/>
      <c r="BR47" s="81"/>
      <c r="BS47" s="81"/>
      <c r="BT47" s="81"/>
      <c r="BU47" s="81"/>
      <c r="BV47" s="81"/>
      <c r="BW47" s="81"/>
      <c r="BX47" s="81"/>
      <c r="BY47" s="81"/>
      <c r="BZ47" s="81"/>
      <c r="CA47" s="81"/>
      <c r="CB47" s="81"/>
      <c r="CC47" s="81"/>
      <c r="CD47" s="81"/>
      <c r="CE47" s="81"/>
      <c r="CF47" s="81"/>
      <c r="CG47" s="81"/>
      <c r="CH47" s="81"/>
      <c r="CI47" s="81"/>
      <c r="CJ47" s="81"/>
      <c r="CK47" s="81"/>
      <c r="CL47" s="81"/>
      <c r="CM47" s="81"/>
      <c r="CN47" s="81"/>
      <c r="CO47" s="81"/>
      <c r="CP47" s="81"/>
      <c r="CQ47" s="81"/>
      <c r="CR47" s="81"/>
      <c r="CS47" s="81"/>
      <c r="CT47" s="81"/>
      <c r="CU47" s="81"/>
      <c r="CV47" s="81"/>
      <c r="CW47" s="81"/>
      <c r="CX47" s="81"/>
      <c r="CY47" s="81"/>
      <c r="CZ47" s="81"/>
      <c r="DA47" s="81"/>
      <c r="DB47" s="81"/>
      <c r="DC47" s="81"/>
      <c r="DD47" s="81"/>
      <c r="DE47" s="81"/>
      <c r="DF47" s="81"/>
      <c r="DG47" s="81"/>
      <c r="DH47" s="81"/>
      <c r="DI47" s="81"/>
      <c r="DJ47" s="81"/>
      <c r="DK47" s="81"/>
      <c r="DL47" s="81"/>
      <c r="DM47" s="81"/>
      <c r="DN47" s="81"/>
      <c r="DO47" s="81"/>
      <c r="DP47" s="81">
        <v>614.11923094793826</v>
      </c>
      <c r="DQ47" s="81"/>
      <c r="DR47" s="81"/>
      <c r="DS47" s="81"/>
      <c r="DT47" s="81"/>
      <c r="DU47" s="81"/>
      <c r="DV47" s="81"/>
      <c r="DW47" s="81"/>
      <c r="DX47" s="81"/>
      <c r="DY47" s="81"/>
      <c r="DZ47" s="81"/>
      <c r="EA47" s="81"/>
      <c r="EB47" s="81"/>
      <c r="EC47" s="81"/>
      <c r="ED47" s="81"/>
      <c r="EE47" s="81"/>
      <c r="EF47" s="81"/>
      <c r="EG47" s="81"/>
      <c r="EH47" s="81"/>
      <c r="EI47" s="81"/>
      <c r="EJ47" s="81"/>
      <c r="EK47" s="81"/>
      <c r="EL47" s="81"/>
      <c r="EM47" s="81"/>
      <c r="EN47" s="81"/>
      <c r="EO47" s="81"/>
      <c r="EP47" s="81"/>
      <c r="EQ47" s="81"/>
      <c r="ER47" s="81"/>
      <c r="ES47" s="81"/>
      <c r="ET47" s="81"/>
      <c r="EU47" s="81"/>
      <c r="EV47" s="81"/>
      <c r="EW47" s="81"/>
      <c r="EX47" s="81"/>
      <c r="EY47" s="81"/>
      <c r="EZ47" s="81"/>
      <c r="FA47" s="81"/>
      <c r="FB47" s="81"/>
      <c r="FC47" s="81"/>
      <c r="FD47" s="81"/>
      <c r="FE47" s="81"/>
      <c r="FF47" s="81"/>
      <c r="FG47" s="81"/>
      <c r="FH47" s="81"/>
      <c r="FI47" s="81"/>
      <c r="FJ47" s="81"/>
      <c r="FK47" s="81"/>
      <c r="FL47" s="81"/>
      <c r="FM47" s="81"/>
      <c r="FN47" s="81"/>
      <c r="FO47" s="81"/>
      <c r="FP47" s="81"/>
      <c r="FQ47" s="81"/>
      <c r="FR47" s="81"/>
      <c r="FS47" s="81"/>
      <c r="FT47" s="81"/>
      <c r="FU47" s="81"/>
      <c r="FV47" s="81">
        <v>614.11923094793826</v>
      </c>
      <c r="FW47" s="81"/>
      <c r="FX47" s="86"/>
      <c r="FY47" s="81"/>
      <c r="FZ47" s="81"/>
      <c r="GA47" s="81"/>
      <c r="GB47" s="81"/>
      <c r="GC47" s="81"/>
      <c r="GD47" s="81"/>
      <c r="GE47" s="81"/>
      <c r="GF47" s="81"/>
      <c r="GG47" s="81"/>
      <c r="GH47" s="81"/>
    </row>
    <row r="48" spans="1:190" x14ac:dyDescent="0.2">
      <c r="A48" s="82" t="s">
        <v>261</v>
      </c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  <c r="AQ48" s="81"/>
      <c r="AR48" s="81"/>
      <c r="AS48" s="81"/>
      <c r="AT48" s="81"/>
      <c r="AU48" s="81"/>
      <c r="AV48" s="81"/>
      <c r="AW48" s="81"/>
      <c r="AX48" s="81"/>
      <c r="AY48" s="81"/>
      <c r="AZ48" s="81"/>
      <c r="BA48" s="81"/>
      <c r="BB48" s="81"/>
      <c r="BC48" s="81"/>
      <c r="BD48" s="81"/>
      <c r="BE48" s="81"/>
      <c r="BF48" s="81"/>
      <c r="BG48" s="81"/>
      <c r="BH48" s="81"/>
      <c r="BI48" s="81"/>
      <c r="BJ48" s="81"/>
      <c r="BK48" s="81"/>
      <c r="BL48" s="81"/>
      <c r="BM48" s="81"/>
      <c r="BN48" s="81"/>
      <c r="BO48" s="81"/>
      <c r="BP48" s="81"/>
      <c r="BQ48" s="81"/>
      <c r="BR48" s="81"/>
      <c r="BS48" s="81"/>
      <c r="BT48" s="81"/>
      <c r="BU48" s="81"/>
      <c r="BV48" s="81"/>
      <c r="BW48" s="81"/>
      <c r="BX48" s="81"/>
      <c r="BY48" s="81"/>
      <c r="BZ48" s="81"/>
      <c r="CA48" s="81"/>
      <c r="CB48" s="81"/>
      <c r="CC48" s="81"/>
      <c r="CD48" s="81"/>
      <c r="CE48" s="81"/>
      <c r="CF48" s="81"/>
      <c r="CG48" s="81"/>
      <c r="CH48" s="81"/>
      <c r="CI48" s="81"/>
      <c r="CJ48" s="81"/>
      <c r="CK48" s="81"/>
      <c r="CL48" s="81"/>
      <c r="CM48" s="81"/>
      <c r="CN48" s="81"/>
      <c r="CO48" s="81"/>
      <c r="CP48" s="81"/>
      <c r="CQ48" s="81"/>
      <c r="CR48" s="81"/>
      <c r="CS48" s="81"/>
      <c r="CT48" s="81"/>
      <c r="CU48" s="81"/>
      <c r="CV48" s="81"/>
      <c r="CW48" s="81"/>
      <c r="CX48" s="81"/>
      <c r="CY48" s="81"/>
      <c r="CZ48" s="81"/>
      <c r="DA48" s="81"/>
      <c r="DB48" s="81"/>
      <c r="DC48" s="81"/>
      <c r="DD48" s="81"/>
      <c r="DE48" s="81"/>
      <c r="DF48" s="81"/>
      <c r="DG48" s="81"/>
      <c r="DH48" s="81"/>
      <c r="DI48" s="81"/>
      <c r="DJ48" s="81"/>
      <c r="DK48" s="81"/>
      <c r="DL48" s="81"/>
      <c r="DM48" s="81"/>
      <c r="DN48" s="81"/>
      <c r="DO48" s="81"/>
      <c r="DP48" s="81"/>
      <c r="DQ48" s="81">
        <v>63.477185602970664</v>
      </c>
      <c r="DR48" s="81"/>
      <c r="DS48" s="81"/>
      <c r="DT48" s="81"/>
      <c r="DU48" s="81"/>
      <c r="DV48" s="81"/>
      <c r="DW48" s="81"/>
      <c r="DX48" s="81"/>
      <c r="DY48" s="81"/>
      <c r="DZ48" s="81"/>
      <c r="EA48" s="81"/>
      <c r="EB48" s="81"/>
      <c r="EC48" s="81"/>
      <c r="ED48" s="81"/>
      <c r="EE48" s="81"/>
      <c r="EF48" s="81"/>
      <c r="EG48" s="81"/>
      <c r="EH48" s="81"/>
      <c r="EI48" s="81"/>
      <c r="EJ48" s="81"/>
      <c r="EK48" s="81"/>
      <c r="EL48" s="81"/>
      <c r="EM48" s="81"/>
      <c r="EN48" s="81"/>
      <c r="EO48" s="81"/>
      <c r="EP48" s="81"/>
      <c r="EQ48" s="81"/>
      <c r="ER48" s="81"/>
      <c r="ES48" s="81"/>
      <c r="ET48" s="81"/>
      <c r="EU48" s="81"/>
      <c r="EV48" s="81"/>
      <c r="EW48" s="81"/>
      <c r="EX48" s="81"/>
      <c r="EY48" s="81"/>
      <c r="EZ48" s="81"/>
      <c r="FA48" s="81"/>
      <c r="FB48" s="81"/>
      <c r="FC48" s="81"/>
      <c r="FD48" s="81"/>
      <c r="FE48" s="81"/>
      <c r="FF48" s="81"/>
      <c r="FG48" s="81"/>
      <c r="FH48" s="81"/>
      <c r="FI48" s="81"/>
      <c r="FJ48" s="81"/>
      <c r="FK48" s="81"/>
      <c r="FL48" s="81"/>
      <c r="FM48" s="81"/>
      <c r="FN48" s="81"/>
      <c r="FO48" s="81"/>
      <c r="FP48" s="81"/>
      <c r="FQ48" s="81"/>
      <c r="FR48" s="81"/>
      <c r="FS48" s="81"/>
      <c r="FT48" s="81"/>
      <c r="FU48" s="81"/>
      <c r="FV48" s="81">
        <v>63.477185602970664</v>
      </c>
      <c r="FW48" s="81"/>
      <c r="FX48" s="86"/>
      <c r="FY48" s="81"/>
      <c r="FZ48" s="81"/>
      <c r="GA48" s="81"/>
      <c r="GB48" s="81"/>
      <c r="GC48" s="81"/>
      <c r="GD48" s="81"/>
      <c r="GE48" s="81"/>
      <c r="GF48" s="81"/>
      <c r="GG48" s="81"/>
      <c r="GH48" s="81"/>
    </row>
    <row r="49" spans="1:190" x14ac:dyDescent="0.2">
      <c r="A49" s="82" t="s">
        <v>262</v>
      </c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81"/>
      <c r="AG49" s="81"/>
      <c r="AH49" s="81"/>
      <c r="AI49" s="81"/>
      <c r="AJ49" s="81"/>
      <c r="AK49" s="81"/>
      <c r="AL49" s="81"/>
      <c r="AM49" s="81"/>
      <c r="AN49" s="81"/>
      <c r="AO49" s="81"/>
      <c r="AP49" s="81"/>
      <c r="AQ49" s="81"/>
      <c r="AR49" s="81"/>
      <c r="AS49" s="81"/>
      <c r="AT49" s="81"/>
      <c r="AU49" s="81"/>
      <c r="AV49" s="81"/>
      <c r="AW49" s="81"/>
      <c r="AX49" s="81"/>
      <c r="AY49" s="81"/>
      <c r="AZ49" s="81"/>
      <c r="BA49" s="81"/>
      <c r="BB49" s="81"/>
      <c r="BC49" s="81"/>
      <c r="BD49" s="81"/>
      <c r="BE49" s="81"/>
      <c r="BF49" s="81"/>
      <c r="BG49" s="81"/>
      <c r="BH49" s="81"/>
      <c r="BI49" s="81"/>
      <c r="BJ49" s="81"/>
      <c r="BK49" s="81"/>
      <c r="BL49" s="81"/>
      <c r="BM49" s="81"/>
      <c r="BN49" s="81"/>
      <c r="BO49" s="81"/>
      <c r="BP49" s="81"/>
      <c r="BQ49" s="81"/>
      <c r="BR49" s="81"/>
      <c r="BS49" s="81"/>
      <c r="BT49" s="81"/>
      <c r="BU49" s="81"/>
      <c r="BV49" s="81"/>
      <c r="BW49" s="81"/>
      <c r="BX49" s="81"/>
      <c r="BY49" s="81"/>
      <c r="BZ49" s="81"/>
      <c r="CA49" s="81"/>
      <c r="CB49" s="81"/>
      <c r="CC49" s="81"/>
      <c r="CD49" s="81"/>
      <c r="CE49" s="81"/>
      <c r="CF49" s="81"/>
      <c r="CG49" s="81"/>
      <c r="CH49" s="81"/>
      <c r="CI49" s="81"/>
      <c r="CJ49" s="81"/>
      <c r="CK49" s="81"/>
      <c r="CL49" s="81"/>
      <c r="CM49" s="81"/>
      <c r="CN49" s="81"/>
      <c r="CO49" s="81"/>
      <c r="CP49" s="81"/>
      <c r="CQ49" s="81"/>
      <c r="CR49" s="81"/>
      <c r="CS49" s="81"/>
      <c r="CT49" s="81"/>
      <c r="CU49" s="81"/>
      <c r="CV49" s="81"/>
      <c r="CW49" s="81"/>
      <c r="CX49" s="81"/>
      <c r="CY49" s="81"/>
      <c r="CZ49" s="81"/>
      <c r="DA49" s="81"/>
      <c r="DB49" s="81"/>
      <c r="DC49" s="81"/>
      <c r="DD49" s="81"/>
      <c r="DE49" s="81"/>
      <c r="DF49" s="81"/>
      <c r="DG49" s="81"/>
      <c r="DH49" s="81"/>
      <c r="DI49" s="81"/>
      <c r="DJ49" s="81"/>
      <c r="DK49" s="81"/>
      <c r="DL49" s="81"/>
      <c r="DM49" s="81"/>
      <c r="DN49" s="81"/>
      <c r="DO49" s="81"/>
      <c r="DP49" s="81"/>
      <c r="DQ49" s="81"/>
      <c r="DR49" s="81">
        <v>561.8874636463986</v>
      </c>
      <c r="DS49" s="81"/>
      <c r="DT49" s="81"/>
      <c r="DU49" s="81"/>
      <c r="DV49" s="81"/>
      <c r="DW49" s="81"/>
      <c r="DX49" s="81"/>
      <c r="DY49" s="81"/>
      <c r="DZ49" s="81"/>
      <c r="EA49" s="81"/>
      <c r="EB49" s="81"/>
      <c r="EC49" s="81"/>
      <c r="ED49" s="81"/>
      <c r="EE49" s="81"/>
      <c r="EF49" s="81"/>
      <c r="EG49" s="81"/>
      <c r="EH49" s="81"/>
      <c r="EI49" s="81"/>
      <c r="EJ49" s="81"/>
      <c r="EK49" s="81"/>
      <c r="EL49" s="81"/>
      <c r="EM49" s="81"/>
      <c r="EN49" s="81"/>
      <c r="EO49" s="81"/>
      <c r="EP49" s="81"/>
      <c r="EQ49" s="81"/>
      <c r="ER49" s="81"/>
      <c r="ES49" s="81"/>
      <c r="ET49" s="81"/>
      <c r="EU49" s="81"/>
      <c r="EV49" s="81"/>
      <c r="EW49" s="81"/>
      <c r="EX49" s="81"/>
      <c r="EY49" s="81"/>
      <c r="EZ49" s="81"/>
      <c r="FA49" s="81"/>
      <c r="FB49" s="81"/>
      <c r="FC49" s="81"/>
      <c r="FD49" s="81"/>
      <c r="FE49" s="81"/>
      <c r="FF49" s="81"/>
      <c r="FG49" s="81"/>
      <c r="FH49" s="81"/>
      <c r="FI49" s="81"/>
      <c r="FJ49" s="81"/>
      <c r="FK49" s="81"/>
      <c r="FL49" s="81"/>
      <c r="FM49" s="81"/>
      <c r="FN49" s="81"/>
      <c r="FO49" s="81"/>
      <c r="FP49" s="81"/>
      <c r="FQ49" s="81"/>
      <c r="FR49" s="81"/>
      <c r="FS49" s="81"/>
      <c r="FT49" s="81"/>
      <c r="FU49" s="81"/>
      <c r="FV49" s="81">
        <v>561.8874636463986</v>
      </c>
      <c r="FW49" s="81"/>
      <c r="FX49" s="86"/>
      <c r="FY49" s="81"/>
      <c r="FZ49" s="81"/>
      <c r="GA49" s="81"/>
      <c r="GB49" s="81"/>
      <c r="GC49" s="81"/>
      <c r="GD49" s="81"/>
      <c r="GE49" s="81"/>
      <c r="GF49" s="81"/>
      <c r="GG49" s="81"/>
      <c r="GH49" s="81"/>
    </row>
    <row r="50" spans="1:190" x14ac:dyDescent="0.2">
      <c r="A50" s="82" t="s">
        <v>263</v>
      </c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81"/>
      <c r="AC50" s="81"/>
      <c r="AD50" s="81"/>
      <c r="AE50" s="81"/>
      <c r="AF50" s="81"/>
      <c r="AG50" s="81"/>
      <c r="AH50" s="81"/>
      <c r="AI50" s="81"/>
      <c r="AJ50" s="81"/>
      <c r="AK50" s="81"/>
      <c r="AL50" s="81"/>
      <c r="AM50" s="81"/>
      <c r="AN50" s="81"/>
      <c r="AO50" s="81"/>
      <c r="AP50" s="81"/>
      <c r="AQ50" s="81"/>
      <c r="AR50" s="81"/>
      <c r="AS50" s="81"/>
      <c r="AT50" s="81"/>
      <c r="AU50" s="81"/>
      <c r="AV50" s="81"/>
      <c r="AW50" s="81"/>
      <c r="AX50" s="81"/>
      <c r="AY50" s="81"/>
      <c r="AZ50" s="81"/>
      <c r="BA50" s="81"/>
      <c r="BB50" s="81"/>
      <c r="BC50" s="81"/>
      <c r="BD50" s="81"/>
      <c r="BE50" s="81"/>
      <c r="BF50" s="81"/>
      <c r="BG50" s="81"/>
      <c r="BH50" s="81"/>
      <c r="BI50" s="81"/>
      <c r="BJ50" s="81"/>
      <c r="BK50" s="81"/>
      <c r="BL50" s="81"/>
      <c r="BM50" s="81"/>
      <c r="BN50" s="81"/>
      <c r="BO50" s="81"/>
      <c r="BP50" s="81"/>
      <c r="BQ50" s="81"/>
      <c r="BR50" s="81"/>
      <c r="BS50" s="81"/>
      <c r="BT50" s="81"/>
      <c r="BU50" s="81"/>
      <c r="BV50" s="81"/>
      <c r="BW50" s="81"/>
      <c r="BX50" s="81"/>
      <c r="BY50" s="81"/>
      <c r="BZ50" s="81"/>
      <c r="CA50" s="81"/>
      <c r="CB50" s="81"/>
      <c r="CC50" s="81"/>
      <c r="CD50" s="81"/>
      <c r="CE50" s="81"/>
      <c r="CF50" s="81"/>
      <c r="CG50" s="81"/>
      <c r="CH50" s="81"/>
      <c r="CI50" s="81"/>
      <c r="CJ50" s="81"/>
      <c r="CK50" s="81"/>
      <c r="CL50" s="81"/>
      <c r="CM50" s="81"/>
      <c r="CN50" s="81"/>
      <c r="CO50" s="81"/>
      <c r="CP50" s="81"/>
      <c r="CQ50" s="81"/>
      <c r="CR50" s="81"/>
      <c r="CS50" s="81"/>
      <c r="CT50" s="81"/>
      <c r="CU50" s="81"/>
      <c r="CV50" s="81"/>
      <c r="CW50" s="81"/>
      <c r="CX50" s="81"/>
      <c r="CY50" s="81"/>
      <c r="CZ50" s="81"/>
      <c r="DA50" s="81"/>
      <c r="DB50" s="81"/>
      <c r="DC50" s="81"/>
      <c r="DD50" s="81"/>
      <c r="DE50" s="81"/>
      <c r="DF50" s="81"/>
      <c r="DG50" s="81"/>
      <c r="DH50" s="81"/>
      <c r="DI50" s="81"/>
      <c r="DJ50" s="81"/>
      <c r="DK50" s="81"/>
      <c r="DL50" s="81"/>
      <c r="DM50" s="81"/>
      <c r="DN50" s="81"/>
      <c r="DO50" s="81"/>
      <c r="DP50" s="81"/>
      <c r="DQ50" s="81"/>
      <c r="DR50" s="81"/>
      <c r="DS50" s="81">
        <v>206.28512323746992</v>
      </c>
      <c r="DT50" s="81"/>
      <c r="DU50" s="81"/>
      <c r="DV50" s="81"/>
      <c r="DW50" s="81"/>
      <c r="DX50" s="81"/>
      <c r="DY50" s="81"/>
      <c r="DZ50" s="81"/>
      <c r="EA50" s="81"/>
      <c r="EB50" s="81"/>
      <c r="EC50" s="81"/>
      <c r="ED50" s="81"/>
      <c r="EE50" s="81"/>
      <c r="EF50" s="81"/>
      <c r="EG50" s="81"/>
      <c r="EH50" s="81"/>
      <c r="EI50" s="81"/>
      <c r="EJ50" s="81"/>
      <c r="EK50" s="81"/>
      <c r="EL50" s="81"/>
      <c r="EM50" s="81"/>
      <c r="EN50" s="81"/>
      <c r="EO50" s="81"/>
      <c r="EP50" s="81"/>
      <c r="EQ50" s="81"/>
      <c r="ER50" s="81"/>
      <c r="ES50" s="81"/>
      <c r="ET50" s="81"/>
      <c r="EU50" s="81"/>
      <c r="EV50" s="81"/>
      <c r="EW50" s="81"/>
      <c r="EX50" s="81"/>
      <c r="EY50" s="81"/>
      <c r="EZ50" s="81"/>
      <c r="FA50" s="81"/>
      <c r="FB50" s="81"/>
      <c r="FC50" s="81"/>
      <c r="FD50" s="81"/>
      <c r="FE50" s="81"/>
      <c r="FF50" s="81"/>
      <c r="FG50" s="81"/>
      <c r="FH50" s="81"/>
      <c r="FI50" s="81"/>
      <c r="FJ50" s="81"/>
      <c r="FK50" s="81"/>
      <c r="FL50" s="81"/>
      <c r="FM50" s="81"/>
      <c r="FN50" s="81"/>
      <c r="FO50" s="81"/>
      <c r="FP50" s="81"/>
      <c r="FQ50" s="81"/>
      <c r="FR50" s="81"/>
      <c r="FS50" s="81"/>
      <c r="FT50" s="81"/>
      <c r="FU50" s="81"/>
      <c r="FV50" s="81">
        <v>206.28512323746992</v>
      </c>
      <c r="FW50" s="81"/>
      <c r="FX50" s="86"/>
      <c r="FY50" s="81"/>
      <c r="FZ50" s="81"/>
      <c r="GA50" s="81"/>
      <c r="GB50" s="81"/>
      <c r="GC50" s="81"/>
      <c r="GD50" s="81"/>
      <c r="GE50" s="81"/>
      <c r="GF50" s="81"/>
      <c r="GG50" s="81"/>
      <c r="GH50" s="81"/>
    </row>
    <row r="51" spans="1:190" x14ac:dyDescent="0.2">
      <c r="A51" s="82" t="s">
        <v>264</v>
      </c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81"/>
      <c r="AC51" s="81"/>
      <c r="AD51" s="81"/>
      <c r="AE51" s="81"/>
      <c r="AF51" s="81"/>
      <c r="AG51" s="81"/>
      <c r="AH51" s="81"/>
      <c r="AI51" s="81"/>
      <c r="AJ51" s="81"/>
      <c r="AK51" s="81"/>
      <c r="AL51" s="81"/>
      <c r="AM51" s="81"/>
      <c r="AN51" s="81"/>
      <c r="AO51" s="81"/>
      <c r="AP51" s="81"/>
      <c r="AQ51" s="81"/>
      <c r="AR51" s="81"/>
      <c r="AS51" s="81"/>
      <c r="AT51" s="81"/>
      <c r="AU51" s="81"/>
      <c r="AV51" s="81"/>
      <c r="AW51" s="81"/>
      <c r="AX51" s="81"/>
      <c r="AY51" s="81"/>
      <c r="AZ51" s="81"/>
      <c r="BA51" s="81"/>
      <c r="BB51" s="81"/>
      <c r="BC51" s="81"/>
      <c r="BD51" s="81"/>
      <c r="BE51" s="81"/>
      <c r="BF51" s="81"/>
      <c r="BG51" s="81"/>
      <c r="BH51" s="81"/>
      <c r="BI51" s="81"/>
      <c r="BJ51" s="81"/>
      <c r="BK51" s="81"/>
      <c r="BL51" s="81"/>
      <c r="BM51" s="81"/>
      <c r="BN51" s="81"/>
      <c r="BO51" s="81"/>
      <c r="BP51" s="81"/>
      <c r="BQ51" s="81"/>
      <c r="BR51" s="81"/>
      <c r="BS51" s="81"/>
      <c r="BT51" s="81"/>
      <c r="BU51" s="81"/>
      <c r="BV51" s="81"/>
      <c r="BW51" s="81"/>
      <c r="BX51" s="81"/>
      <c r="BY51" s="81"/>
      <c r="BZ51" s="81"/>
      <c r="CA51" s="81"/>
      <c r="CB51" s="81"/>
      <c r="CC51" s="81"/>
      <c r="CD51" s="81"/>
      <c r="CE51" s="81"/>
      <c r="CF51" s="81"/>
      <c r="CG51" s="81"/>
      <c r="CH51" s="81"/>
      <c r="CI51" s="81"/>
      <c r="CJ51" s="81"/>
      <c r="CK51" s="81"/>
      <c r="CL51" s="81"/>
      <c r="CM51" s="81"/>
      <c r="CN51" s="81"/>
      <c r="CO51" s="81"/>
      <c r="CP51" s="81"/>
      <c r="CQ51" s="81"/>
      <c r="CR51" s="81"/>
      <c r="CS51" s="81"/>
      <c r="CT51" s="81"/>
      <c r="CU51" s="81"/>
      <c r="CV51" s="81"/>
      <c r="CW51" s="81"/>
      <c r="CX51" s="81"/>
      <c r="CY51" s="81"/>
      <c r="CZ51" s="81"/>
      <c r="DA51" s="81"/>
      <c r="DB51" s="81"/>
      <c r="DC51" s="81"/>
      <c r="DD51" s="81"/>
      <c r="DE51" s="81"/>
      <c r="DF51" s="81"/>
      <c r="DG51" s="81"/>
      <c r="DH51" s="81"/>
      <c r="DI51" s="81"/>
      <c r="DJ51" s="81"/>
      <c r="DK51" s="81"/>
      <c r="DL51" s="81"/>
      <c r="DM51" s="81"/>
      <c r="DN51" s="81"/>
      <c r="DO51" s="81"/>
      <c r="DP51" s="81"/>
      <c r="DQ51" s="81"/>
      <c r="DR51" s="81"/>
      <c r="DS51" s="81"/>
      <c r="DT51" s="81">
        <v>246.70354894264602</v>
      </c>
      <c r="DU51" s="81"/>
      <c r="DV51" s="81"/>
      <c r="DW51" s="81"/>
      <c r="DX51" s="81"/>
      <c r="DY51" s="81"/>
      <c r="DZ51" s="81"/>
      <c r="EA51" s="81"/>
      <c r="EB51" s="81"/>
      <c r="EC51" s="81"/>
      <c r="ED51" s="81"/>
      <c r="EE51" s="81"/>
      <c r="EF51" s="81"/>
      <c r="EG51" s="81"/>
      <c r="EH51" s="81"/>
      <c r="EI51" s="81"/>
      <c r="EJ51" s="81"/>
      <c r="EK51" s="81"/>
      <c r="EL51" s="81"/>
      <c r="EM51" s="81"/>
      <c r="EN51" s="81"/>
      <c r="EO51" s="81"/>
      <c r="EP51" s="81"/>
      <c r="EQ51" s="81"/>
      <c r="ER51" s="81"/>
      <c r="ES51" s="81"/>
      <c r="ET51" s="81"/>
      <c r="EU51" s="81"/>
      <c r="EV51" s="81"/>
      <c r="EW51" s="81"/>
      <c r="EX51" s="81"/>
      <c r="EY51" s="81"/>
      <c r="EZ51" s="81"/>
      <c r="FA51" s="81"/>
      <c r="FB51" s="81"/>
      <c r="FC51" s="81"/>
      <c r="FD51" s="81"/>
      <c r="FE51" s="81"/>
      <c r="FF51" s="81"/>
      <c r="FG51" s="81"/>
      <c r="FH51" s="81"/>
      <c r="FI51" s="81"/>
      <c r="FJ51" s="81"/>
      <c r="FK51" s="81"/>
      <c r="FL51" s="81"/>
      <c r="FM51" s="81"/>
      <c r="FN51" s="81"/>
      <c r="FO51" s="81"/>
      <c r="FP51" s="81"/>
      <c r="FQ51" s="81"/>
      <c r="FR51" s="81"/>
      <c r="FS51" s="81"/>
      <c r="FT51" s="81"/>
      <c r="FU51" s="81"/>
      <c r="FV51" s="81">
        <v>246.70354894264602</v>
      </c>
      <c r="FW51" s="81"/>
      <c r="FX51" s="86"/>
      <c r="FY51" s="81"/>
      <c r="FZ51" s="81"/>
      <c r="GA51" s="81"/>
      <c r="GB51" s="81"/>
      <c r="GC51" s="81"/>
      <c r="GD51" s="81"/>
      <c r="GE51" s="81"/>
      <c r="GF51" s="81"/>
      <c r="GG51" s="81"/>
      <c r="GH51" s="81"/>
    </row>
    <row r="52" spans="1:190" x14ac:dyDescent="0.2">
      <c r="A52" s="82" t="s">
        <v>265</v>
      </c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  <c r="AB52" s="81"/>
      <c r="AC52" s="81"/>
      <c r="AD52" s="81"/>
      <c r="AE52" s="81"/>
      <c r="AF52" s="81"/>
      <c r="AG52" s="81"/>
      <c r="AH52" s="81"/>
      <c r="AI52" s="81"/>
      <c r="AJ52" s="81"/>
      <c r="AK52" s="81"/>
      <c r="AL52" s="81"/>
      <c r="AM52" s="81"/>
      <c r="AN52" s="81"/>
      <c r="AO52" s="81"/>
      <c r="AP52" s="81"/>
      <c r="AQ52" s="81"/>
      <c r="AR52" s="81"/>
      <c r="AS52" s="81"/>
      <c r="AT52" s="81"/>
      <c r="AU52" s="81"/>
      <c r="AV52" s="81"/>
      <c r="AW52" s="81"/>
      <c r="AX52" s="81"/>
      <c r="AY52" s="81"/>
      <c r="AZ52" s="81"/>
      <c r="BA52" s="81"/>
      <c r="BB52" s="81"/>
      <c r="BC52" s="81"/>
      <c r="BD52" s="81"/>
      <c r="BE52" s="81"/>
      <c r="BF52" s="81"/>
      <c r="BG52" s="81"/>
      <c r="BH52" s="81"/>
      <c r="BI52" s="81"/>
      <c r="BJ52" s="81"/>
      <c r="BK52" s="81"/>
      <c r="BL52" s="81"/>
      <c r="BM52" s="81"/>
      <c r="BN52" s="81"/>
      <c r="BO52" s="81"/>
      <c r="BP52" s="81"/>
      <c r="BQ52" s="81"/>
      <c r="BR52" s="81"/>
      <c r="BS52" s="81"/>
      <c r="BT52" s="81"/>
      <c r="BU52" s="81"/>
      <c r="BV52" s="81"/>
      <c r="BW52" s="81"/>
      <c r="BX52" s="81"/>
      <c r="BY52" s="81"/>
      <c r="BZ52" s="81"/>
      <c r="CA52" s="81"/>
      <c r="CB52" s="81"/>
      <c r="CC52" s="81"/>
      <c r="CD52" s="81"/>
      <c r="CE52" s="81"/>
      <c r="CF52" s="81"/>
      <c r="CG52" s="81"/>
      <c r="CH52" s="81"/>
      <c r="CI52" s="81"/>
      <c r="CJ52" s="81"/>
      <c r="CK52" s="81"/>
      <c r="CL52" s="81"/>
      <c r="CM52" s="81"/>
      <c r="CN52" s="81"/>
      <c r="CO52" s="81"/>
      <c r="CP52" s="81"/>
      <c r="CQ52" s="81"/>
      <c r="CR52" s="81"/>
      <c r="CS52" s="81"/>
      <c r="CT52" s="81"/>
      <c r="CU52" s="81"/>
      <c r="CV52" s="81"/>
      <c r="CW52" s="81"/>
      <c r="CX52" s="81"/>
      <c r="CY52" s="81"/>
      <c r="CZ52" s="81"/>
      <c r="DA52" s="81"/>
      <c r="DB52" s="81"/>
      <c r="DC52" s="81"/>
      <c r="DD52" s="81"/>
      <c r="DE52" s="81"/>
      <c r="DF52" s="81"/>
      <c r="DG52" s="81"/>
      <c r="DH52" s="81"/>
      <c r="DI52" s="81"/>
      <c r="DJ52" s="81"/>
      <c r="DK52" s="81"/>
      <c r="DL52" s="81"/>
      <c r="DM52" s="81"/>
      <c r="DN52" s="81"/>
      <c r="DO52" s="81"/>
      <c r="DP52" s="81"/>
      <c r="DQ52" s="81"/>
      <c r="DR52" s="81"/>
      <c r="DS52" s="81"/>
      <c r="DT52" s="81"/>
      <c r="DU52" s="81">
        <v>88.054007147862222</v>
      </c>
      <c r="DV52" s="81"/>
      <c r="DW52" s="81"/>
      <c r="DX52" s="81"/>
      <c r="DY52" s="81"/>
      <c r="DZ52" s="81"/>
      <c r="EA52" s="81"/>
      <c r="EB52" s="81"/>
      <c r="EC52" s="81"/>
      <c r="ED52" s="81"/>
      <c r="EE52" s="81"/>
      <c r="EF52" s="81"/>
      <c r="EG52" s="81"/>
      <c r="EH52" s="81"/>
      <c r="EI52" s="81"/>
      <c r="EJ52" s="81"/>
      <c r="EK52" s="81"/>
      <c r="EL52" s="81"/>
      <c r="EM52" s="81"/>
      <c r="EN52" s="81"/>
      <c r="EO52" s="81"/>
      <c r="EP52" s="81"/>
      <c r="EQ52" s="81"/>
      <c r="ER52" s="81"/>
      <c r="ES52" s="81"/>
      <c r="ET52" s="81"/>
      <c r="EU52" s="81"/>
      <c r="EV52" s="81"/>
      <c r="EW52" s="81"/>
      <c r="EX52" s="81"/>
      <c r="EY52" s="81"/>
      <c r="EZ52" s="81"/>
      <c r="FA52" s="81"/>
      <c r="FB52" s="81"/>
      <c r="FC52" s="81"/>
      <c r="FD52" s="81"/>
      <c r="FE52" s="81"/>
      <c r="FF52" s="81"/>
      <c r="FG52" s="81"/>
      <c r="FH52" s="81"/>
      <c r="FI52" s="81"/>
      <c r="FJ52" s="81"/>
      <c r="FK52" s="81"/>
      <c r="FL52" s="81"/>
      <c r="FM52" s="81"/>
      <c r="FN52" s="81"/>
      <c r="FO52" s="81"/>
      <c r="FP52" s="81"/>
      <c r="FQ52" s="81"/>
      <c r="FR52" s="81"/>
      <c r="FS52" s="81"/>
      <c r="FT52" s="81"/>
      <c r="FU52" s="81"/>
      <c r="FV52" s="81">
        <v>88.054007147862222</v>
      </c>
      <c r="FW52" s="81"/>
      <c r="FX52" s="86"/>
      <c r="FY52" s="81"/>
      <c r="FZ52" s="81"/>
      <c r="GA52" s="81"/>
      <c r="GB52" s="81"/>
      <c r="GC52" s="81"/>
      <c r="GD52" s="81"/>
      <c r="GE52" s="81"/>
      <c r="GF52" s="81"/>
      <c r="GG52" s="81"/>
      <c r="GH52" s="81"/>
    </row>
    <row r="53" spans="1:190" x14ac:dyDescent="0.2">
      <c r="A53" s="82" t="s">
        <v>266</v>
      </c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  <c r="AB53" s="81"/>
      <c r="AC53" s="81"/>
      <c r="AD53" s="81"/>
      <c r="AE53" s="81"/>
      <c r="AF53" s="81"/>
      <c r="AG53" s="81"/>
      <c r="AH53" s="81"/>
      <c r="AI53" s="81"/>
      <c r="AJ53" s="81"/>
      <c r="AK53" s="81"/>
      <c r="AL53" s="81"/>
      <c r="AM53" s="81"/>
      <c r="AN53" s="81"/>
      <c r="AO53" s="81"/>
      <c r="AP53" s="81"/>
      <c r="AQ53" s="81"/>
      <c r="AR53" s="81"/>
      <c r="AS53" s="81"/>
      <c r="AT53" s="81"/>
      <c r="AU53" s="81"/>
      <c r="AV53" s="81"/>
      <c r="AW53" s="81"/>
      <c r="AX53" s="81"/>
      <c r="AY53" s="81"/>
      <c r="AZ53" s="81"/>
      <c r="BA53" s="81"/>
      <c r="BB53" s="81"/>
      <c r="BC53" s="81"/>
      <c r="BD53" s="81"/>
      <c r="BE53" s="81"/>
      <c r="BF53" s="81"/>
      <c r="BG53" s="81"/>
      <c r="BH53" s="81"/>
      <c r="BI53" s="81"/>
      <c r="BJ53" s="81"/>
      <c r="BK53" s="81"/>
      <c r="BL53" s="81"/>
      <c r="BM53" s="81"/>
      <c r="BN53" s="81"/>
      <c r="BO53" s="81"/>
      <c r="BP53" s="81"/>
      <c r="BQ53" s="81"/>
      <c r="BR53" s="81"/>
      <c r="BS53" s="81"/>
      <c r="BT53" s="81"/>
      <c r="BU53" s="81"/>
      <c r="BV53" s="81"/>
      <c r="BW53" s="81"/>
      <c r="BX53" s="81"/>
      <c r="BY53" s="81"/>
      <c r="BZ53" s="81"/>
      <c r="CA53" s="81"/>
      <c r="CB53" s="81"/>
      <c r="CC53" s="81"/>
      <c r="CD53" s="81"/>
      <c r="CE53" s="81"/>
      <c r="CF53" s="81"/>
      <c r="CG53" s="81"/>
      <c r="CH53" s="81"/>
      <c r="CI53" s="81"/>
      <c r="CJ53" s="81"/>
      <c r="CK53" s="81"/>
      <c r="CL53" s="81"/>
      <c r="CM53" s="81"/>
      <c r="CN53" s="81"/>
      <c r="CO53" s="81"/>
      <c r="CP53" s="81"/>
      <c r="CQ53" s="81"/>
      <c r="CR53" s="81"/>
      <c r="CS53" s="81"/>
      <c r="CT53" s="81"/>
      <c r="CU53" s="81"/>
      <c r="CV53" s="81"/>
      <c r="CW53" s="81"/>
      <c r="CX53" s="81"/>
      <c r="CY53" s="81"/>
      <c r="CZ53" s="81"/>
      <c r="DA53" s="81"/>
      <c r="DB53" s="81"/>
      <c r="DC53" s="81"/>
      <c r="DD53" s="81"/>
      <c r="DE53" s="81"/>
      <c r="DF53" s="81"/>
      <c r="DG53" s="81"/>
      <c r="DH53" s="81"/>
      <c r="DI53" s="81"/>
      <c r="DJ53" s="81"/>
      <c r="DK53" s="81"/>
      <c r="DL53" s="81"/>
      <c r="DM53" s="81"/>
      <c r="DN53" s="81"/>
      <c r="DO53" s="81"/>
      <c r="DP53" s="81"/>
      <c r="DQ53" s="81"/>
      <c r="DR53" s="81"/>
      <c r="DS53" s="81"/>
      <c r="DT53" s="81"/>
      <c r="DU53" s="81"/>
      <c r="DV53" s="81">
        <v>72.421451647364606</v>
      </c>
      <c r="DW53" s="81"/>
      <c r="DX53" s="81"/>
      <c r="DY53" s="81"/>
      <c r="DZ53" s="81"/>
      <c r="EA53" s="81"/>
      <c r="EB53" s="81"/>
      <c r="EC53" s="81"/>
      <c r="ED53" s="81"/>
      <c r="EE53" s="81"/>
      <c r="EF53" s="81"/>
      <c r="EG53" s="81"/>
      <c r="EH53" s="81"/>
      <c r="EI53" s="81"/>
      <c r="EJ53" s="81"/>
      <c r="EK53" s="81"/>
      <c r="EL53" s="81"/>
      <c r="EM53" s="81"/>
      <c r="EN53" s="81"/>
      <c r="EO53" s="81"/>
      <c r="EP53" s="81"/>
      <c r="EQ53" s="81"/>
      <c r="ER53" s="81"/>
      <c r="ES53" s="81"/>
      <c r="ET53" s="81"/>
      <c r="EU53" s="81"/>
      <c r="EV53" s="81"/>
      <c r="EW53" s="81"/>
      <c r="EX53" s="81"/>
      <c r="EY53" s="81"/>
      <c r="EZ53" s="81"/>
      <c r="FA53" s="81"/>
      <c r="FB53" s="81"/>
      <c r="FC53" s="81"/>
      <c r="FD53" s="81"/>
      <c r="FE53" s="81"/>
      <c r="FF53" s="81"/>
      <c r="FG53" s="81"/>
      <c r="FH53" s="81"/>
      <c r="FI53" s="81"/>
      <c r="FJ53" s="81"/>
      <c r="FK53" s="81"/>
      <c r="FL53" s="81"/>
      <c r="FM53" s="81"/>
      <c r="FN53" s="81"/>
      <c r="FO53" s="81"/>
      <c r="FP53" s="81"/>
      <c r="FQ53" s="81"/>
      <c r="FR53" s="81"/>
      <c r="FS53" s="81"/>
      <c r="FT53" s="81"/>
      <c r="FU53" s="81"/>
      <c r="FV53" s="81">
        <v>72.421451647364606</v>
      </c>
      <c r="FW53" s="81"/>
      <c r="FX53" s="86"/>
      <c r="FY53" s="81"/>
      <c r="FZ53" s="81"/>
      <c r="GA53" s="81"/>
      <c r="GB53" s="81"/>
      <c r="GC53" s="81"/>
      <c r="GD53" s="81"/>
      <c r="GE53" s="81"/>
      <c r="GF53" s="81"/>
      <c r="GG53" s="81"/>
      <c r="GH53" s="81"/>
    </row>
    <row r="54" spans="1:190" x14ac:dyDescent="0.2">
      <c r="A54" s="82" t="s">
        <v>267</v>
      </c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  <c r="AR54" s="81"/>
      <c r="AS54" s="81"/>
      <c r="AT54" s="81"/>
      <c r="AU54" s="81"/>
      <c r="AV54" s="81"/>
      <c r="AW54" s="81"/>
      <c r="AX54" s="81"/>
      <c r="AY54" s="81"/>
      <c r="AZ54" s="81"/>
      <c r="BA54" s="81"/>
      <c r="BB54" s="81"/>
      <c r="BC54" s="81"/>
      <c r="BD54" s="81"/>
      <c r="BE54" s="81"/>
      <c r="BF54" s="81"/>
      <c r="BG54" s="81"/>
      <c r="BH54" s="81"/>
      <c r="BI54" s="81"/>
      <c r="BJ54" s="81"/>
      <c r="BK54" s="81"/>
      <c r="BL54" s="81"/>
      <c r="BM54" s="81"/>
      <c r="BN54" s="81"/>
      <c r="BO54" s="81"/>
      <c r="BP54" s="81"/>
      <c r="BQ54" s="81"/>
      <c r="BR54" s="81"/>
      <c r="BS54" s="81"/>
      <c r="BT54" s="81"/>
      <c r="BU54" s="81"/>
      <c r="BV54" s="81"/>
      <c r="BW54" s="81"/>
      <c r="BX54" s="81"/>
      <c r="BY54" s="81"/>
      <c r="BZ54" s="81"/>
      <c r="CA54" s="81"/>
      <c r="CB54" s="81"/>
      <c r="CC54" s="81"/>
      <c r="CD54" s="81"/>
      <c r="CE54" s="81"/>
      <c r="CF54" s="81"/>
      <c r="CG54" s="81"/>
      <c r="CH54" s="81"/>
      <c r="CI54" s="81"/>
      <c r="CJ54" s="81"/>
      <c r="CK54" s="81"/>
      <c r="CL54" s="81"/>
      <c r="CM54" s="81"/>
      <c r="CN54" s="81"/>
      <c r="CO54" s="81"/>
      <c r="CP54" s="81"/>
      <c r="CQ54" s="81"/>
      <c r="CR54" s="81"/>
      <c r="CS54" s="81"/>
      <c r="CT54" s="81"/>
      <c r="CU54" s="81"/>
      <c r="CV54" s="81"/>
      <c r="CW54" s="81"/>
      <c r="CX54" s="81"/>
      <c r="CY54" s="81"/>
      <c r="CZ54" s="81"/>
      <c r="DA54" s="81"/>
      <c r="DB54" s="81"/>
      <c r="DC54" s="81"/>
      <c r="DD54" s="81"/>
      <c r="DE54" s="81"/>
      <c r="DF54" s="81"/>
      <c r="DG54" s="81"/>
      <c r="DH54" s="81"/>
      <c r="DI54" s="81"/>
      <c r="DJ54" s="81"/>
      <c r="DK54" s="81"/>
      <c r="DL54" s="81"/>
      <c r="DM54" s="81"/>
      <c r="DN54" s="81"/>
      <c r="DO54" s="81"/>
      <c r="DP54" s="81"/>
      <c r="DQ54" s="81"/>
      <c r="DR54" s="81"/>
      <c r="DS54" s="81"/>
      <c r="DT54" s="81"/>
      <c r="DU54" s="81"/>
      <c r="DV54" s="81"/>
      <c r="DW54" s="81">
        <v>11.321718642857554</v>
      </c>
      <c r="DX54" s="81"/>
      <c r="DY54" s="81"/>
      <c r="DZ54" s="81"/>
      <c r="EA54" s="81"/>
      <c r="EB54" s="81"/>
      <c r="EC54" s="81"/>
      <c r="ED54" s="81"/>
      <c r="EE54" s="81"/>
      <c r="EF54" s="81"/>
      <c r="EG54" s="81"/>
      <c r="EH54" s="81"/>
      <c r="EI54" s="81"/>
      <c r="EJ54" s="81"/>
      <c r="EK54" s="81"/>
      <c r="EL54" s="81"/>
      <c r="EM54" s="81"/>
      <c r="EN54" s="81"/>
      <c r="EO54" s="81"/>
      <c r="EP54" s="81"/>
      <c r="EQ54" s="81"/>
      <c r="ER54" s="81"/>
      <c r="ES54" s="81"/>
      <c r="ET54" s="81"/>
      <c r="EU54" s="81"/>
      <c r="EV54" s="81"/>
      <c r="EW54" s="81"/>
      <c r="EX54" s="81"/>
      <c r="EY54" s="81"/>
      <c r="EZ54" s="81"/>
      <c r="FA54" s="81"/>
      <c r="FB54" s="81"/>
      <c r="FC54" s="81"/>
      <c r="FD54" s="81"/>
      <c r="FE54" s="81"/>
      <c r="FF54" s="81"/>
      <c r="FG54" s="81"/>
      <c r="FH54" s="81"/>
      <c r="FI54" s="81"/>
      <c r="FJ54" s="81"/>
      <c r="FK54" s="81"/>
      <c r="FL54" s="81"/>
      <c r="FM54" s="81"/>
      <c r="FN54" s="81"/>
      <c r="FO54" s="81"/>
      <c r="FP54" s="81"/>
      <c r="FQ54" s="81"/>
      <c r="FR54" s="81"/>
      <c r="FS54" s="81"/>
      <c r="FT54" s="81"/>
      <c r="FU54" s="81"/>
      <c r="FV54" s="81">
        <v>11.321718642857554</v>
      </c>
      <c r="FW54" s="81"/>
      <c r="FX54" s="86"/>
      <c r="FY54" s="81"/>
      <c r="FZ54" s="81"/>
      <c r="GA54" s="81"/>
      <c r="GB54" s="81"/>
      <c r="GC54" s="81"/>
      <c r="GD54" s="81"/>
      <c r="GE54" s="81"/>
      <c r="GF54" s="81"/>
      <c r="GG54" s="81"/>
      <c r="GH54" s="81"/>
    </row>
    <row r="55" spans="1:190" x14ac:dyDescent="0.2">
      <c r="A55" s="82" t="s">
        <v>268</v>
      </c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  <c r="AA55" s="81"/>
      <c r="AB55" s="81"/>
      <c r="AC55" s="81"/>
      <c r="AD55" s="81"/>
      <c r="AE55" s="81"/>
      <c r="AF55" s="81"/>
      <c r="AG55" s="81"/>
      <c r="AH55" s="81"/>
      <c r="AI55" s="81"/>
      <c r="AJ55" s="81"/>
      <c r="AK55" s="81"/>
      <c r="AL55" s="81"/>
      <c r="AM55" s="81"/>
      <c r="AN55" s="81"/>
      <c r="AO55" s="81"/>
      <c r="AP55" s="81"/>
      <c r="AQ55" s="81"/>
      <c r="AR55" s="81"/>
      <c r="AS55" s="81"/>
      <c r="AT55" s="81"/>
      <c r="AU55" s="81"/>
      <c r="AV55" s="81"/>
      <c r="AW55" s="81"/>
      <c r="AX55" s="81"/>
      <c r="AY55" s="81"/>
      <c r="AZ55" s="81"/>
      <c r="BA55" s="81"/>
      <c r="BB55" s="81"/>
      <c r="BC55" s="81"/>
      <c r="BD55" s="81"/>
      <c r="BE55" s="81"/>
      <c r="BF55" s="81"/>
      <c r="BG55" s="81"/>
      <c r="BH55" s="81"/>
      <c r="BI55" s="81"/>
      <c r="BJ55" s="81"/>
      <c r="BK55" s="81"/>
      <c r="BL55" s="81"/>
      <c r="BM55" s="81"/>
      <c r="BN55" s="81"/>
      <c r="BO55" s="81"/>
      <c r="BP55" s="81"/>
      <c r="BQ55" s="81"/>
      <c r="BR55" s="81"/>
      <c r="BS55" s="81"/>
      <c r="BT55" s="81"/>
      <c r="BU55" s="81"/>
      <c r="BV55" s="81"/>
      <c r="BW55" s="81"/>
      <c r="BX55" s="81"/>
      <c r="BY55" s="81"/>
      <c r="BZ55" s="81"/>
      <c r="CA55" s="81"/>
      <c r="CB55" s="81"/>
      <c r="CC55" s="81"/>
      <c r="CD55" s="81"/>
      <c r="CE55" s="81"/>
      <c r="CF55" s="81"/>
      <c r="CG55" s="81"/>
      <c r="CH55" s="81"/>
      <c r="CI55" s="81"/>
      <c r="CJ55" s="81"/>
      <c r="CK55" s="81"/>
      <c r="CL55" s="81"/>
      <c r="CM55" s="81"/>
      <c r="CN55" s="81"/>
      <c r="CO55" s="81"/>
      <c r="CP55" s="81"/>
      <c r="CQ55" s="81"/>
      <c r="CR55" s="81"/>
      <c r="CS55" s="81"/>
      <c r="CT55" s="81"/>
      <c r="CU55" s="81"/>
      <c r="CV55" s="81"/>
      <c r="CW55" s="81"/>
      <c r="CX55" s="81"/>
      <c r="CY55" s="81"/>
      <c r="CZ55" s="81"/>
      <c r="DA55" s="81"/>
      <c r="DB55" s="81"/>
      <c r="DC55" s="81"/>
      <c r="DD55" s="81"/>
      <c r="DE55" s="81"/>
      <c r="DF55" s="81"/>
      <c r="DG55" s="81"/>
      <c r="DH55" s="81"/>
      <c r="DI55" s="81"/>
      <c r="DJ55" s="81"/>
      <c r="DK55" s="81"/>
      <c r="DL55" s="81"/>
      <c r="DM55" s="81"/>
      <c r="DN55" s="81"/>
      <c r="DO55" s="81"/>
      <c r="DP55" s="81"/>
      <c r="DQ55" s="81"/>
      <c r="DR55" s="81"/>
      <c r="DS55" s="81"/>
      <c r="DT55" s="81"/>
      <c r="DU55" s="81"/>
      <c r="DV55" s="81"/>
      <c r="DW55" s="81"/>
      <c r="DX55" s="81">
        <v>72.720041773097051</v>
      </c>
      <c r="DY55" s="81"/>
      <c r="DZ55" s="81"/>
      <c r="EA55" s="81"/>
      <c r="EB55" s="81"/>
      <c r="EC55" s="81"/>
      <c r="ED55" s="81"/>
      <c r="EE55" s="81"/>
      <c r="EF55" s="81"/>
      <c r="EG55" s="81"/>
      <c r="EH55" s="81"/>
      <c r="EI55" s="81"/>
      <c r="EJ55" s="81"/>
      <c r="EK55" s="81"/>
      <c r="EL55" s="81"/>
      <c r="EM55" s="81"/>
      <c r="EN55" s="81"/>
      <c r="EO55" s="81"/>
      <c r="EP55" s="81"/>
      <c r="EQ55" s="81"/>
      <c r="ER55" s="81"/>
      <c r="ES55" s="81"/>
      <c r="ET55" s="81"/>
      <c r="EU55" s="81"/>
      <c r="EV55" s="81"/>
      <c r="EW55" s="81"/>
      <c r="EX55" s="81"/>
      <c r="EY55" s="81"/>
      <c r="EZ55" s="81"/>
      <c r="FA55" s="81"/>
      <c r="FB55" s="81"/>
      <c r="FC55" s="81"/>
      <c r="FD55" s="81"/>
      <c r="FE55" s="81"/>
      <c r="FF55" s="81"/>
      <c r="FG55" s="81"/>
      <c r="FH55" s="81"/>
      <c r="FI55" s="81"/>
      <c r="FJ55" s="81"/>
      <c r="FK55" s="81"/>
      <c r="FL55" s="81"/>
      <c r="FM55" s="81"/>
      <c r="FN55" s="81"/>
      <c r="FO55" s="81"/>
      <c r="FP55" s="81"/>
      <c r="FQ55" s="81"/>
      <c r="FR55" s="81"/>
      <c r="FS55" s="81"/>
      <c r="FT55" s="81"/>
      <c r="FU55" s="81"/>
      <c r="FV55" s="81">
        <v>72.720041773097051</v>
      </c>
      <c r="FW55" s="81"/>
      <c r="FX55" s="86"/>
      <c r="FY55" s="81"/>
      <c r="FZ55" s="81"/>
      <c r="GA55" s="81"/>
      <c r="GB55" s="81"/>
      <c r="GC55" s="81"/>
      <c r="GD55" s="81"/>
      <c r="GE55" s="81"/>
      <c r="GF55" s="81"/>
      <c r="GG55" s="81"/>
      <c r="GH55" s="81"/>
    </row>
    <row r="56" spans="1:190" x14ac:dyDescent="0.2">
      <c r="A56" s="82" t="s">
        <v>269</v>
      </c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81"/>
      <c r="AC56" s="81"/>
      <c r="AD56" s="81"/>
      <c r="AE56" s="81"/>
      <c r="AF56" s="81"/>
      <c r="AG56" s="81"/>
      <c r="AH56" s="81"/>
      <c r="AI56" s="81"/>
      <c r="AJ56" s="81"/>
      <c r="AK56" s="81"/>
      <c r="AL56" s="81"/>
      <c r="AM56" s="81"/>
      <c r="AN56" s="81"/>
      <c r="AO56" s="81"/>
      <c r="AP56" s="81"/>
      <c r="AQ56" s="81"/>
      <c r="AR56" s="81"/>
      <c r="AS56" s="81"/>
      <c r="AT56" s="81"/>
      <c r="AU56" s="81"/>
      <c r="AV56" s="81"/>
      <c r="AW56" s="81"/>
      <c r="AX56" s="81"/>
      <c r="AY56" s="81"/>
      <c r="AZ56" s="81"/>
      <c r="BA56" s="81"/>
      <c r="BB56" s="81"/>
      <c r="BC56" s="81"/>
      <c r="BD56" s="81"/>
      <c r="BE56" s="81"/>
      <c r="BF56" s="81"/>
      <c r="BG56" s="81"/>
      <c r="BH56" s="81"/>
      <c r="BI56" s="81"/>
      <c r="BJ56" s="81"/>
      <c r="BK56" s="81"/>
      <c r="BL56" s="81"/>
      <c r="BM56" s="81"/>
      <c r="BN56" s="81"/>
      <c r="BO56" s="81"/>
      <c r="BP56" s="81"/>
      <c r="BQ56" s="81"/>
      <c r="BR56" s="81"/>
      <c r="BS56" s="81"/>
      <c r="BT56" s="81"/>
      <c r="BU56" s="81"/>
      <c r="BV56" s="81"/>
      <c r="BW56" s="81"/>
      <c r="BX56" s="81"/>
      <c r="BY56" s="81"/>
      <c r="BZ56" s="81"/>
      <c r="CA56" s="81"/>
      <c r="CB56" s="81"/>
      <c r="CC56" s="81"/>
      <c r="CD56" s="81"/>
      <c r="CE56" s="81"/>
      <c r="CF56" s="81"/>
      <c r="CG56" s="81"/>
      <c r="CH56" s="81"/>
      <c r="CI56" s="81"/>
      <c r="CJ56" s="81"/>
      <c r="CK56" s="81"/>
      <c r="CL56" s="81"/>
      <c r="CM56" s="81"/>
      <c r="CN56" s="81"/>
      <c r="CO56" s="81"/>
      <c r="CP56" s="81"/>
      <c r="CQ56" s="81"/>
      <c r="CR56" s="81"/>
      <c r="CS56" s="81"/>
      <c r="CT56" s="81"/>
      <c r="CU56" s="81"/>
      <c r="CV56" s="81"/>
      <c r="CW56" s="81"/>
      <c r="CX56" s="81"/>
      <c r="CY56" s="81"/>
      <c r="CZ56" s="81"/>
      <c r="DA56" s="81"/>
      <c r="DB56" s="81"/>
      <c r="DC56" s="81"/>
      <c r="DD56" s="81"/>
      <c r="DE56" s="81"/>
      <c r="DF56" s="81"/>
      <c r="DG56" s="81"/>
      <c r="DH56" s="81"/>
      <c r="DI56" s="81"/>
      <c r="DJ56" s="81"/>
      <c r="DK56" s="81"/>
      <c r="DL56" s="81"/>
      <c r="DM56" s="81"/>
      <c r="DN56" s="81"/>
      <c r="DO56" s="81"/>
      <c r="DP56" s="81"/>
      <c r="DQ56" s="81"/>
      <c r="DR56" s="81"/>
      <c r="DS56" s="81"/>
      <c r="DT56" s="81"/>
      <c r="DU56" s="81"/>
      <c r="DV56" s="81"/>
      <c r="DW56" s="81"/>
      <c r="DX56" s="81"/>
      <c r="DY56" s="81">
        <v>241.05338229814984</v>
      </c>
      <c r="DZ56" s="81"/>
      <c r="EA56" s="81"/>
      <c r="EB56" s="81"/>
      <c r="EC56" s="81"/>
      <c r="ED56" s="81"/>
      <c r="EE56" s="81"/>
      <c r="EF56" s="81"/>
      <c r="EG56" s="81"/>
      <c r="EH56" s="81"/>
      <c r="EI56" s="81"/>
      <c r="EJ56" s="81"/>
      <c r="EK56" s="81"/>
      <c r="EL56" s="81"/>
      <c r="EM56" s="81"/>
      <c r="EN56" s="81"/>
      <c r="EO56" s="81"/>
      <c r="EP56" s="81"/>
      <c r="EQ56" s="81"/>
      <c r="ER56" s="81"/>
      <c r="ES56" s="81"/>
      <c r="ET56" s="81"/>
      <c r="EU56" s="81"/>
      <c r="EV56" s="81"/>
      <c r="EW56" s="81"/>
      <c r="EX56" s="81"/>
      <c r="EY56" s="81"/>
      <c r="EZ56" s="81"/>
      <c r="FA56" s="81"/>
      <c r="FB56" s="81"/>
      <c r="FC56" s="81"/>
      <c r="FD56" s="81"/>
      <c r="FE56" s="81"/>
      <c r="FF56" s="81"/>
      <c r="FG56" s="81"/>
      <c r="FH56" s="81"/>
      <c r="FI56" s="81"/>
      <c r="FJ56" s="81"/>
      <c r="FK56" s="81"/>
      <c r="FL56" s="81"/>
      <c r="FM56" s="81"/>
      <c r="FN56" s="81"/>
      <c r="FO56" s="81"/>
      <c r="FP56" s="81"/>
      <c r="FQ56" s="81"/>
      <c r="FR56" s="81"/>
      <c r="FS56" s="81"/>
      <c r="FT56" s="81"/>
      <c r="FU56" s="81"/>
      <c r="FV56" s="81">
        <v>241.05338229814984</v>
      </c>
      <c r="FW56" s="81"/>
      <c r="FX56" s="86"/>
      <c r="FY56" s="81"/>
      <c r="FZ56" s="81"/>
      <c r="GA56" s="81"/>
      <c r="GB56" s="81"/>
      <c r="GC56" s="81"/>
      <c r="GD56" s="81"/>
      <c r="GE56" s="81"/>
      <c r="GF56" s="81"/>
      <c r="GG56" s="81"/>
      <c r="GH56" s="81"/>
    </row>
    <row r="57" spans="1:190" x14ac:dyDescent="0.2">
      <c r="A57" s="82" t="s">
        <v>270</v>
      </c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  <c r="AG57" s="81"/>
      <c r="AH57" s="81"/>
      <c r="AI57" s="81"/>
      <c r="AJ57" s="81"/>
      <c r="AK57" s="81"/>
      <c r="AL57" s="81"/>
      <c r="AM57" s="81"/>
      <c r="AN57" s="81"/>
      <c r="AO57" s="81"/>
      <c r="AP57" s="81"/>
      <c r="AQ57" s="81"/>
      <c r="AR57" s="81"/>
      <c r="AS57" s="81"/>
      <c r="AT57" s="81"/>
      <c r="AU57" s="81"/>
      <c r="AV57" s="81"/>
      <c r="AW57" s="81"/>
      <c r="AX57" s="81"/>
      <c r="AY57" s="81"/>
      <c r="AZ57" s="81"/>
      <c r="BA57" s="81"/>
      <c r="BB57" s="81"/>
      <c r="BC57" s="81"/>
      <c r="BD57" s="81"/>
      <c r="BE57" s="81"/>
      <c r="BF57" s="81"/>
      <c r="BG57" s="81"/>
      <c r="BH57" s="81"/>
      <c r="BI57" s="81"/>
      <c r="BJ57" s="81"/>
      <c r="BK57" s="81"/>
      <c r="BL57" s="81"/>
      <c r="BM57" s="81"/>
      <c r="BN57" s="81"/>
      <c r="BO57" s="81"/>
      <c r="BP57" s="81"/>
      <c r="BQ57" s="81"/>
      <c r="BR57" s="81"/>
      <c r="BS57" s="81"/>
      <c r="BT57" s="81"/>
      <c r="BU57" s="81"/>
      <c r="BV57" s="81"/>
      <c r="BW57" s="81"/>
      <c r="BX57" s="81"/>
      <c r="BY57" s="81"/>
      <c r="BZ57" s="81"/>
      <c r="CA57" s="81"/>
      <c r="CB57" s="81"/>
      <c r="CC57" s="81"/>
      <c r="CD57" s="81"/>
      <c r="CE57" s="81"/>
      <c r="CF57" s="81"/>
      <c r="CG57" s="81"/>
      <c r="CH57" s="81"/>
      <c r="CI57" s="81"/>
      <c r="CJ57" s="81"/>
      <c r="CK57" s="81"/>
      <c r="CL57" s="81"/>
      <c r="CM57" s="81"/>
      <c r="CN57" s="81"/>
      <c r="CO57" s="81"/>
      <c r="CP57" s="81"/>
      <c r="CQ57" s="81"/>
      <c r="CR57" s="81"/>
      <c r="CS57" s="81"/>
      <c r="CT57" s="81"/>
      <c r="CU57" s="81"/>
      <c r="CV57" s="81"/>
      <c r="CW57" s="81"/>
      <c r="CX57" s="81"/>
      <c r="CY57" s="81"/>
      <c r="CZ57" s="81"/>
      <c r="DA57" s="81"/>
      <c r="DB57" s="81"/>
      <c r="DC57" s="81"/>
      <c r="DD57" s="81"/>
      <c r="DE57" s="81"/>
      <c r="DF57" s="81"/>
      <c r="DG57" s="81"/>
      <c r="DH57" s="81"/>
      <c r="DI57" s="81"/>
      <c r="DJ57" s="81"/>
      <c r="DK57" s="81"/>
      <c r="DL57" s="81"/>
      <c r="DM57" s="81"/>
      <c r="DN57" s="81"/>
      <c r="DO57" s="81"/>
      <c r="DP57" s="81"/>
      <c r="DQ57" s="81"/>
      <c r="DR57" s="81"/>
      <c r="DS57" s="81"/>
      <c r="DT57" s="81"/>
      <c r="DU57" s="81"/>
      <c r="DV57" s="81"/>
      <c r="DW57" s="81"/>
      <c r="DX57" s="81"/>
      <c r="DY57" s="81"/>
      <c r="DZ57" s="81">
        <v>55.771842541823226</v>
      </c>
      <c r="EA57" s="81"/>
      <c r="EB57" s="81"/>
      <c r="EC57" s="81"/>
      <c r="ED57" s="81"/>
      <c r="EE57" s="81"/>
      <c r="EF57" s="81"/>
      <c r="EG57" s="81"/>
      <c r="EH57" s="81"/>
      <c r="EI57" s="81"/>
      <c r="EJ57" s="81"/>
      <c r="EK57" s="81"/>
      <c r="EL57" s="81"/>
      <c r="EM57" s="81"/>
      <c r="EN57" s="81"/>
      <c r="EO57" s="81"/>
      <c r="EP57" s="81"/>
      <c r="EQ57" s="81"/>
      <c r="ER57" s="81"/>
      <c r="ES57" s="81"/>
      <c r="ET57" s="81"/>
      <c r="EU57" s="81"/>
      <c r="EV57" s="81"/>
      <c r="EW57" s="81"/>
      <c r="EX57" s="81"/>
      <c r="EY57" s="81"/>
      <c r="EZ57" s="81"/>
      <c r="FA57" s="81"/>
      <c r="FB57" s="81"/>
      <c r="FC57" s="81"/>
      <c r="FD57" s="81"/>
      <c r="FE57" s="81"/>
      <c r="FF57" s="81"/>
      <c r="FG57" s="81"/>
      <c r="FH57" s="81"/>
      <c r="FI57" s="81"/>
      <c r="FJ57" s="81"/>
      <c r="FK57" s="81"/>
      <c r="FL57" s="81"/>
      <c r="FM57" s="81"/>
      <c r="FN57" s="81"/>
      <c r="FO57" s="81"/>
      <c r="FP57" s="81"/>
      <c r="FQ57" s="81"/>
      <c r="FR57" s="81"/>
      <c r="FS57" s="81"/>
      <c r="FT57" s="81"/>
      <c r="FU57" s="81"/>
      <c r="FV57" s="81">
        <v>55.771842541823226</v>
      </c>
      <c r="FW57" s="81"/>
      <c r="FX57" s="86"/>
      <c r="FY57" s="81"/>
      <c r="FZ57" s="81"/>
      <c r="GA57" s="81"/>
      <c r="GB57" s="81"/>
      <c r="GC57" s="81"/>
      <c r="GD57" s="81"/>
      <c r="GE57" s="81"/>
      <c r="GF57" s="81"/>
      <c r="GG57" s="81"/>
      <c r="GH57" s="81"/>
    </row>
    <row r="58" spans="1:190" x14ac:dyDescent="0.2">
      <c r="A58" s="82" t="s">
        <v>271</v>
      </c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  <c r="AO58" s="81"/>
      <c r="AP58" s="81"/>
      <c r="AQ58" s="81"/>
      <c r="AR58" s="81"/>
      <c r="AS58" s="81"/>
      <c r="AT58" s="81"/>
      <c r="AU58" s="81"/>
      <c r="AV58" s="81"/>
      <c r="AW58" s="81"/>
      <c r="AX58" s="81"/>
      <c r="AY58" s="81"/>
      <c r="AZ58" s="81"/>
      <c r="BA58" s="81"/>
      <c r="BB58" s="81"/>
      <c r="BC58" s="81"/>
      <c r="BD58" s="81"/>
      <c r="BE58" s="81"/>
      <c r="BF58" s="81"/>
      <c r="BG58" s="81"/>
      <c r="BH58" s="81"/>
      <c r="BI58" s="81"/>
      <c r="BJ58" s="81"/>
      <c r="BK58" s="81"/>
      <c r="BL58" s="81"/>
      <c r="BM58" s="81"/>
      <c r="BN58" s="81"/>
      <c r="BO58" s="81"/>
      <c r="BP58" s="81"/>
      <c r="BQ58" s="81"/>
      <c r="BR58" s="81"/>
      <c r="BS58" s="81"/>
      <c r="BT58" s="81"/>
      <c r="BU58" s="81"/>
      <c r="BV58" s="81"/>
      <c r="BW58" s="81"/>
      <c r="BX58" s="81"/>
      <c r="BY58" s="81"/>
      <c r="BZ58" s="81"/>
      <c r="CA58" s="81"/>
      <c r="CB58" s="81"/>
      <c r="CC58" s="81"/>
      <c r="CD58" s="81"/>
      <c r="CE58" s="81"/>
      <c r="CF58" s="81"/>
      <c r="CG58" s="81"/>
      <c r="CH58" s="81"/>
      <c r="CI58" s="81"/>
      <c r="CJ58" s="81"/>
      <c r="CK58" s="81"/>
      <c r="CL58" s="81"/>
      <c r="CM58" s="81"/>
      <c r="CN58" s="81"/>
      <c r="CO58" s="81"/>
      <c r="CP58" s="81"/>
      <c r="CQ58" s="81"/>
      <c r="CR58" s="81"/>
      <c r="CS58" s="81"/>
      <c r="CT58" s="81"/>
      <c r="CU58" s="81"/>
      <c r="CV58" s="81"/>
      <c r="CW58" s="81"/>
      <c r="CX58" s="81"/>
      <c r="CY58" s="81"/>
      <c r="CZ58" s="81"/>
      <c r="DA58" s="81"/>
      <c r="DB58" s="81"/>
      <c r="DC58" s="81"/>
      <c r="DD58" s="81"/>
      <c r="DE58" s="81"/>
      <c r="DF58" s="81"/>
      <c r="DG58" s="81"/>
      <c r="DH58" s="81"/>
      <c r="DI58" s="81"/>
      <c r="DJ58" s="81"/>
      <c r="DK58" s="81"/>
      <c r="DL58" s="81"/>
      <c r="DM58" s="81"/>
      <c r="DN58" s="81"/>
      <c r="DO58" s="81"/>
      <c r="DP58" s="81"/>
      <c r="DQ58" s="81"/>
      <c r="DR58" s="81"/>
      <c r="DS58" s="81"/>
      <c r="DT58" s="81"/>
      <c r="DU58" s="81"/>
      <c r="DV58" s="81"/>
      <c r="DW58" s="81"/>
      <c r="DX58" s="81"/>
      <c r="DY58" s="81"/>
      <c r="DZ58" s="81"/>
      <c r="EA58" s="81">
        <v>598.49667640002269</v>
      </c>
      <c r="EB58" s="81"/>
      <c r="EC58" s="81"/>
      <c r="ED58" s="81"/>
      <c r="EE58" s="81"/>
      <c r="EF58" s="81"/>
      <c r="EG58" s="81"/>
      <c r="EH58" s="81"/>
      <c r="EI58" s="81"/>
      <c r="EJ58" s="81"/>
      <c r="EK58" s="81"/>
      <c r="EL58" s="81"/>
      <c r="EM58" s="81"/>
      <c r="EN58" s="81"/>
      <c r="EO58" s="81"/>
      <c r="EP58" s="81"/>
      <c r="EQ58" s="81"/>
      <c r="ER58" s="81"/>
      <c r="ES58" s="81"/>
      <c r="ET58" s="81"/>
      <c r="EU58" s="81"/>
      <c r="EV58" s="81"/>
      <c r="EW58" s="81"/>
      <c r="EX58" s="81"/>
      <c r="EY58" s="81"/>
      <c r="EZ58" s="81"/>
      <c r="FA58" s="81"/>
      <c r="FB58" s="81"/>
      <c r="FC58" s="81"/>
      <c r="FD58" s="81"/>
      <c r="FE58" s="81"/>
      <c r="FF58" s="81"/>
      <c r="FG58" s="81"/>
      <c r="FH58" s="81"/>
      <c r="FI58" s="81"/>
      <c r="FJ58" s="81"/>
      <c r="FK58" s="81"/>
      <c r="FL58" s="81"/>
      <c r="FM58" s="81"/>
      <c r="FN58" s="81"/>
      <c r="FO58" s="81"/>
      <c r="FP58" s="81"/>
      <c r="FQ58" s="81"/>
      <c r="FR58" s="81"/>
      <c r="FS58" s="81"/>
      <c r="FT58" s="81"/>
      <c r="FU58" s="81"/>
      <c r="FV58" s="81">
        <v>598.49667640002269</v>
      </c>
      <c r="FW58" s="81"/>
      <c r="FX58" s="86"/>
      <c r="FY58" s="81"/>
      <c r="FZ58" s="81"/>
      <c r="GA58" s="81"/>
      <c r="GB58" s="81"/>
      <c r="GC58" s="81"/>
      <c r="GD58" s="81"/>
      <c r="GE58" s="81"/>
      <c r="GF58" s="81"/>
      <c r="GG58" s="81"/>
      <c r="GH58" s="81"/>
    </row>
    <row r="59" spans="1:190" x14ac:dyDescent="0.2">
      <c r="A59" s="82" t="s">
        <v>272</v>
      </c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  <c r="AD59" s="81"/>
      <c r="AE59" s="81"/>
      <c r="AF59" s="81"/>
      <c r="AG59" s="81"/>
      <c r="AH59" s="81"/>
      <c r="AI59" s="81"/>
      <c r="AJ59" s="81"/>
      <c r="AK59" s="81"/>
      <c r="AL59" s="81"/>
      <c r="AM59" s="81"/>
      <c r="AN59" s="81"/>
      <c r="AO59" s="81"/>
      <c r="AP59" s="81"/>
      <c r="AQ59" s="81"/>
      <c r="AR59" s="81"/>
      <c r="AS59" s="81"/>
      <c r="AT59" s="81"/>
      <c r="AU59" s="81"/>
      <c r="AV59" s="81"/>
      <c r="AW59" s="81"/>
      <c r="AX59" s="81"/>
      <c r="AY59" s="81"/>
      <c r="AZ59" s="81"/>
      <c r="BA59" s="81"/>
      <c r="BB59" s="81"/>
      <c r="BC59" s="81"/>
      <c r="BD59" s="81"/>
      <c r="BE59" s="81"/>
      <c r="BF59" s="81"/>
      <c r="BG59" s="81"/>
      <c r="BH59" s="81"/>
      <c r="BI59" s="81"/>
      <c r="BJ59" s="81"/>
      <c r="BK59" s="81"/>
      <c r="BL59" s="81"/>
      <c r="BM59" s="81"/>
      <c r="BN59" s="81"/>
      <c r="BO59" s="81"/>
      <c r="BP59" s="81"/>
      <c r="BQ59" s="81"/>
      <c r="BR59" s="81"/>
      <c r="BS59" s="81"/>
      <c r="BT59" s="81"/>
      <c r="BU59" s="81"/>
      <c r="BV59" s="81"/>
      <c r="BW59" s="81"/>
      <c r="BX59" s="81"/>
      <c r="BY59" s="81"/>
      <c r="BZ59" s="81"/>
      <c r="CA59" s="81"/>
      <c r="CB59" s="81"/>
      <c r="CC59" s="81"/>
      <c r="CD59" s="81"/>
      <c r="CE59" s="81"/>
      <c r="CF59" s="81"/>
      <c r="CG59" s="81"/>
      <c r="CH59" s="81"/>
      <c r="CI59" s="81"/>
      <c r="CJ59" s="81"/>
      <c r="CK59" s="81"/>
      <c r="CL59" s="81"/>
      <c r="CM59" s="81"/>
      <c r="CN59" s="81"/>
      <c r="CO59" s="81"/>
      <c r="CP59" s="81"/>
      <c r="CQ59" s="81"/>
      <c r="CR59" s="81"/>
      <c r="CS59" s="81"/>
      <c r="CT59" s="81"/>
      <c r="CU59" s="81"/>
      <c r="CV59" s="81"/>
      <c r="CW59" s="81"/>
      <c r="CX59" s="81"/>
      <c r="CY59" s="81"/>
      <c r="CZ59" s="81"/>
      <c r="DA59" s="81"/>
      <c r="DB59" s="81"/>
      <c r="DC59" s="81"/>
      <c r="DD59" s="81"/>
      <c r="DE59" s="81"/>
      <c r="DF59" s="81"/>
      <c r="DG59" s="81"/>
      <c r="DH59" s="81"/>
      <c r="DI59" s="81"/>
      <c r="DJ59" s="81"/>
      <c r="DK59" s="81"/>
      <c r="DL59" s="81"/>
      <c r="DM59" s="81"/>
      <c r="DN59" s="81"/>
      <c r="DO59" s="81"/>
      <c r="DP59" s="81"/>
      <c r="DQ59" s="81"/>
      <c r="DR59" s="81"/>
      <c r="DS59" s="81"/>
      <c r="DT59" s="81"/>
      <c r="DU59" s="81"/>
      <c r="DV59" s="81"/>
      <c r="DW59" s="81"/>
      <c r="DX59" s="81"/>
      <c r="DY59" s="81"/>
      <c r="DZ59" s="81"/>
      <c r="EA59" s="81"/>
      <c r="EB59" s="81">
        <v>680.53823044102467</v>
      </c>
      <c r="EC59" s="81"/>
      <c r="ED59" s="81"/>
      <c r="EE59" s="81"/>
      <c r="EF59" s="81"/>
      <c r="EG59" s="81"/>
      <c r="EH59" s="81"/>
      <c r="EI59" s="81"/>
      <c r="EJ59" s="81"/>
      <c r="EK59" s="81"/>
      <c r="EL59" s="81"/>
      <c r="EM59" s="81"/>
      <c r="EN59" s="81"/>
      <c r="EO59" s="81"/>
      <c r="EP59" s="81"/>
      <c r="EQ59" s="81"/>
      <c r="ER59" s="81"/>
      <c r="ES59" s="81"/>
      <c r="ET59" s="81"/>
      <c r="EU59" s="81"/>
      <c r="EV59" s="81"/>
      <c r="EW59" s="81"/>
      <c r="EX59" s="81"/>
      <c r="EY59" s="81"/>
      <c r="EZ59" s="81"/>
      <c r="FA59" s="81"/>
      <c r="FB59" s="81"/>
      <c r="FC59" s="81"/>
      <c r="FD59" s="81"/>
      <c r="FE59" s="81"/>
      <c r="FF59" s="81"/>
      <c r="FG59" s="81"/>
      <c r="FH59" s="81"/>
      <c r="FI59" s="81"/>
      <c r="FJ59" s="81"/>
      <c r="FK59" s="81"/>
      <c r="FL59" s="81"/>
      <c r="FM59" s="81"/>
      <c r="FN59" s="81"/>
      <c r="FO59" s="81"/>
      <c r="FP59" s="81"/>
      <c r="FQ59" s="81"/>
      <c r="FR59" s="81"/>
      <c r="FS59" s="81"/>
      <c r="FT59" s="81"/>
      <c r="FU59" s="81"/>
      <c r="FV59" s="81">
        <v>680.53823044102467</v>
      </c>
      <c r="FW59" s="81"/>
      <c r="FX59" s="86"/>
      <c r="FY59" s="81"/>
      <c r="FZ59" s="81"/>
      <c r="GA59" s="81"/>
      <c r="GB59" s="81"/>
      <c r="GC59" s="81"/>
      <c r="GD59" s="81"/>
      <c r="GE59" s="81"/>
      <c r="GF59" s="81"/>
      <c r="GG59" s="81"/>
      <c r="GH59" s="81"/>
    </row>
    <row r="60" spans="1:190" x14ac:dyDescent="0.2">
      <c r="A60" s="82" t="s">
        <v>273</v>
      </c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  <c r="AL60" s="81"/>
      <c r="AM60" s="81"/>
      <c r="AN60" s="81"/>
      <c r="AO60" s="81"/>
      <c r="AP60" s="81"/>
      <c r="AQ60" s="81"/>
      <c r="AR60" s="81"/>
      <c r="AS60" s="81"/>
      <c r="AT60" s="81"/>
      <c r="AU60" s="81"/>
      <c r="AV60" s="81"/>
      <c r="AW60" s="81"/>
      <c r="AX60" s="81"/>
      <c r="AY60" s="81"/>
      <c r="AZ60" s="81"/>
      <c r="BA60" s="81"/>
      <c r="BB60" s="81"/>
      <c r="BC60" s="81"/>
      <c r="BD60" s="81"/>
      <c r="BE60" s="81"/>
      <c r="BF60" s="81"/>
      <c r="BG60" s="81"/>
      <c r="BH60" s="81"/>
      <c r="BI60" s="81"/>
      <c r="BJ60" s="81"/>
      <c r="BK60" s="81"/>
      <c r="BL60" s="81"/>
      <c r="BM60" s="81"/>
      <c r="BN60" s="81"/>
      <c r="BO60" s="81"/>
      <c r="BP60" s="81"/>
      <c r="BQ60" s="81"/>
      <c r="BR60" s="81"/>
      <c r="BS60" s="81"/>
      <c r="BT60" s="81"/>
      <c r="BU60" s="81"/>
      <c r="BV60" s="81"/>
      <c r="BW60" s="81"/>
      <c r="BX60" s="81"/>
      <c r="BY60" s="81"/>
      <c r="BZ60" s="81"/>
      <c r="CA60" s="81"/>
      <c r="CB60" s="81"/>
      <c r="CC60" s="81"/>
      <c r="CD60" s="81"/>
      <c r="CE60" s="81"/>
      <c r="CF60" s="81"/>
      <c r="CG60" s="81"/>
      <c r="CH60" s="81"/>
      <c r="CI60" s="81"/>
      <c r="CJ60" s="81"/>
      <c r="CK60" s="81"/>
      <c r="CL60" s="81"/>
      <c r="CM60" s="81"/>
      <c r="CN60" s="81"/>
      <c r="CO60" s="81"/>
      <c r="CP60" s="81"/>
      <c r="CQ60" s="81"/>
      <c r="CR60" s="81"/>
      <c r="CS60" s="81"/>
      <c r="CT60" s="81"/>
      <c r="CU60" s="81"/>
      <c r="CV60" s="81"/>
      <c r="CW60" s="81"/>
      <c r="CX60" s="81"/>
      <c r="CY60" s="81"/>
      <c r="CZ60" s="81"/>
      <c r="DA60" s="81"/>
      <c r="DB60" s="81"/>
      <c r="DC60" s="81"/>
      <c r="DD60" s="81"/>
      <c r="DE60" s="81"/>
      <c r="DF60" s="81"/>
      <c r="DG60" s="81"/>
      <c r="DH60" s="81"/>
      <c r="DI60" s="81"/>
      <c r="DJ60" s="81"/>
      <c r="DK60" s="81"/>
      <c r="DL60" s="81"/>
      <c r="DM60" s="81"/>
      <c r="DN60" s="81"/>
      <c r="DO60" s="81"/>
      <c r="DP60" s="81"/>
      <c r="DQ60" s="81"/>
      <c r="DR60" s="81"/>
      <c r="DS60" s="81"/>
      <c r="DT60" s="81"/>
      <c r="DU60" s="81"/>
      <c r="DV60" s="81"/>
      <c r="DW60" s="81"/>
      <c r="DX60" s="81"/>
      <c r="DY60" s="81"/>
      <c r="DZ60" s="81"/>
      <c r="EA60" s="81"/>
      <c r="EB60" s="81"/>
      <c r="EC60" s="81">
        <v>490.12071741931913</v>
      </c>
      <c r="ED60" s="81"/>
      <c r="EE60" s="81"/>
      <c r="EF60" s="81"/>
      <c r="EG60" s="81"/>
      <c r="EH60" s="81"/>
      <c r="EI60" s="81"/>
      <c r="EJ60" s="81"/>
      <c r="EK60" s="81"/>
      <c r="EL60" s="81"/>
      <c r="EM60" s="81"/>
      <c r="EN60" s="81"/>
      <c r="EO60" s="81"/>
      <c r="EP60" s="81"/>
      <c r="EQ60" s="81"/>
      <c r="ER60" s="81"/>
      <c r="ES60" s="81"/>
      <c r="ET60" s="81"/>
      <c r="EU60" s="81"/>
      <c r="EV60" s="81"/>
      <c r="EW60" s="81"/>
      <c r="EX60" s="81"/>
      <c r="EY60" s="81"/>
      <c r="EZ60" s="81"/>
      <c r="FA60" s="81"/>
      <c r="FB60" s="81"/>
      <c r="FC60" s="81"/>
      <c r="FD60" s="81"/>
      <c r="FE60" s="81"/>
      <c r="FF60" s="81"/>
      <c r="FG60" s="81"/>
      <c r="FH60" s="81"/>
      <c r="FI60" s="81"/>
      <c r="FJ60" s="81"/>
      <c r="FK60" s="81"/>
      <c r="FL60" s="81"/>
      <c r="FM60" s="81"/>
      <c r="FN60" s="81"/>
      <c r="FO60" s="81"/>
      <c r="FP60" s="81"/>
      <c r="FQ60" s="81"/>
      <c r="FR60" s="81"/>
      <c r="FS60" s="81"/>
      <c r="FT60" s="81"/>
      <c r="FU60" s="81"/>
      <c r="FV60" s="81">
        <v>490.12071741931913</v>
      </c>
      <c r="FW60" s="81"/>
      <c r="FX60" s="86"/>
      <c r="FY60" s="81"/>
      <c r="FZ60" s="81"/>
      <c r="GA60" s="81"/>
      <c r="GB60" s="81"/>
      <c r="GC60" s="81"/>
      <c r="GD60" s="81"/>
      <c r="GE60" s="81"/>
      <c r="GF60" s="81"/>
      <c r="GG60" s="81"/>
      <c r="GH60" s="81"/>
    </row>
    <row r="61" spans="1:190" x14ac:dyDescent="0.2">
      <c r="A61" s="82" t="s">
        <v>274</v>
      </c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81"/>
      <c r="AK61" s="81"/>
      <c r="AL61" s="81"/>
      <c r="AM61" s="81"/>
      <c r="AN61" s="81"/>
      <c r="AO61" s="81"/>
      <c r="AP61" s="81"/>
      <c r="AQ61" s="81"/>
      <c r="AR61" s="81"/>
      <c r="AS61" s="81"/>
      <c r="AT61" s="81"/>
      <c r="AU61" s="81"/>
      <c r="AV61" s="81"/>
      <c r="AW61" s="81"/>
      <c r="AX61" s="81"/>
      <c r="AY61" s="81"/>
      <c r="AZ61" s="81"/>
      <c r="BA61" s="81"/>
      <c r="BB61" s="81"/>
      <c r="BC61" s="81"/>
      <c r="BD61" s="81"/>
      <c r="BE61" s="81"/>
      <c r="BF61" s="81"/>
      <c r="BG61" s="81"/>
      <c r="BH61" s="81"/>
      <c r="BI61" s="81"/>
      <c r="BJ61" s="81"/>
      <c r="BK61" s="81"/>
      <c r="BL61" s="81"/>
      <c r="BM61" s="81"/>
      <c r="BN61" s="81"/>
      <c r="BO61" s="81"/>
      <c r="BP61" s="81"/>
      <c r="BQ61" s="81"/>
      <c r="BR61" s="81"/>
      <c r="BS61" s="81"/>
      <c r="BT61" s="81"/>
      <c r="BU61" s="81"/>
      <c r="BV61" s="81"/>
      <c r="BW61" s="81"/>
      <c r="BX61" s="81"/>
      <c r="BY61" s="81"/>
      <c r="BZ61" s="81"/>
      <c r="CA61" s="81"/>
      <c r="CB61" s="81"/>
      <c r="CC61" s="81"/>
      <c r="CD61" s="81"/>
      <c r="CE61" s="81"/>
      <c r="CF61" s="81"/>
      <c r="CG61" s="81"/>
      <c r="CH61" s="81"/>
      <c r="CI61" s="81"/>
      <c r="CJ61" s="81"/>
      <c r="CK61" s="81"/>
      <c r="CL61" s="81"/>
      <c r="CM61" s="81"/>
      <c r="CN61" s="81"/>
      <c r="CO61" s="81"/>
      <c r="CP61" s="81"/>
      <c r="CQ61" s="81"/>
      <c r="CR61" s="81"/>
      <c r="CS61" s="81"/>
      <c r="CT61" s="81"/>
      <c r="CU61" s="81"/>
      <c r="CV61" s="81"/>
      <c r="CW61" s="81"/>
      <c r="CX61" s="81"/>
      <c r="CY61" s="81"/>
      <c r="CZ61" s="81"/>
      <c r="DA61" s="81"/>
      <c r="DB61" s="81"/>
      <c r="DC61" s="81"/>
      <c r="DD61" s="81"/>
      <c r="DE61" s="81"/>
      <c r="DF61" s="81"/>
      <c r="DG61" s="81"/>
      <c r="DH61" s="81"/>
      <c r="DI61" s="81"/>
      <c r="DJ61" s="81"/>
      <c r="DK61" s="81"/>
      <c r="DL61" s="81"/>
      <c r="DM61" s="81"/>
      <c r="DN61" s="81"/>
      <c r="DO61" s="81"/>
      <c r="DP61" s="81"/>
      <c r="DQ61" s="81"/>
      <c r="DR61" s="81"/>
      <c r="DS61" s="81"/>
      <c r="DT61" s="81"/>
      <c r="DU61" s="81"/>
      <c r="DV61" s="81"/>
      <c r="DW61" s="81"/>
      <c r="DX61" s="81"/>
      <c r="DY61" s="81"/>
      <c r="DZ61" s="81"/>
      <c r="EA61" s="81"/>
      <c r="EB61" s="81"/>
      <c r="EC61" s="81"/>
      <c r="ED61" s="81">
        <v>150.01935870680936</v>
      </c>
      <c r="EE61" s="81"/>
      <c r="EF61" s="81"/>
      <c r="EG61" s="81"/>
      <c r="EH61" s="81"/>
      <c r="EI61" s="81"/>
      <c r="EJ61" s="81"/>
      <c r="EK61" s="81"/>
      <c r="EL61" s="81"/>
      <c r="EM61" s="81"/>
      <c r="EN61" s="81"/>
      <c r="EO61" s="81"/>
      <c r="EP61" s="81"/>
      <c r="EQ61" s="81"/>
      <c r="ER61" s="81"/>
      <c r="ES61" s="81"/>
      <c r="ET61" s="81"/>
      <c r="EU61" s="81"/>
      <c r="EV61" s="81"/>
      <c r="EW61" s="81"/>
      <c r="EX61" s="81"/>
      <c r="EY61" s="81"/>
      <c r="EZ61" s="81"/>
      <c r="FA61" s="81"/>
      <c r="FB61" s="81"/>
      <c r="FC61" s="81"/>
      <c r="FD61" s="81"/>
      <c r="FE61" s="81"/>
      <c r="FF61" s="81"/>
      <c r="FG61" s="81"/>
      <c r="FH61" s="81"/>
      <c r="FI61" s="81"/>
      <c r="FJ61" s="81"/>
      <c r="FK61" s="81"/>
      <c r="FL61" s="81"/>
      <c r="FM61" s="81"/>
      <c r="FN61" s="81"/>
      <c r="FO61" s="81"/>
      <c r="FP61" s="81"/>
      <c r="FQ61" s="81"/>
      <c r="FR61" s="81"/>
      <c r="FS61" s="81"/>
      <c r="FT61" s="81"/>
      <c r="FU61" s="81"/>
      <c r="FV61" s="81">
        <v>150.01935870680936</v>
      </c>
      <c r="FW61" s="81"/>
      <c r="FX61" s="86"/>
      <c r="FY61" s="81"/>
      <c r="FZ61" s="81"/>
      <c r="GA61" s="81"/>
      <c r="GB61" s="81"/>
      <c r="GC61" s="81"/>
      <c r="GD61" s="81"/>
      <c r="GE61" s="81"/>
      <c r="GF61" s="81"/>
      <c r="GG61" s="81"/>
      <c r="GH61" s="81"/>
    </row>
    <row r="62" spans="1:190" x14ac:dyDescent="0.2">
      <c r="A62" s="82" t="s">
        <v>275</v>
      </c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AL62" s="81"/>
      <c r="AM62" s="81"/>
      <c r="AN62" s="81"/>
      <c r="AO62" s="81"/>
      <c r="AP62" s="81"/>
      <c r="AQ62" s="81"/>
      <c r="AR62" s="81"/>
      <c r="AS62" s="81"/>
      <c r="AT62" s="81"/>
      <c r="AU62" s="81"/>
      <c r="AV62" s="81"/>
      <c r="AW62" s="81"/>
      <c r="AX62" s="81"/>
      <c r="AY62" s="81"/>
      <c r="AZ62" s="81"/>
      <c r="BA62" s="81"/>
      <c r="BB62" s="81"/>
      <c r="BC62" s="81"/>
      <c r="BD62" s="81"/>
      <c r="BE62" s="81"/>
      <c r="BF62" s="81"/>
      <c r="BG62" s="81"/>
      <c r="BH62" s="81"/>
      <c r="BI62" s="81"/>
      <c r="BJ62" s="81"/>
      <c r="BK62" s="81"/>
      <c r="BL62" s="81"/>
      <c r="BM62" s="81"/>
      <c r="BN62" s="81"/>
      <c r="BO62" s="81"/>
      <c r="BP62" s="81"/>
      <c r="BQ62" s="81"/>
      <c r="BR62" s="81"/>
      <c r="BS62" s="81"/>
      <c r="BT62" s="81"/>
      <c r="BU62" s="81"/>
      <c r="BV62" s="81"/>
      <c r="BW62" s="81"/>
      <c r="BX62" s="81"/>
      <c r="BY62" s="81"/>
      <c r="BZ62" s="81"/>
      <c r="CA62" s="81"/>
      <c r="CB62" s="81"/>
      <c r="CC62" s="81"/>
      <c r="CD62" s="81"/>
      <c r="CE62" s="81"/>
      <c r="CF62" s="81"/>
      <c r="CG62" s="81"/>
      <c r="CH62" s="81"/>
      <c r="CI62" s="81"/>
      <c r="CJ62" s="81"/>
      <c r="CK62" s="81"/>
      <c r="CL62" s="81"/>
      <c r="CM62" s="81"/>
      <c r="CN62" s="81"/>
      <c r="CO62" s="81"/>
      <c r="CP62" s="81"/>
      <c r="CQ62" s="81"/>
      <c r="CR62" s="81"/>
      <c r="CS62" s="81"/>
      <c r="CT62" s="81"/>
      <c r="CU62" s="81"/>
      <c r="CV62" s="81"/>
      <c r="CW62" s="81"/>
      <c r="CX62" s="81"/>
      <c r="CY62" s="81"/>
      <c r="CZ62" s="81"/>
      <c r="DA62" s="81"/>
      <c r="DB62" s="81"/>
      <c r="DC62" s="81"/>
      <c r="DD62" s="81"/>
      <c r="DE62" s="81"/>
      <c r="DF62" s="81"/>
      <c r="DG62" s="81"/>
      <c r="DH62" s="81"/>
      <c r="DI62" s="81"/>
      <c r="DJ62" s="81"/>
      <c r="DK62" s="81"/>
      <c r="DL62" s="81"/>
      <c r="DM62" s="81"/>
      <c r="DN62" s="81"/>
      <c r="DO62" s="81"/>
      <c r="DP62" s="81"/>
      <c r="DQ62" s="81"/>
      <c r="DR62" s="81"/>
      <c r="DS62" s="81"/>
      <c r="DT62" s="81"/>
      <c r="DU62" s="81"/>
      <c r="DV62" s="81"/>
      <c r="DW62" s="81"/>
      <c r="DX62" s="81"/>
      <c r="DY62" s="81"/>
      <c r="DZ62" s="81"/>
      <c r="EA62" s="81"/>
      <c r="EB62" s="81"/>
      <c r="EC62" s="81"/>
      <c r="ED62" s="81"/>
      <c r="EE62" s="81">
        <v>217.28937083352977</v>
      </c>
      <c r="EF62" s="81"/>
      <c r="EG62" s="81"/>
      <c r="EH62" s="81"/>
      <c r="EI62" s="81"/>
      <c r="EJ62" s="81"/>
      <c r="EK62" s="81"/>
      <c r="EL62" s="81"/>
      <c r="EM62" s="81"/>
      <c r="EN62" s="81"/>
      <c r="EO62" s="81"/>
      <c r="EP62" s="81"/>
      <c r="EQ62" s="81"/>
      <c r="ER62" s="81"/>
      <c r="ES62" s="81"/>
      <c r="ET62" s="81"/>
      <c r="EU62" s="81"/>
      <c r="EV62" s="81"/>
      <c r="EW62" s="81"/>
      <c r="EX62" s="81"/>
      <c r="EY62" s="81"/>
      <c r="EZ62" s="81"/>
      <c r="FA62" s="81"/>
      <c r="FB62" s="81"/>
      <c r="FC62" s="81"/>
      <c r="FD62" s="81"/>
      <c r="FE62" s="81"/>
      <c r="FF62" s="81"/>
      <c r="FG62" s="81"/>
      <c r="FH62" s="81"/>
      <c r="FI62" s="81"/>
      <c r="FJ62" s="81"/>
      <c r="FK62" s="81"/>
      <c r="FL62" s="81"/>
      <c r="FM62" s="81"/>
      <c r="FN62" s="81"/>
      <c r="FO62" s="81"/>
      <c r="FP62" s="81"/>
      <c r="FQ62" s="81"/>
      <c r="FR62" s="81"/>
      <c r="FS62" s="81"/>
      <c r="FT62" s="81"/>
      <c r="FU62" s="81"/>
      <c r="FV62" s="81">
        <v>217.28937083352977</v>
      </c>
      <c r="FW62" s="81"/>
      <c r="FX62" s="86"/>
      <c r="FY62" s="81"/>
      <c r="FZ62" s="81"/>
      <c r="GA62" s="81"/>
      <c r="GB62" s="81"/>
      <c r="GC62" s="81"/>
      <c r="GD62" s="81"/>
      <c r="GE62" s="81"/>
      <c r="GF62" s="81"/>
      <c r="GG62" s="81"/>
      <c r="GH62" s="81"/>
    </row>
    <row r="63" spans="1:190" x14ac:dyDescent="0.2">
      <c r="A63" s="82" t="s">
        <v>276</v>
      </c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81"/>
      <c r="AK63" s="81"/>
      <c r="AL63" s="81"/>
      <c r="AM63" s="81"/>
      <c r="AN63" s="81"/>
      <c r="AO63" s="81"/>
      <c r="AP63" s="81"/>
      <c r="AQ63" s="81"/>
      <c r="AR63" s="81"/>
      <c r="AS63" s="81"/>
      <c r="AT63" s="81"/>
      <c r="AU63" s="81"/>
      <c r="AV63" s="81"/>
      <c r="AW63" s="81"/>
      <c r="AX63" s="81"/>
      <c r="AY63" s="81"/>
      <c r="AZ63" s="81"/>
      <c r="BA63" s="81"/>
      <c r="BB63" s="81"/>
      <c r="BC63" s="81"/>
      <c r="BD63" s="81"/>
      <c r="BE63" s="81"/>
      <c r="BF63" s="81"/>
      <c r="BG63" s="81"/>
      <c r="BH63" s="81"/>
      <c r="BI63" s="81"/>
      <c r="BJ63" s="81"/>
      <c r="BK63" s="81"/>
      <c r="BL63" s="81"/>
      <c r="BM63" s="81"/>
      <c r="BN63" s="81"/>
      <c r="BO63" s="81"/>
      <c r="BP63" s="81"/>
      <c r="BQ63" s="81"/>
      <c r="BR63" s="81"/>
      <c r="BS63" s="81"/>
      <c r="BT63" s="81"/>
      <c r="BU63" s="81"/>
      <c r="BV63" s="81"/>
      <c r="BW63" s="81"/>
      <c r="BX63" s="81"/>
      <c r="BY63" s="81"/>
      <c r="BZ63" s="81"/>
      <c r="CA63" s="81"/>
      <c r="CB63" s="81"/>
      <c r="CC63" s="81"/>
      <c r="CD63" s="81"/>
      <c r="CE63" s="81"/>
      <c r="CF63" s="81"/>
      <c r="CG63" s="81"/>
      <c r="CH63" s="81"/>
      <c r="CI63" s="81"/>
      <c r="CJ63" s="81"/>
      <c r="CK63" s="81"/>
      <c r="CL63" s="81"/>
      <c r="CM63" s="81"/>
      <c r="CN63" s="81"/>
      <c r="CO63" s="81"/>
      <c r="CP63" s="81"/>
      <c r="CQ63" s="81"/>
      <c r="CR63" s="81"/>
      <c r="CS63" s="81"/>
      <c r="CT63" s="81"/>
      <c r="CU63" s="81"/>
      <c r="CV63" s="81"/>
      <c r="CW63" s="81"/>
      <c r="CX63" s="81"/>
      <c r="CY63" s="81"/>
      <c r="CZ63" s="81"/>
      <c r="DA63" s="81"/>
      <c r="DB63" s="81"/>
      <c r="DC63" s="81"/>
      <c r="DD63" s="81"/>
      <c r="DE63" s="81"/>
      <c r="DF63" s="81"/>
      <c r="DG63" s="81"/>
      <c r="DH63" s="81"/>
      <c r="DI63" s="81"/>
      <c r="DJ63" s="81"/>
      <c r="DK63" s="81"/>
      <c r="DL63" s="81"/>
      <c r="DM63" s="81"/>
      <c r="DN63" s="81"/>
      <c r="DO63" s="81"/>
      <c r="DP63" s="81"/>
      <c r="DQ63" s="81"/>
      <c r="DR63" s="81"/>
      <c r="DS63" s="81"/>
      <c r="DT63" s="81"/>
      <c r="DU63" s="81"/>
      <c r="DV63" s="81"/>
      <c r="DW63" s="81"/>
      <c r="DX63" s="81"/>
      <c r="DY63" s="81"/>
      <c r="DZ63" s="81"/>
      <c r="EA63" s="81"/>
      <c r="EB63" s="81"/>
      <c r="EC63" s="81"/>
      <c r="ED63" s="81"/>
      <c r="EE63" s="81"/>
      <c r="EF63" s="81">
        <v>166.65433548452398</v>
      </c>
      <c r="EG63" s="81"/>
      <c r="EH63" s="81"/>
      <c r="EI63" s="81"/>
      <c r="EJ63" s="81"/>
      <c r="EK63" s="81"/>
      <c r="EL63" s="81"/>
      <c r="EM63" s="81"/>
      <c r="EN63" s="81"/>
      <c r="EO63" s="81"/>
      <c r="EP63" s="81"/>
      <c r="EQ63" s="81"/>
      <c r="ER63" s="81"/>
      <c r="ES63" s="81"/>
      <c r="ET63" s="81"/>
      <c r="EU63" s="81"/>
      <c r="EV63" s="81"/>
      <c r="EW63" s="81"/>
      <c r="EX63" s="81"/>
      <c r="EY63" s="81"/>
      <c r="EZ63" s="81"/>
      <c r="FA63" s="81"/>
      <c r="FB63" s="81"/>
      <c r="FC63" s="81"/>
      <c r="FD63" s="81"/>
      <c r="FE63" s="81"/>
      <c r="FF63" s="81"/>
      <c r="FG63" s="81"/>
      <c r="FH63" s="81"/>
      <c r="FI63" s="81"/>
      <c r="FJ63" s="81"/>
      <c r="FK63" s="81"/>
      <c r="FL63" s="81"/>
      <c r="FM63" s="81"/>
      <c r="FN63" s="81"/>
      <c r="FO63" s="81"/>
      <c r="FP63" s="81"/>
      <c r="FQ63" s="81"/>
      <c r="FR63" s="81"/>
      <c r="FS63" s="81"/>
      <c r="FT63" s="81"/>
      <c r="FU63" s="81"/>
      <c r="FV63" s="81">
        <v>166.65433548452398</v>
      </c>
      <c r="FW63" s="81"/>
      <c r="FX63" s="86"/>
      <c r="FY63" s="81"/>
      <c r="FZ63" s="81"/>
      <c r="GA63" s="81"/>
      <c r="GB63" s="81"/>
      <c r="GC63" s="81"/>
      <c r="GD63" s="81"/>
      <c r="GE63" s="81"/>
      <c r="GF63" s="81"/>
      <c r="GG63" s="81"/>
      <c r="GH63" s="81"/>
    </row>
    <row r="64" spans="1:190" x14ac:dyDescent="0.2">
      <c r="A64" s="82" t="s">
        <v>277</v>
      </c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  <c r="AD64" s="81"/>
      <c r="AE64" s="81"/>
      <c r="AF64" s="81"/>
      <c r="AG64" s="81"/>
      <c r="AH64" s="81"/>
      <c r="AI64" s="81"/>
      <c r="AJ64" s="81"/>
      <c r="AK64" s="81"/>
      <c r="AL64" s="81"/>
      <c r="AM64" s="81"/>
      <c r="AN64" s="81"/>
      <c r="AO64" s="81"/>
      <c r="AP64" s="81"/>
      <c r="AQ64" s="81"/>
      <c r="AR64" s="81"/>
      <c r="AS64" s="81"/>
      <c r="AT64" s="81"/>
      <c r="AU64" s="81"/>
      <c r="AV64" s="81"/>
      <c r="AW64" s="81"/>
      <c r="AX64" s="81"/>
      <c r="AY64" s="81"/>
      <c r="AZ64" s="81"/>
      <c r="BA64" s="81"/>
      <c r="BB64" s="81"/>
      <c r="BC64" s="81"/>
      <c r="BD64" s="81"/>
      <c r="BE64" s="81"/>
      <c r="BF64" s="81"/>
      <c r="BG64" s="81"/>
      <c r="BH64" s="81"/>
      <c r="BI64" s="81"/>
      <c r="BJ64" s="81"/>
      <c r="BK64" s="81"/>
      <c r="BL64" s="81"/>
      <c r="BM64" s="81"/>
      <c r="BN64" s="81"/>
      <c r="BO64" s="81"/>
      <c r="BP64" s="81"/>
      <c r="BQ64" s="81"/>
      <c r="BR64" s="81"/>
      <c r="BS64" s="81"/>
      <c r="BT64" s="81"/>
      <c r="BU64" s="81"/>
      <c r="BV64" s="81"/>
      <c r="BW64" s="81"/>
      <c r="BX64" s="81"/>
      <c r="BY64" s="81"/>
      <c r="BZ64" s="81"/>
      <c r="CA64" s="81"/>
      <c r="CB64" s="81"/>
      <c r="CC64" s="81"/>
      <c r="CD64" s="81"/>
      <c r="CE64" s="81"/>
      <c r="CF64" s="81"/>
      <c r="CG64" s="81"/>
      <c r="CH64" s="81"/>
      <c r="CI64" s="81"/>
      <c r="CJ64" s="81"/>
      <c r="CK64" s="81"/>
      <c r="CL64" s="81"/>
      <c r="CM64" s="81"/>
      <c r="CN64" s="81"/>
      <c r="CO64" s="81"/>
      <c r="CP64" s="81"/>
      <c r="CQ64" s="81"/>
      <c r="CR64" s="81"/>
      <c r="CS64" s="81"/>
      <c r="CT64" s="81"/>
      <c r="CU64" s="81"/>
      <c r="CV64" s="81"/>
      <c r="CW64" s="81"/>
      <c r="CX64" s="81"/>
      <c r="CY64" s="81"/>
      <c r="CZ64" s="81"/>
      <c r="DA64" s="81"/>
      <c r="DB64" s="81"/>
      <c r="DC64" s="81"/>
      <c r="DD64" s="81"/>
      <c r="DE64" s="81"/>
      <c r="DF64" s="81"/>
      <c r="DG64" s="81"/>
      <c r="DH64" s="81"/>
      <c r="DI64" s="81"/>
      <c r="DJ64" s="81"/>
      <c r="DK64" s="81"/>
      <c r="DL64" s="81"/>
      <c r="DM64" s="81"/>
      <c r="DN64" s="81"/>
      <c r="DO64" s="81"/>
      <c r="DP64" s="81"/>
      <c r="DQ64" s="81"/>
      <c r="DR64" s="81"/>
      <c r="DS64" s="81"/>
      <c r="DT64" s="81"/>
      <c r="DU64" s="81"/>
      <c r="DV64" s="81"/>
      <c r="DW64" s="81"/>
      <c r="DX64" s="81"/>
      <c r="DY64" s="81"/>
      <c r="DZ64" s="81"/>
      <c r="EA64" s="81"/>
      <c r="EB64" s="81"/>
      <c r="EC64" s="81"/>
      <c r="ED64" s="81"/>
      <c r="EE64" s="81"/>
      <c r="EF64" s="81"/>
      <c r="EG64" s="81">
        <v>131.56570357575524</v>
      </c>
      <c r="EH64" s="81"/>
      <c r="EI64" s="81"/>
      <c r="EJ64" s="81"/>
      <c r="EK64" s="81"/>
      <c r="EL64" s="81"/>
      <c r="EM64" s="81"/>
      <c r="EN64" s="81"/>
      <c r="EO64" s="81"/>
      <c r="EP64" s="81"/>
      <c r="EQ64" s="81"/>
      <c r="ER64" s="81"/>
      <c r="ES64" s="81"/>
      <c r="ET64" s="81"/>
      <c r="EU64" s="81"/>
      <c r="EV64" s="81"/>
      <c r="EW64" s="81"/>
      <c r="EX64" s="81"/>
      <c r="EY64" s="81"/>
      <c r="EZ64" s="81"/>
      <c r="FA64" s="81"/>
      <c r="FB64" s="81"/>
      <c r="FC64" s="81"/>
      <c r="FD64" s="81"/>
      <c r="FE64" s="81"/>
      <c r="FF64" s="81"/>
      <c r="FG64" s="81"/>
      <c r="FH64" s="81"/>
      <c r="FI64" s="81"/>
      <c r="FJ64" s="81"/>
      <c r="FK64" s="81"/>
      <c r="FL64" s="81"/>
      <c r="FM64" s="81"/>
      <c r="FN64" s="81"/>
      <c r="FO64" s="81"/>
      <c r="FP64" s="81"/>
      <c r="FQ64" s="81"/>
      <c r="FR64" s="81"/>
      <c r="FS64" s="81"/>
      <c r="FT64" s="81"/>
      <c r="FU64" s="81"/>
      <c r="FV64" s="81">
        <v>131.56570357575524</v>
      </c>
      <c r="FW64" s="81"/>
      <c r="FX64" s="86"/>
      <c r="FY64" s="81"/>
      <c r="FZ64" s="81"/>
      <c r="GA64" s="81"/>
      <c r="GB64" s="81"/>
      <c r="GC64" s="81"/>
      <c r="GD64" s="81"/>
      <c r="GE64" s="81"/>
      <c r="GF64" s="81"/>
      <c r="GG64" s="81"/>
      <c r="GH64" s="81"/>
    </row>
    <row r="65" spans="1:190" x14ac:dyDescent="0.2">
      <c r="A65" s="82" t="s">
        <v>278</v>
      </c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81"/>
      <c r="AK65" s="81"/>
      <c r="AL65" s="81"/>
      <c r="AM65" s="81"/>
      <c r="AN65" s="81"/>
      <c r="AO65" s="81"/>
      <c r="AP65" s="81"/>
      <c r="AQ65" s="81"/>
      <c r="AR65" s="81"/>
      <c r="AS65" s="81"/>
      <c r="AT65" s="81"/>
      <c r="AU65" s="81"/>
      <c r="AV65" s="81"/>
      <c r="AW65" s="81"/>
      <c r="AX65" s="81"/>
      <c r="AY65" s="81"/>
      <c r="AZ65" s="81"/>
      <c r="BA65" s="81"/>
      <c r="BB65" s="81"/>
      <c r="BC65" s="81"/>
      <c r="BD65" s="81"/>
      <c r="BE65" s="81"/>
      <c r="BF65" s="81"/>
      <c r="BG65" s="81"/>
      <c r="BH65" s="81"/>
      <c r="BI65" s="81"/>
      <c r="BJ65" s="81"/>
      <c r="BK65" s="81"/>
      <c r="BL65" s="81"/>
      <c r="BM65" s="81"/>
      <c r="BN65" s="81"/>
      <c r="BO65" s="81"/>
      <c r="BP65" s="81"/>
      <c r="BQ65" s="81"/>
      <c r="BR65" s="81"/>
      <c r="BS65" s="81"/>
      <c r="BT65" s="81"/>
      <c r="BU65" s="81"/>
      <c r="BV65" s="81"/>
      <c r="BW65" s="81"/>
      <c r="BX65" s="81"/>
      <c r="BY65" s="81"/>
      <c r="BZ65" s="81"/>
      <c r="CA65" s="81"/>
      <c r="CB65" s="81"/>
      <c r="CC65" s="81"/>
      <c r="CD65" s="81"/>
      <c r="CE65" s="81"/>
      <c r="CF65" s="81"/>
      <c r="CG65" s="81"/>
      <c r="CH65" s="81"/>
      <c r="CI65" s="81"/>
      <c r="CJ65" s="81"/>
      <c r="CK65" s="81"/>
      <c r="CL65" s="81"/>
      <c r="CM65" s="81"/>
      <c r="CN65" s="81"/>
      <c r="CO65" s="81"/>
      <c r="CP65" s="81"/>
      <c r="CQ65" s="81"/>
      <c r="CR65" s="81"/>
      <c r="CS65" s="81"/>
      <c r="CT65" s="81"/>
      <c r="CU65" s="81"/>
      <c r="CV65" s="81"/>
      <c r="CW65" s="81"/>
      <c r="CX65" s="81"/>
      <c r="CY65" s="81"/>
      <c r="CZ65" s="81"/>
      <c r="DA65" s="81"/>
      <c r="DB65" s="81"/>
      <c r="DC65" s="81"/>
      <c r="DD65" s="81"/>
      <c r="DE65" s="81"/>
      <c r="DF65" s="81"/>
      <c r="DG65" s="81"/>
      <c r="DH65" s="81"/>
      <c r="DI65" s="81"/>
      <c r="DJ65" s="81"/>
      <c r="DK65" s="81"/>
      <c r="DL65" s="81"/>
      <c r="DM65" s="81"/>
      <c r="DN65" s="81"/>
      <c r="DO65" s="81"/>
      <c r="DP65" s="81"/>
      <c r="DQ65" s="81"/>
      <c r="DR65" s="81"/>
      <c r="DS65" s="81"/>
      <c r="DT65" s="81"/>
      <c r="DU65" s="81"/>
      <c r="DV65" s="81"/>
      <c r="DW65" s="81"/>
      <c r="DX65" s="81"/>
      <c r="DY65" s="81"/>
      <c r="DZ65" s="81"/>
      <c r="EA65" s="81"/>
      <c r="EB65" s="81"/>
      <c r="EC65" s="81"/>
      <c r="ED65" s="81"/>
      <c r="EE65" s="81"/>
      <c r="EF65" s="81"/>
      <c r="EG65" s="81"/>
      <c r="EH65" s="81">
        <v>513.40842146995442</v>
      </c>
      <c r="EI65" s="81"/>
      <c r="EJ65" s="81"/>
      <c r="EK65" s="81"/>
      <c r="EL65" s="81"/>
      <c r="EM65" s="81"/>
      <c r="EN65" s="81"/>
      <c r="EO65" s="81"/>
      <c r="EP65" s="81"/>
      <c r="EQ65" s="81"/>
      <c r="ER65" s="81"/>
      <c r="ES65" s="81"/>
      <c r="ET65" s="81"/>
      <c r="EU65" s="81"/>
      <c r="EV65" s="81"/>
      <c r="EW65" s="81"/>
      <c r="EX65" s="81"/>
      <c r="EY65" s="81"/>
      <c r="EZ65" s="81"/>
      <c r="FA65" s="81"/>
      <c r="FB65" s="81"/>
      <c r="FC65" s="81"/>
      <c r="FD65" s="81"/>
      <c r="FE65" s="81"/>
      <c r="FF65" s="81"/>
      <c r="FG65" s="81"/>
      <c r="FH65" s="81"/>
      <c r="FI65" s="81"/>
      <c r="FJ65" s="81"/>
      <c r="FK65" s="81"/>
      <c r="FL65" s="81"/>
      <c r="FM65" s="81"/>
      <c r="FN65" s="81"/>
      <c r="FO65" s="81"/>
      <c r="FP65" s="81"/>
      <c r="FQ65" s="81"/>
      <c r="FR65" s="81"/>
      <c r="FS65" s="81"/>
      <c r="FT65" s="81"/>
      <c r="FU65" s="81"/>
      <c r="FV65" s="81">
        <v>513.40842146995442</v>
      </c>
      <c r="FW65" s="81"/>
      <c r="FX65" s="86"/>
      <c r="FY65" s="81"/>
      <c r="FZ65" s="81"/>
      <c r="GA65" s="81"/>
      <c r="GB65" s="81"/>
      <c r="GC65" s="81"/>
      <c r="GD65" s="81"/>
      <c r="GE65" s="81"/>
      <c r="GF65" s="81"/>
      <c r="GG65" s="81"/>
      <c r="GH65" s="81"/>
    </row>
    <row r="66" spans="1:190" x14ac:dyDescent="0.2">
      <c r="A66" s="82" t="s">
        <v>279</v>
      </c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  <c r="AD66" s="81"/>
      <c r="AE66" s="81"/>
      <c r="AF66" s="81"/>
      <c r="AG66" s="81"/>
      <c r="AH66" s="81"/>
      <c r="AI66" s="81"/>
      <c r="AJ66" s="81"/>
      <c r="AK66" s="81"/>
      <c r="AL66" s="81"/>
      <c r="AM66" s="81"/>
      <c r="AN66" s="81"/>
      <c r="AO66" s="81"/>
      <c r="AP66" s="81"/>
      <c r="AQ66" s="81"/>
      <c r="AR66" s="81"/>
      <c r="AS66" s="81"/>
      <c r="AT66" s="81"/>
      <c r="AU66" s="81"/>
      <c r="AV66" s="81"/>
      <c r="AW66" s="81"/>
      <c r="AX66" s="81"/>
      <c r="AY66" s="81"/>
      <c r="AZ66" s="81"/>
      <c r="BA66" s="81"/>
      <c r="BB66" s="81"/>
      <c r="BC66" s="81"/>
      <c r="BD66" s="81"/>
      <c r="BE66" s="81"/>
      <c r="BF66" s="81"/>
      <c r="BG66" s="81"/>
      <c r="BH66" s="81"/>
      <c r="BI66" s="81"/>
      <c r="BJ66" s="81"/>
      <c r="BK66" s="81"/>
      <c r="BL66" s="81"/>
      <c r="BM66" s="81"/>
      <c r="BN66" s="81"/>
      <c r="BO66" s="81"/>
      <c r="BP66" s="81"/>
      <c r="BQ66" s="81"/>
      <c r="BR66" s="81"/>
      <c r="BS66" s="81"/>
      <c r="BT66" s="81"/>
      <c r="BU66" s="81"/>
      <c r="BV66" s="81"/>
      <c r="BW66" s="81"/>
      <c r="BX66" s="81"/>
      <c r="BY66" s="81"/>
      <c r="BZ66" s="81"/>
      <c r="CA66" s="81"/>
      <c r="CB66" s="81"/>
      <c r="CC66" s="81"/>
      <c r="CD66" s="81"/>
      <c r="CE66" s="81"/>
      <c r="CF66" s="81"/>
      <c r="CG66" s="81"/>
      <c r="CH66" s="81"/>
      <c r="CI66" s="81"/>
      <c r="CJ66" s="81"/>
      <c r="CK66" s="81"/>
      <c r="CL66" s="81"/>
      <c r="CM66" s="81"/>
      <c r="CN66" s="81"/>
      <c r="CO66" s="81"/>
      <c r="CP66" s="81"/>
      <c r="CQ66" s="81"/>
      <c r="CR66" s="81"/>
      <c r="CS66" s="81"/>
      <c r="CT66" s="81"/>
      <c r="CU66" s="81"/>
      <c r="CV66" s="81"/>
      <c r="CW66" s="81"/>
      <c r="CX66" s="81"/>
      <c r="CY66" s="81"/>
      <c r="CZ66" s="81"/>
      <c r="DA66" s="81"/>
      <c r="DB66" s="81"/>
      <c r="DC66" s="81"/>
      <c r="DD66" s="81"/>
      <c r="DE66" s="81"/>
      <c r="DF66" s="81"/>
      <c r="DG66" s="81"/>
      <c r="DH66" s="81"/>
      <c r="DI66" s="81"/>
      <c r="DJ66" s="81"/>
      <c r="DK66" s="81"/>
      <c r="DL66" s="81"/>
      <c r="DM66" s="81"/>
      <c r="DN66" s="81"/>
      <c r="DO66" s="81"/>
      <c r="DP66" s="81"/>
      <c r="DQ66" s="81"/>
      <c r="DR66" s="81"/>
      <c r="DS66" s="81"/>
      <c r="DT66" s="81"/>
      <c r="DU66" s="81"/>
      <c r="DV66" s="81"/>
      <c r="DW66" s="81"/>
      <c r="DX66" s="81"/>
      <c r="DY66" s="81"/>
      <c r="DZ66" s="81"/>
      <c r="EA66" s="81"/>
      <c r="EB66" s="81"/>
      <c r="EC66" s="81"/>
      <c r="ED66" s="81"/>
      <c r="EE66" s="81"/>
      <c r="EF66" s="81"/>
      <c r="EG66" s="81"/>
      <c r="EH66" s="81"/>
      <c r="EI66" s="81">
        <v>351.27282159733244</v>
      </c>
      <c r="EJ66" s="81"/>
      <c r="EK66" s="81"/>
      <c r="EL66" s="81"/>
      <c r="EM66" s="81"/>
      <c r="EN66" s="81"/>
      <c r="EO66" s="81"/>
      <c r="EP66" s="81"/>
      <c r="EQ66" s="81"/>
      <c r="ER66" s="81"/>
      <c r="ES66" s="81"/>
      <c r="ET66" s="81"/>
      <c r="EU66" s="81"/>
      <c r="EV66" s="81"/>
      <c r="EW66" s="81"/>
      <c r="EX66" s="81"/>
      <c r="EY66" s="81"/>
      <c r="EZ66" s="81"/>
      <c r="FA66" s="81"/>
      <c r="FB66" s="81"/>
      <c r="FC66" s="81"/>
      <c r="FD66" s="81"/>
      <c r="FE66" s="81"/>
      <c r="FF66" s="81"/>
      <c r="FG66" s="81"/>
      <c r="FH66" s="81"/>
      <c r="FI66" s="81"/>
      <c r="FJ66" s="81"/>
      <c r="FK66" s="81"/>
      <c r="FL66" s="81"/>
      <c r="FM66" s="81"/>
      <c r="FN66" s="81"/>
      <c r="FO66" s="81"/>
      <c r="FP66" s="81"/>
      <c r="FQ66" s="81"/>
      <c r="FR66" s="81"/>
      <c r="FS66" s="81"/>
      <c r="FT66" s="81"/>
      <c r="FU66" s="81"/>
      <c r="FV66" s="81">
        <v>351.27282159733244</v>
      </c>
      <c r="FW66" s="81"/>
      <c r="FX66" s="86"/>
      <c r="FY66" s="81"/>
      <c r="FZ66" s="81"/>
      <c r="GA66" s="81"/>
      <c r="GB66" s="81"/>
      <c r="GC66" s="81"/>
      <c r="GD66" s="81"/>
      <c r="GE66" s="81"/>
      <c r="GF66" s="81"/>
      <c r="GG66" s="81"/>
      <c r="GH66" s="81"/>
    </row>
    <row r="67" spans="1:190" x14ac:dyDescent="0.2">
      <c r="A67" s="82" t="s">
        <v>280</v>
      </c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81"/>
      <c r="AK67" s="81"/>
      <c r="AL67" s="81"/>
      <c r="AM67" s="81"/>
      <c r="AN67" s="81"/>
      <c r="AO67" s="81"/>
      <c r="AP67" s="81"/>
      <c r="AQ67" s="81"/>
      <c r="AR67" s="81"/>
      <c r="AS67" s="81"/>
      <c r="AT67" s="81"/>
      <c r="AU67" s="81"/>
      <c r="AV67" s="81"/>
      <c r="AW67" s="81"/>
      <c r="AX67" s="81"/>
      <c r="AY67" s="81"/>
      <c r="AZ67" s="81"/>
      <c r="BA67" s="81"/>
      <c r="BB67" s="81"/>
      <c r="BC67" s="81"/>
      <c r="BD67" s="81"/>
      <c r="BE67" s="81"/>
      <c r="BF67" s="81"/>
      <c r="BG67" s="81"/>
      <c r="BH67" s="81"/>
      <c r="BI67" s="81"/>
      <c r="BJ67" s="81"/>
      <c r="BK67" s="81"/>
      <c r="BL67" s="81"/>
      <c r="BM67" s="81"/>
      <c r="BN67" s="81"/>
      <c r="BO67" s="81"/>
      <c r="BP67" s="81"/>
      <c r="BQ67" s="81"/>
      <c r="BR67" s="81"/>
      <c r="BS67" s="81"/>
      <c r="BT67" s="81"/>
      <c r="BU67" s="81"/>
      <c r="BV67" s="81"/>
      <c r="BW67" s="81"/>
      <c r="BX67" s="81"/>
      <c r="BY67" s="81"/>
      <c r="BZ67" s="81"/>
      <c r="CA67" s="81"/>
      <c r="CB67" s="81"/>
      <c r="CC67" s="81"/>
      <c r="CD67" s="81"/>
      <c r="CE67" s="81"/>
      <c r="CF67" s="81"/>
      <c r="CG67" s="81"/>
      <c r="CH67" s="81"/>
      <c r="CI67" s="81"/>
      <c r="CJ67" s="81"/>
      <c r="CK67" s="81"/>
      <c r="CL67" s="81"/>
      <c r="CM67" s="81"/>
      <c r="CN67" s="81"/>
      <c r="CO67" s="81"/>
      <c r="CP67" s="81"/>
      <c r="CQ67" s="81"/>
      <c r="CR67" s="81"/>
      <c r="CS67" s="81"/>
      <c r="CT67" s="81"/>
      <c r="CU67" s="81"/>
      <c r="CV67" s="81"/>
      <c r="CW67" s="81"/>
      <c r="CX67" s="81"/>
      <c r="CY67" s="81"/>
      <c r="CZ67" s="81"/>
      <c r="DA67" s="81"/>
      <c r="DB67" s="81"/>
      <c r="DC67" s="81"/>
      <c r="DD67" s="81"/>
      <c r="DE67" s="81"/>
      <c r="DF67" s="81"/>
      <c r="DG67" s="81"/>
      <c r="DH67" s="81"/>
      <c r="DI67" s="81"/>
      <c r="DJ67" s="81"/>
      <c r="DK67" s="81"/>
      <c r="DL67" s="81"/>
      <c r="DM67" s="81"/>
      <c r="DN67" s="81"/>
      <c r="DO67" s="81"/>
      <c r="DP67" s="81"/>
      <c r="DQ67" s="81"/>
      <c r="DR67" s="81"/>
      <c r="DS67" s="81"/>
      <c r="DT67" s="81"/>
      <c r="DU67" s="81"/>
      <c r="DV67" s="81"/>
      <c r="DW67" s="81"/>
      <c r="DX67" s="81"/>
      <c r="DY67" s="81"/>
      <c r="DZ67" s="81"/>
      <c r="EA67" s="81"/>
      <c r="EB67" s="81"/>
      <c r="EC67" s="81"/>
      <c r="ED67" s="81"/>
      <c r="EE67" s="81"/>
      <c r="EF67" s="81"/>
      <c r="EG67" s="81"/>
      <c r="EH67" s="81"/>
      <c r="EI67" s="81"/>
      <c r="EJ67" s="81">
        <v>222.19030018611812</v>
      </c>
      <c r="EK67" s="81"/>
      <c r="EL67" s="81"/>
      <c r="EM67" s="81"/>
      <c r="EN67" s="81"/>
      <c r="EO67" s="81"/>
      <c r="EP67" s="81"/>
      <c r="EQ67" s="81"/>
      <c r="ER67" s="81"/>
      <c r="ES67" s="81"/>
      <c r="ET67" s="81"/>
      <c r="EU67" s="81"/>
      <c r="EV67" s="81"/>
      <c r="EW67" s="81"/>
      <c r="EX67" s="81"/>
      <c r="EY67" s="81"/>
      <c r="EZ67" s="81"/>
      <c r="FA67" s="81"/>
      <c r="FB67" s="81"/>
      <c r="FC67" s="81"/>
      <c r="FD67" s="81"/>
      <c r="FE67" s="81"/>
      <c r="FF67" s="81"/>
      <c r="FG67" s="81"/>
      <c r="FH67" s="81"/>
      <c r="FI67" s="81"/>
      <c r="FJ67" s="81"/>
      <c r="FK67" s="81"/>
      <c r="FL67" s="81"/>
      <c r="FM67" s="81"/>
      <c r="FN67" s="81"/>
      <c r="FO67" s="81"/>
      <c r="FP67" s="81"/>
      <c r="FQ67" s="81"/>
      <c r="FR67" s="81"/>
      <c r="FS67" s="81"/>
      <c r="FT67" s="81"/>
      <c r="FU67" s="81"/>
      <c r="FV67" s="81">
        <v>222.19030018611812</v>
      </c>
      <c r="FW67" s="81"/>
      <c r="FX67" s="86"/>
      <c r="FY67" s="81"/>
      <c r="FZ67" s="81"/>
      <c r="GA67" s="81"/>
      <c r="GB67" s="81"/>
      <c r="GC67" s="81"/>
      <c r="GD67" s="81"/>
      <c r="GE67" s="81"/>
      <c r="GF67" s="81"/>
      <c r="GG67" s="81"/>
      <c r="GH67" s="81"/>
    </row>
    <row r="68" spans="1:190" x14ac:dyDescent="0.2">
      <c r="A68" s="82" t="s">
        <v>281</v>
      </c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  <c r="AA68" s="81"/>
      <c r="AB68" s="81"/>
      <c r="AC68" s="81"/>
      <c r="AD68" s="81"/>
      <c r="AE68" s="81"/>
      <c r="AF68" s="81"/>
      <c r="AG68" s="81"/>
      <c r="AH68" s="81"/>
      <c r="AI68" s="81"/>
      <c r="AJ68" s="81"/>
      <c r="AK68" s="81"/>
      <c r="AL68" s="81"/>
      <c r="AM68" s="81"/>
      <c r="AN68" s="81"/>
      <c r="AO68" s="81"/>
      <c r="AP68" s="81"/>
      <c r="AQ68" s="81"/>
      <c r="AR68" s="81"/>
      <c r="AS68" s="81"/>
      <c r="AT68" s="81"/>
      <c r="AU68" s="81"/>
      <c r="AV68" s="81"/>
      <c r="AW68" s="81"/>
      <c r="AX68" s="81"/>
      <c r="AY68" s="81"/>
      <c r="AZ68" s="81"/>
      <c r="BA68" s="81"/>
      <c r="BB68" s="81"/>
      <c r="BC68" s="81"/>
      <c r="BD68" s="81"/>
      <c r="BE68" s="81"/>
      <c r="BF68" s="81"/>
      <c r="BG68" s="81"/>
      <c r="BH68" s="81"/>
      <c r="BI68" s="81"/>
      <c r="BJ68" s="81"/>
      <c r="BK68" s="81"/>
      <c r="BL68" s="81"/>
      <c r="BM68" s="81"/>
      <c r="BN68" s="81"/>
      <c r="BO68" s="81"/>
      <c r="BP68" s="81"/>
      <c r="BQ68" s="81"/>
      <c r="BR68" s="81"/>
      <c r="BS68" s="81"/>
      <c r="BT68" s="81"/>
      <c r="BU68" s="81"/>
      <c r="BV68" s="81"/>
      <c r="BW68" s="81"/>
      <c r="BX68" s="81"/>
      <c r="BY68" s="81"/>
      <c r="BZ68" s="81"/>
      <c r="CA68" s="81"/>
      <c r="CB68" s="81"/>
      <c r="CC68" s="81"/>
      <c r="CD68" s="81"/>
      <c r="CE68" s="81"/>
      <c r="CF68" s="81"/>
      <c r="CG68" s="81"/>
      <c r="CH68" s="81"/>
      <c r="CI68" s="81"/>
      <c r="CJ68" s="81"/>
      <c r="CK68" s="81"/>
      <c r="CL68" s="81"/>
      <c r="CM68" s="81"/>
      <c r="CN68" s="81"/>
      <c r="CO68" s="81"/>
      <c r="CP68" s="81"/>
      <c r="CQ68" s="81"/>
      <c r="CR68" s="81"/>
      <c r="CS68" s="81"/>
      <c r="CT68" s="81"/>
      <c r="CU68" s="81"/>
      <c r="CV68" s="81"/>
      <c r="CW68" s="81"/>
      <c r="CX68" s="81"/>
      <c r="CY68" s="81"/>
      <c r="CZ68" s="81"/>
      <c r="DA68" s="81"/>
      <c r="DB68" s="81"/>
      <c r="DC68" s="81"/>
      <c r="DD68" s="81"/>
      <c r="DE68" s="81"/>
      <c r="DF68" s="81"/>
      <c r="DG68" s="81"/>
      <c r="DH68" s="81"/>
      <c r="DI68" s="81"/>
      <c r="DJ68" s="81"/>
      <c r="DK68" s="81"/>
      <c r="DL68" s="81"/>
      <c r="DM68" s="81"/>
      <c r="DN68" s="81"/>
      <c r="DO68" s="81"/>
      <c r="DP68" s="81"/>
      <c r="DQ68" s="81"/>
      <c r="DR68" s="81"/>
      <c r="DS68" s="81"/>
      <c r="DT68" s="81"/>
      <c r="DU68" s="81"/>
      <c r="DV68" s="81"/>
      <c r="DW68" s="81"/>
      <c r="DX68" s="81"/>
      <c r="DY68" s="81"/>
      <c r="DZ68" s="81"/>
      <c r="EA68" s="81"/>
      <c r="EB68" s="81"/>
      <c r="EC68" s="81"/>
      <c r="ED68" s="81"/>
      <c r="EE68" s="81"/>
      <c r="EF68" s="81"/>
      <c r="EG68" s="81"/>
      <c r="EH68" s="81"/>
      <c r="EI68" s="81"/>
      <c r="EJ68" s="81"/>
      <c r="EK68" s="81">
        <v>238.43741446496603</v>
      </c>
      <c r="EL68" s="81"/>
      <c r="EM68" s="81"/>
      <c r="EN68" s="81"/>
      <c r="EO68" s="81"/>
      <c r="EP68" s="81"/>
      <c r="EQ68" s="81"/>
      <c r="ER68" s="81"/>
      <c r="ES68" s="81"/>
      <c r="ET68" s="81"/>
      <c r="EU68" s="81"/>
      <c r="EV68" s="81"/>
      <c r="EW68" s="81"/>
      <c r="EX68" s="81"/>
      <c r="EY68" s="81"/>
      <c r="EZ68" s="81"/>
      <c r="FA68" s="81"/>
      <c r="FB68" s="81"/>
      <c r="FC68" s="81"/>
      <c r="FD68" s="81"/>
      <c r="FE68" s="81"/>
      <c r="FF68" s="81"/>
      <c r="FG68" s="81"/>
      <c r="FH68" s="81"/>
      <c r="FI68" s="81"/>
      <c r="FJ68" s="81"/>
      <c r="FK68" s="81"/>
      <c r="FL68" s="81"/>
      <c r="FM68" s="81"/>
      <c r="FN68" s="81"/>
      <c r="FO68" s="81"/>
      <c r="FP68" s="81"/>
      <c r="FQ68" s="81"/>
      <c r="FR68" s="81"/>
      <c r="FS68" s="81"/>
      <c r="FT68" s="81"/>
      <c r="FU68" s="81"/>
      <c r="FV68" s="81">
        <v>238.43741446496603</v>
      </c>
      <c r="FW68" s="81"/>
      <c r="FX68" s="86"/>
      <c r="FY68" s="81"/>
      <c r="FZ68" s="81"/>
      <c r="GA68" s="81"/>
      <c r="GB68" s="81"/>
      <c r="GC68" s="81"/>
      <c r="GD68" s="81"/>
      <c r="GE68" s="81"/>
      <c r="GF68" s="81"/>
      <c r="GG68" s="81"/>
      <c r="GH68" s="81"/>
    </row>
    <row r="69" spans="1:190" x14ac:dyDescent="0.2">
      <c r="A69" s="82" t="s">
        <v>282</v>
      </c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  <c r="AA69" s="81"/>
      <c r="AB69" s="81"/>
      <c r="AC69" s="81"/>
      <c r="AD69" s="81"/>
      <c r="AE69" s="81"/>
      <c r="AF69" s="81"/>
      <c r="AG69" s="81"/>
      <c r="AH69" s="81"/>
      <c r="AI69" s="81"/>
      <c r="AJ69" s="81"/>
      <c r="AK69" s="81"/>
      <c r="AL69" s="81"/>
      <c r="AM69" s="81"/>
      <c r="AN69" s="81"/>
      <c r="AO69" s="81"/>
      <c r="AP69" s="81"/>
      <c r="AQ69" s="81"/>
      <c r="AR69" s="81"/>
      <c r="AS69" s="81"/>
      <c r="AT69" s="81"/>
      <c r="AU69" s="81"/>
      <c r="AV69" s="81"/>
      <c r="AW69" s="81"/>
      <c r="AX69" s="81"/>
      <c r="AY69" s="81"/>
      <c r="AZ69" s="81"/>
      <c r="BA69" s="81"/>
      <c r="BB69" s="81"/>
      <c r="BC69" s="81"/>
      <c r="BD69" s="81"/>
      <c r="BE69" s="81"/>
      <c r="BF69" s="81"/>
      <c r="BG69" s="81"/>
      <c r="BH69" s="81"/>
      <c r="BI69" s="81"/>
      <c r="BJ69" s="81"/>
      <c r="BK69" s="81"/>
      <c r="BL69" s="81"/>
      <c r="BM69" s="81"/>
      <c r="BN69" s="81"/>
      <c r="BO69" s="81"/>
      <c r="BP69" s="81"/>
      <c r="BQ69" s="81"/>
      <c r="BR69" s="81"/>
      <c r="BS69" s="81"/>
      <c r="BT69" s="81"/>
      <c r="BU69" s="81"/>
      <c r="BV69" s="81"/>
      <c r="BW69" s="81"/>
      <c r="BX69" s="81"/>
      <c r="BY69" s="81"/>
      <c r="BZ69" s="81"/>
      <c r="CA69" s="81"/>
      <c r="CB69" s="81"/>
      <c r="CC69" s="81"/>
      <c r="CD69" s="81"/>
      <c r="CE69" s="81"/>
      <c r="CF69" s="81"/>
      <c r="CG69" s="81"/>
      <c r="CH69" s="81"/>
      <c r="CI69" s="81"/>
      <c r="CJ69" s="81"/>
      <c r="CK69" s="81"/>
      <c r="CL69" s="81"/>
      <c r="CM69" s="81"/>
      <c r="CN69" s="81"/>
      <c r="CO69" s="81"/>
      <c r="CP69" s="81"/>
      <c r="CQ69" s="81"/>
      <c r="CR69" s="81"/>
      <c r="CS69" s="81"/>
      <c r="CT69" s="81"/>
      <c r="CU69" s="81"/>
      <c r="CV69" s="81"/>
      <c r="CW69" s="81"/>
      <c r="CX69" s="81"/>
      <c r="CY69" s="81"/>
      <c r="CZ69" s="81"/>
      <c r="DA69" s="81"/>
      <c r="DB69" s="81"/>
      <c r="DC69" s="81"/>
      <c r="DD69" s="81"/>
      <c r="DE69" s="81"/>
      <c r="DF69" s="81"/>
      <c r="DG69" s="81"/>
      <c r="DH69" s="81"/>
      <c r="DI69" s="81"/>
      <c r="DJ69" s="81"/>
      <c r="DK69" s="81"/>
      <c r="DL69" s="81"/>
      <c r="DM69" s="81"/>
      <c r="DN69" s="81"/>
      <c r="DO69" s="81"/>
      <c r="DP69" s="81"/>
      <c r="DQ69" s="81"/>
      <c r="DR69" s="81"/>
      <c r="DS69" s="81"/>
      <c r="DT69" s="81"/>
      <c r="DU69" s="81"/>
      <c r="DV69" s="81"/>
      <c r="DW69" s="81"/>
      <c r="DX69" s="81"/>
      <c r="DY69" s="81"/>
      <c r="DZ69" s="81"/>
      <c r="EA69" s="81"/>
      <c r="EB69" s="81"/>
      <c r="EC69" s="81"/>
      <c r="ED69" s="81"/>
      <c r="EE69" s="81"/>
      <c r="EF69" s="81"/>
      <c r="EG69" s="81"/>
      <c r="EH69" s="81"/>
      <c r="EI69" s="81"/>
      <c r="EJ69" s="81"/>
      <c r="EK69" s="81"/>
      <c r="EL69" s="81">
        <v>196.04316161969422</v>
      </c>
      <c r="EM69" s="81"/>
      <c r="EN69" s="81"/>
      <c r="EO69" s="81"/>
      <c r="EP69" s="81"/>
      <c r="EQ69" s="81"/>
      <c r="ER69" s="81"/>
      <c r="ES69" s="81"/>
      <c r="ET69" s="81"/>
      <c r="EU69" s="81"/>
      <c r="EV69" s="81"/>
      <c r="EW69" s="81"/>
      <c r="EX69" s="81"/>
      <c r="EY69" s="81"/>
      <c r="EZ69" s="81"/>
      <c r="FA69" s="81"/>
      <c r="FB69" s="81"/>
      <c r="FC69" s="81"/>
      <c r="FD69" s="81"/>
      <c r="FE69" s="81"/>
      <c r="FF69" s="81"/>
      <c r="FG69" s="81"/>
      <c r="FH69" s="81"/>
      <c r="FI69" s="81"/>
      <c r="FJ69" s="81"/>
      <c r="FK69" s="81"/>
      <c r="FL69" s="81"/>
      <c r="FM69" s="81"/>
      <c r="FN69" s="81"/>
      <c r="FO69" s="81"/>
      <c r="FP69" s="81"/>
      <c r="FQ69" s="81"/>
      <c r="FR69" s="81"/>
      <c r="FS69" s="81"/>
      <c r="FT69" s="81"/>
      <c r="FU69" s="81"/>
      <c r="FV69" s="81">
        <v>196.04316161969422</v>
      </c>
      <c r="FW69" s="81"/>
      <c r="FX69" s="86"/>
      <c r="FY69" s="81"/>
      <c r="FZ69" s="81"/>
      <c r="GA69" s="81"/>
      <c r="GB69" s="81"/>
      <c r="GC69" s="81"/>
      <c r="GD69" s="81"/>
      <c r="GE69" s="81"/>
      <c r="GF69" s="81"/>
      <c r="GG69" s="81"/>
      <c r="GH69" s="81"/>
    </row>
    <row r="70" spans="1:190" x14ac:dyDescent="0.2">
      <c r="A70" s="82" t="s">
        <v>283</v>
      </c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  <c r="AA70" s="81"/>
      <c r="AB70" s="81"/>
      <c r="AC70" s="81"/>
      <c r="AD70" s="81"/>
      <c r="AE70" s="81"/>
      <c r="AF70" s="81"/>
      <c r="AG70" s="81"/>
      <c r="AH70" s="81"/>
      <c r="AI70" s="81"/>
      <c r="AJ70" s="81"/>
      <c r="AK70" s="81"/>
      <c r="AL70" s="81"/>
      <c r="AM70" s="81"/>
      <c r="AN70" s="81"/>
      <c r="AO70" s="81"/>
      <c r="AP70" s="81"/>
      <c r="AQ70" s="81"/>
      <c r="AR70" s="81"/>
      <c r="AS70" s="81"/>
      <c r="AT70" s="81"/>
      <c r="AU70" s="81"/>
      <c r="AV70" s="81"/>
      <c r="AW70" s="81"/>
      <c r="AX70" s="81"/>
      <c r="AY70" s="81"/>
      <c r="AZ70" s="81"/>
      <c r="BA70" s="81"/>
      <c r="BB70" s="81"/>
      <c r="BC70" s="81"/>
      <c r="BD70" s="81"/>
      <c r="BE70" s="81"/>
      <c r="BF70" s="81"/>
      <c r="BG70" s="81"/>
      <c r="BH70" s="81"/>
      <c r="BI70" s="81"/>
      <c r="BJ70" s="81"/>
      <c r="BK70" s="81"/>
      <c r="BL70" s="81"/>
      <c r="BM70" s="81"/>
      <c r="BN70" s="81"/>
      <c r="BO70" s="81"/>
      <c r="BP70" s="81"/>
      <c r="BQ70" s="81"/>
      <c r="BR70" s="81"/>
      <c r="BS70" s="81"/>
      <c r="BT70" s="81"/>
      <c r="BU70" s="81"/>
      <c r="BV70" s="81"/>
      <c r="BW70" s="81"/>
      <c r="BX70" s="81"/>
      <c r="BY70" s="81"/>
      <c r="BZ70" s="81"/>
      <c r="CA70" s="81"/>
      <c r="CB70" s="81"/>
      <c r="CC70" s="81"/>
      <c r="CD70" s="81"/>
      <c r="CE70" s="81"/>
      <c r="CF70" s="81"/>
      <c r="CG70" s="81"/>
      <c r="CH70" s="81"/>
      <c r="CI70" s="81"/>
      <c r="CJ70" s="81"/>
      <c r="CK70" s="81"/>
      <c r="CL70" s="81"/>
      <c r="CM70" s="81"/>
      <c r="CN70" s="81"/>
      <c r="CO70" s="81"/>
      <c r="CP70" s="81"/>
      <c r="CQ70" s="81"/>
      <c r="CR70" s="81"/>
      <c r="CS70" s="81"/>
      <c r="CT70" s="81"/>
      <c r="CU70" s="81"/>
      <c r="CV70" s="81"/>
      <c r="CW70" s="81"/>
      <c r="CX70" s="81"/>
      <c r="CY70" s="81"/>
      <c r="CZ70" s="81"/>
      <c r="DA70" s="81"/>
      <c r="DB70" s="81"/>
      <c r="DC70" s="81"/>
      <c r="DD70" s="81"/>
      <c r="DE70" s="81"/>
      <c r="DF70" s="81"/>
      <c r="DG70" s="81"/>
      <c r="DH70" s="81"/>
      <c r="DI70" s="81"/>
      <c r="DJ70" s="81"/>
      <c r="DK70" s="81"/>
      <c r="DL70" s="81"/>
      <c r="DM70" s="81"/>
      <c r="DN70" s="81"/>
      <c r="DO70" s="81"/>
      <c r="DP70" s="81"/>
      <c r="DQ70" s="81"/>
      <c r="DR70" s="81"/>
      <c r="DS70" s="81"/>
      <c r="DT70" s="81"/>
      <c r="DU70" s="81"/>
      <c r="DV70" s="81"/>
      <c r="DW70" s="81"/>
      <c r="DX70" s="81"/>
      <c r="DY70" s="81"/>
      <c r="DZ70" s="81"/>
      <c r="EA70" s="81"/>
      <c r="EB70" s="81"/>
      <c r="EC70" s="81"/>
      <c r="ED70" s="81"/>
      <c r="EE70" s="81"/>
      <c r="EF70" s="81"/>
      <c r="EG70" s="81"/>
      <c r="EH70" s="81"/>
      <c r="EI70" s="81"/>
      <c r="EJ70" s="81"/>
      <c r="EK70" s="81"/>
      <c r="EL70" s="81"/>
      <c r="EM70" s="81">
        <v>163.17295045023261</v>
      </c>
      <c r="EN70" s="81"/>
      <c r="EO70" s="81"/>
      <c r="EP70" s="81"/>
      <c r="EQ70" s="81"/>
      <c r="ER70" s="81"/>
      <c r="ES70" s="81"/>
      <c r="ET70" s="81"/>
      <c r="EU70" s="81"/>
      <c r="EV70" s="81"/>
      <c r="EW70" s="81"/>
      <c r="EX70" s="81"/>
      <c r="EY70" s="81"/>
      <c r="EZ70" s="81"/>
      <c r="FA70" s="81"/>
      <c r="FB70" s="81"/>
      <c r="FC70" s="81"/>
      <c r="FD70" s="81"/>
      <c r="FE70" s="81"/>
      <c r="FF70" s="81"/>
      <c r="FG70" s="81"/>
      <c r="FH70" s="81"/>
      <c r="FI70" s="81"/>
      <c r="FJ70" s="81"/>
      <c r="FK70" s="81"/>
      <c r="FL70" s="81"/>
      <c r="FM70" s="81"/>
      <c r="FN70" s="81"/>
      <c r="FO70" s="81"/>
      <c r="FP70" s="81"/>
      <c r="FQ70" s="81"/>
      <c r="FR70" s="81"/>
      <c r="FS70" s="81"/>
      <c r="FT70" s="81"/>
      <c r="FU70" s="81"/>
      <c r="FV70" s="81">
        <v>163.17295045023261</v>
      </c>
      <c r="FW70" s="81"/>
      <c r="FX70" s="86"/>
      <c r="FY70" s="81"/>
      <c r="FZ70" s="81"/>
      <c r="GA70" s="81"/>
      <c r="GB70" s="81"/>
      <c r="GC70" s="81"/>
      <c r="GD70" s="81"/>
      <c r="GE70" s="81"/>
      <c r="GF70" s="81"/>
      <c r="GG70" s="81"/>
      <c r="GH70" s="81"/>
    </row>
    <row r="71" spans="1:190" x14ac:dyDescent="0.2">
      <c r="A71" s="82" t="s">
        <v>390</v>
      </c>
      <c r="B71" s="87">
        <v>0.25309489334987928</v>
      </c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>
        <v>1.6755008553462263</v>
      </c>
      <c r="Q71" s="87">
        <v>0.47849339149894299</v>
      </c>
      <c r="R71" s="87">
        <v>41.597162011865194</v>
      </c>
      <c r="S71" s="87">
        <v>7.4375975882798179E-2</v>
      </c>
      <c r="T71" s="87"/>
      <c r="U71" s="87"/>
      <c r="V71" s="87"/>
      <c r="W71" s="87"/>
      <c r="X71" s="87"/>
      <c r="Y71" s="87"/>
      <c r="Z71" s="87"/>
      <c r="AA71" s="81"/>
      <c r="AB71" s="81"/>
      <c r="AC71" s="81"/>
      <c r="AD71" s="81"/>
      <c r="AE71" s="81">
        <v>6.3421779339447202</v>
      </c>
      <c r="AF71" s="81"/>
      <c r="AG71" s="81"/>
      <c r="AH71" s="81"/>
      <c r="AI71" s="81"/>
      <c r="AJ71" s="81"/>
      <c r="AK71" s="81">
        <v>34.938074760673686</v>
      </c>
      <c r="AL71" s="81">
        <v>2.1799029440911823</v>
      </c>
      <c r="AM71" s="81">
        <v>0.29186726527457696</v>
      </c>
      <c r="AN71" s="81"/>
      <c r="AO71" s="81"/>
      <c r="AP71" s="81"/>
      <c r="AQ71" s="81"/>
      <c r="AR71" s="81"/>
      <c r="AS71" s="81"/>
      <c r="AT71" s="81"/>
      <c r="AU71" s="81"/>
      <c r="AV71" s="81"/>
      <c r="AW71" s="81"/>
      <c r="AX71" s="81"/>
      <c r="AY71" s="81"/>
      <c r="AZ71" s="81"/>
      <c r="BA71" s="81"/>
      <c r="BB71" s="81"/>
      <c r="BC71" s="81"/>
      <c r="BD71" s="81"/>
      <c r="BE71" s="81"/>
      <c r="BF71" s="81"/>
      <c r="BG71" s="81"/>
      <c r="BH71" s="81"/>
      <c r="BI71" s="81"/>
      <c r="BJ71" s="81"/>
      <c r="BK71" s="81"/>
      <c r="BL71" s="81"/>
      <c r="BM71" s="81"/>
      <c r="BN71" s="81"/>
      <c r="BO71" s="81"/>
      <c r="BP71" s="81"/>
      <c r="BQ71" s="81"/>
      <c r="BR71" s="81"/>
      <c r="BS71" s="81"/>
      <c r="BT71" s="81"/>
      <c r="BU71" s="81"/>
      <c r="BV71" s="81"/>
      <c r="BW71" s="81"/>
      <c r="BX71" s="81"/>
      <c r="BY71" s="81"/>
      <c r="BZ71" s="81"/>
      <c r="CA71" s="81"/>
      <c r="CB71" s="81"/>
      <c r="CC71" s="81"/>
      <c r="CD71" s="81"/>
      <c r="CE71" s="81"/>
      <c r="CF71" s="81"/>
      <c r="CG71" s="81"/>
      <c r="CH71" s="81"/>
      <c r="CI71" s="81"/>
      <c r="CJ71" s="81"/>
      <c r="CK71" s="81"/>
      <c r="CL71" s="81"/>
      <c r="CM71" s="81"/>
      <c r="CN71" s="81"/>
      <c r="CO71" s="81"/>
      <c r="CP71" s="81"/>
      <c r="CQ71" s="81"/>
      <c r="CR71" s="81"/>
      <c r="CS71" s="81"/>
      <c r="CT71" s="81"/>
      <c r="CU71" s="81"/>
      <c r="CV71" s="81"/>
      <c r="CW71" s="81"/>
      <c r="CX71" s="81"/>
      <c r="CY71" s="81"/>
      <c r="CZ71" s="81"/>
      <c r="DA71" s="81"/>
      <c r="DB71" s="81"/>
      <c r="DC71" s="81"/>
      <c r="DD71" s="81"/>
      <c r="DE71" s="81"/>
      <c r="DF71" s="81"/>
      <c r="DG71" s="81"/>
      <c r="DH71" s="81"/>
      <c r="DI71" s="81"/>
      <c r="DJ71" s="81"/>
      <c r="DK71" s="81"/>
      <c r="DL71" s="81"/>
      <c r="DM71" s="81"/>
      <c r="DN71" s="81"/>
      <c r="DO71" s="81"/>
      <c r="DP71" s="81"/>
      <c r="DQ71" s="81"/>
      <c r="DR71" s="81"/>
      <c r="DS71" s="81"/>
      <c r="DT71" s="81"/>
      <c r="DU71" s="81"/>
      <c r="DV71" s="81"/>
      <c r="DW71" s="81"/>
      <c r="DX71" s="81"/>
      <c r="DY71" s="81"/>
      <c r="DZ71" s="81"/>
      <c r="EA71" s="81"/>
      <c r="EB71" s="81"/>
      <c r="EC71" s="81"/>
      <c r="ED71" s="81"/>
      <c r="EE71" s="81"/>
      <c r="EF71" s="81"/>
      <c r="EG71" s="81"/>
      <c r="EH71" s="81"/>
      <c r="EI71" s="81"/>
      <c r="EJ71" s="81"/>
      <c r="EK71" s="81"/>
      <c r="EL71" s="81"/>
      <c r="EM71" s="81"/>
      <c r="EN71" s="81"/>
      <c r="EO71" s="81"/>
      <c r="EP71" s="81"/>
      <c r="EQ71" s="81"/>
      <c r="ER71" s="81"/>
      <c r="ES71" s="81"/>
      <c r="ET71" s="81"/>
      <c r="EU71" s="81"/>
      <c r="EV71" s="81"/>
      <c r="EW71" s="81"/>
      <c r="EX71" s="81"/>
      <c r="EY71" s="81"/>
      <c r="EZ71" s="81"/>
      <c r="FA71" s="81"/>
      <c r="FB71" s="81"/>
      <c r="FC71" s="88">
        <v>3.01922933357026E-2</v>
      </c>
      <c r="FD71" s="88">
        <v>4.8080902396465099E-2</v>
      </c>
      <c r="FE71" s="88">
        <v>2.1974906240409695E-2</v>
      </c>
      <c r="FF71" s="88">
        <v>5.0030341873721455E-2</v>
      </c>
      <c r="FG71" s="88">
        <v>3.4273453106119893E-2</v>
      </c>
      <c r="FH71" s="88">
        <v>1.5491441656897587E-3</v>
      </c>
      <c r="FI71" s="88">
        <v>5.3033099191808642E-3</v>
      </c>
      <c r="FJ71" s="88">
        <v>2.7951187551027738E-3</v>
      </c>
      <c r="FK71" s="88">
        <v>4.5441876442571709E-3</v>
      </c>
      <c r="FL71" s="88">
        <v>4.0060475560535581E-2</v>
      </c>
      <c r="FM71" s="81"/>
      <c r="FN71" s="81"/>
      <c r="FO71" s="81"/>
      <c r="FP71" s="81"/>
      <c r="FQ71" s="81"/>
      <c r="FR71" s="81"/>
      <c r="FS71" s="81"/>
      <c r="FT71" s="81">
        <v>1.5394578955497586</v>
      </c>
      <c r="FU71" s="81">
        <v>3.0560666671259583E-2</v>
      </c>
      <c r="FV71" s="81">
        <v>89.639472727145431</v>
      </c>
      <c r="FW71" s="81"/>
      <c r="FX71" s="86"/>
      <c r="FY71" s="81"/>
      <c r="FZ71" s="81"/>
      <c r="GA71" s="81"/>
      <c r="GB71" s="81"/>
      <c r="GC71" s="81"/>
      <c r="GD71" s="81"/>
      <c r="GE71" s="81"/>
      <c r="GF71" s="81"/>
      <c r="GG71" s="81"/>
      <c r="GH71" s="81"/>
    </row>
    <row r="72" spans="1:190" x14ac:dyDescent="0.2">
      <c r="A72" s="82" t="s">
        <v>391</v>
      </c>
      <c r="B72" s="87"/>
      <c r="C72" s="87">
        <v>6.2173105799365504E-2</v>
      </c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>
        <v>2.433480608232494</v>
      </c>
      <c r="Q72" s="87">
        <v>0.65703997370770995</v>
      </c>
      <c r="R72" s="87">
        <v>2.6539557436199339</v>
      </c>
      <c r="S72" s="87">
        <v>0.10030716926316004</v>
      </c>
      <c r="T72" s="87">
        <v>2.0055536833901471</v>
      </c>
      <c r="U72" s="87"/>
      <c r="V72" s="87"/>
      <c r="W72" s="87"/>
      <c r="X72" s="87"/>
      <c r="Y72" s="87"/>
      <c r="Z72" s="87"/>
      <c r="AA72" s="81"/>
      <c r="AB72" s="81"/>
      <c r="AC72" s="81"/>
      <c r="AD72" s="81"/>
      <c r="AE72" s="81"/>
      <c r="AF72" s="81">
        <v>0.69360005777437661</v>
      </c>
      <c r="AG72" s="81"/>
      <c r="AH72" s="81"/>
      <c r="AI72" s="81"/>
      <c r="AJ72" s="81"/>
      <c r="AK72" s="81"/>
      <c r="AL72" s="81"/>
      <c r="AM72" s="81"/>
      <c r="AN72" s="81"/>
      <c r="AO72" s="81"/>
      <c r="AP72" s="81"/>
      <c r="AQ72" s="81"/>
      <c r="AR72" s="81"/>
      <c r="AS72" s="81"/>
      <c r="AT72" s="81"/>
      <c r="AU72" s="81"/>
      <c r="AV72" s="81"/>
      <c r="AW72" s="81"/>
      <c r="AX72" s="81"/>
      <c r="AY72" s="81"/>
      <c r="AZ72" s="81"/>
      <c r="BA72" s="81"/>
      <c r="BB72" s="81"/>
      <c r="BC72" s="81"/>
      <c r="BD72" s="81"/>
      <c r="BE72" s="81"/>
      <c r="BF72" s="81"/>
      <c r="BG72" s="81"/>
      <c r="BH72" s="81"/>
      <c r="BI72" s="81"/>
      <c r="BJ72" s="81"/>
      <c r="BK72" s="81"/>
      <c r="BL72" s="81"/>
      <c r="BM72" s="81"/>
      <c r="BN72" s="81"/>
      <c r="BO72" s="81"/>
      <c r="BP72" s="81"/>
      <c r="BQ72" s="81"/>
      <c r="BR72" s="81"/>
      <c r="BS72" s="81"/>
      <c r="BT72" s="81"/>
      <c r="BU72" s="81"/>
      <c r="BV72" s="81"/>
      <c r="BW72" s="81"/>
      <c r="BX72" s="81"/>
      <c r="BY72" s="81"/>
      <c r="BZ72" s="81"/>
      <c r="CA72" s="81"/>
      <c r="CB72" s="81"/>
      <c r="CC72" s="81"/>
      <c r="CD72" s="81"/>
      <c r="CE72" s="81"/>
      <c r="CF72" s="81"/>
      <c r="CG72" s="81"/>
      <c r="CH72" s="81"/>
      <c r="CI72" s="81"/>
      <c r="CJ72" s="81"/>
      <c r="CK72" s="81"/>
      <c r="CL72" s="81"/>
      <c r="CM72" s="81"/>
      <c r="CN72" s="81"/>
      <c r="CO72" s="81"/>
      <c r="CP72" s="81"/>
      <c r="CQ72" s="81"/>
      <c r="CR72" s="81"/>
      <c r="CS72" s="81"/>
      <c r="CT72" s="81"/>
      <c r="CU72" s="81"/>
      <c r="CV72" s="81"/>
      <c r="CW72" s="81"/>
      <c r="CX72" s="81"/>
      <c r="CY72" s="81"/>
      <c r="CZ72" s="81"/>
      <c r="DA72" s="81"/>
      <c r="DB72" s="81"/>
      <c r="DC72" s="81"/>
      <c r="DD72" s="81"/>
      <c r="DE72" s="81"/>
      <c r="DF72" s="81"/>
      <c r="DG72" s="81"/>
      <c r="DH72" s="81"/>
      <c r="DI72" s="81"/>
      <c r="DJ72" s="81"/>
      <c r="DK72" s="81"/>
      <c r="DL72" s="81"/>
      <c r="DM72" s="81"/>
      <c r="DN72" s="81"/>
      <c r="DO72" s="81"/>
      <c r="DP72" s="81"/>
      <c r="DQ72" s="81"/>
      <c r="DR72" s="81"/>
      <c r="DS72" s="81"/>
      <c r="DT72" s="81"/>
      <c r="DU72" s="81"/>
      <c r="DV72" s="81"/>
      <c r="DW72" s="81"/>
      <c r="DX72" s="81"/>
      <c r="DY72" s="81"/>
      <c r="DZ72" s="81"/>
      <c r="EA72" s="81"/>
      <c r="EB72" s="81"/>
      <c r="EC72" s="81"/>
      <c r="ED72" s="81"/>
      <c r="EE72" s="81"/>
      <c r="EF72" s="81"/>
      <c r="EG72" s="81"/>
      <c r="EH72" s="81"/>
      <c r="EI72" s="81"/>
      <c r="EJ72" s="81"/>
      <c r="EK72" s="81"/>
      <c r="EL72" s="81"/>
      <c r="EM72" s="81"/>
      <c r="EN72" s="81"/>
      <c r="EO72" s="81"/>
      <c r="EP72" s="81"/>
      <c r="EQ72" s="81"/>
      <c r="ER72" s="81"/>
      <c r="ES72" s="81"/>
      <c r="ET72" s="81"/>
      <c r="EU72" s="81"/>
      <c r="EV72" s="81"/>
      <c r="EW72" s="81"/>
      <c r="EX72" s="81"/>
      <c r="EY72" s="81"/>
      <c r="EZ72" s="81"/>
      <c r="FA72" s="81"/>
      <c r="FB72" s="81"/>
      <c r="FC72" s="88"/>
      <c r="FD72" s="88"/>
      <c r="FE72" s="88"/>
      <c r="FF72" s="88"/>
      <c r="FG72" s="88"/>
      <c r="FH72" s="88"/>
      <c r="FI72" s="88"/>
      <c r="FJ72" s="88"/>
      <c r="FK72" s="88"/>
      <c r="FL72" s="88"/>
      <c r="FM72" s="81"/>
      <c r="FN72" s="81"/>
      <c r="FO72" s="81"/>
      <c r="FP72" s="81"/>
      <c r="FQ72" s="81"/>
      <c r="FR72" s="81"/>
      <c r="FS72" s="81"/>
      <c r="FT72" s="81"/>
      <c r="FU72" s="81">
        <v>5.9737541506625236E-3</v>
      </c>
      <c r="FV72" s="81">
        <v>8.6120840959378491</v>
      </c>
      <c r="FW72" s="81"/>
      <c r="FX72" s="86"/>
      <c r="FY72" s="81"/>
      <c r="FZ72" s="81"/>
      <c r="GA72" s="81"/>
      <c r="GB72" s="81"/>
      <c r="GC72" s="81"/>
      <c r="GD72" s="81"/>
      <c r="GE72" s="81"/>
      <c r="GF72" s="81"/>
      <c r="GG72" s="81"/>
      <c r="GH72" s="81"/>
    </row>
    <row r="73" spans="1:190" x14ac:dyDescent="0.2">
      <c r="A73" s="82" t="s">
        <v>392</v>
      </c>
      <c r="B73" s="87"/>
      <c r="C73" s="87"/>
      <c r="D73" s="87">
        <v>0.17701255657709</v>
      </c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  <c r="AA73" s="81"/>
      <c r="AB73" s="81">
        <v>10.299480084873009</v>
      </c>
      <c r="AC73" s="81"/>
      <c r="AD73" s="81"/>
      <c r="AE73" s="81"/>
      <c r="AF73" s="81"/>
      <c r="AG73" s="81">
        <v>5.5455475097563172</v>
      </c>
      <c r="AH73" s="81"/>
      <c r="AI73" s="81"/>
      <c r="AJ73" s="81"/>
      <c r="AK73" s="81"/>
      <c r="AL73" s="81"/>
      <c r="AM73" s="81"/>
      <c r="AN73" s="81"/>
      <c r="AO73" s="81"/>
      <c r="AP73" s="81"/>
      <c r="AQ73" s="81"/>
      <c r="AR73" s="81"/>
      <c r="AS73" s="81"/>
      <c r="AT73" s="81"/>
      <c r="AU73" s="81"/>
      <c r="AV73" s="81"/>
      <c r="AW73" s="81"/>
      <c r="AX73" s="81"/>
      <c r="AY73" s="81"/>
      <c r="AZ73" s="81"/>
      <c r="BA73" s="81"/>
      <c r="BB73" s="81"/>
      <c r="BC73" s="81"/>
      <c r="BD73" s="81"/>
      <c r="BE73" s="81"/>
      <c r="BF73" s="81"/>
      <c r="BG73" s="81"/>
      <c r="BH73" s="81"/>
      <c r="BI73" s="81"/>
      <c r="BJ73" s="81"/>
      <c r="BK73" s="81"/>
      <c r="BL73" s="81"/>
      <c r="BM73" s="81"/>
      <c r="BN73" s="81"/>
      <c r="BO73" s="81"/>
      <c r="BP73" s="81"/>
      <c r="BQ73" s="81"/>
      <c r="BR73" s="81"/>
      <c r="BS73" s="81"/>
      <c r="BT73" s="81"/>
      <c r="BU73" s="81"/>
      <c r="BV73" s="81"/>
      <c r="BW73" s="81"/>
      <c r="BX73" s="81"/>
      <c r="BY73" s="81"/>
      <c r="BZ73" s="81"/>
      <c r="CA73" s="81"/>
      <c r="CB73" s="81"/>
      <c r="CC73" s="81"/>
      <c r="CD73" s="81"/>
      <c r="CE73" s="81"/>
      <c r="CF73" s="81"/>
      <c r="CG73" s="81"/>
      <c r="CH73" s="81"/>
      <c r="CI73" s="81"/>
      <c r="CJ73" s="81"/>
      <c r="CK73" s="81"/>
      <c r="CL73" s="81"/>
      <c r="CM73" s="81"/>
      <c r="CN73" s="81"/>
      <c r="CO73" s="81"/>
      <c r="CP73" s="81"/>
      <c r="CQ73" s="81"/>
      <c r="CR73" s="81"/>
      <c r="CS73" s="81"/>
      <c r="CT73" s="81"/>
      <c r="CU73" s="81"/>
      <c r="CV73" s="81"/>
      <c r="CW73" s="81"/>
      <c r="CX73" s="81"/>
      <c r="CY73" s="81"/>
      <c r="CZ73" s="81"/>
      <c r="DA73" s="81"/>
      <c r="DB73" s="81"/>
      <c r="DC73" s="81"/>
      <c r="DD73" s="81"/>
      <c r="DE73" s="81"/>
      <c r="DF73" s="81"/>
      <c r="DG73" s="81"/>
      <c r="DH73" s="81"/>
      <c r="DI73" s="81"/>
      <c r="DJ73" s="81"/>
      <c r="DK73" s="81"/>
      <c r="DL73" s="81"/>
      <c r="DM73" s="81"/>
      <c r="DN73" s="81"/>
      <c r="DO73" s="81"/>
      <c r="DP73" s="81"/>
      <c r="DQ73" s="81"/>
      <c r="DR73" s="81"/>
      <c r="DS73" s="81"/>
      <c r="DT73" s="81"/>
      <c r="DU73" s="81"/>
      <c r="DV73" s="81"/>
      <c r="DW73" s="81"/>
      <c r="DX73" s="81"/>
      <c r="DY73" s="81"/>
      <c r="DZ73" s="81"/>
      <c r="EA73" s="81"/>
      <c r="EB73" s="81"/>
      <c r="EC73" s="81"/>
      <c r="ED73" s="81"/>
      <c r="EE73" s="81"/>
      <c r="EF73" s="81"/>
      <c r="EG73" s="81"/>
      <c r="EH73" s="81"/>
      <c r="EI73" s="81"/>
      <c r="EJ73" s="81"/>
      <c r="EK73" s="81"/>
      <c r="EL73" s="81"/>
      <c r="EM73" s="81"/>
      <c r="EN73" s="81"/>
      <c r="EO73" s="81"/>
      <c r="EP73" s="81"/>
      <c r="EQ73" s="81"/>
      <c r="ER73" s="81"/>
      <c r="ES73" s="81"/>
      <c r="ET73" s="81"/>
      <c r="EU73" s="81"/>
      <c r="EV73" s="81"/>
      <c r="EW73" s="81"/>
      <c r="EX73" s="81"/>
      <c r="EY73" s="81"/>
      <c r="EZ73" s="81"/>
      <c r="FA73" s="81"/>
      <c r="FB73" s="81"/>
      <c r="FC73" s="88">
        <v>1.1930486978832651</v>
      </c>
      <c r="FD73" s="88">
        <v>1.5731294198989059</v>
      </c>
      <c r="FE73" s="88">
        <v>1.610538856065779</v>
      </c>
      <c r="FF73" s="88">
        <v>1.6816630318288475</v>
      </c>
      <c r="FG73" s="88">
        <v>1.3867809321039344</v>
      </c>
      <c r="FH73" s="88">
        <v>0.47500334686548445</v>
      </c>
      <c r="FI73" s="88">
        <v>0.6535813350160532</v>
      </c>
      <c r="FJ73" s="88">
        <v>0.87490646531246496</v>
      </c>
      <c r="FK73" s="88">
        <v>1.0819591181968147</v>
      </c>
      <c r="FL73" s="88">
        <v>1.7799073758661939</v>
      </c>
      <c r="FM73" s="81"/>
      <c r="FN73" s="81"/>
      <c r="FO73" s="81"/>
      <c r="FP73" s="81"/>
      <c r="FQ73" s="81"/>
      <c r="FR73" s="81"/>
      <c r="FS73" s="81"/>
      <c r="FT73" s="81"/>
      <c r="FU73" s="81">
        <v>1.1330664663786097E-6</v>
      </c>
      <c r="FV73" s="81">
        <v>28.332559863310625</v>
      </c>
      <c r="FW73" s="81"/>
      <c r="FX73" s="86"/>
      <c r="FY73" s="81"/>
      <c r="FZ73" s="81"/>
      <c r="GA73" s="81"/>
      <c r="GB73" s="81"/>
      <c r="GC73" s="81"/>
      <c r="GD73" s="81"/>
      <c r="GE73" s="81"/>
      <c r="GF73" s="81"/>
      <c r="GG73" s="81"/>
      <c r="GH73" s="81"/>
    </row>
    <row r="74" spans="1:190" x14ac:dyDescent="0.2">
      <c r="A74" s="82" t="s">
        <v>393</v>
      </c>
      <c r="B74" s="87"/>
      <c r="C74" s="87"/>
      <c r="D74" s="87"/>
      <c r="E74" s="87">
        <v>0.45444331013879563</v>
      </c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  <c r="AA74" s="81"/>
      <c r="AB74" s="81"/>
      <c r="AC74" s="81"/>
      <c r="AD74" s="81"/>
      <c r="AE74" s="81"/>
      <c r="AF74" s="81"/>
      <c r="AG74" s="81"/>
      <c r="AH74" s="81">
        <v>14.828068822407849</v>
      </c>
      <c r="AI74" s="81"/>
      <c r="AJ74" s="81"/>
      <c r="AK74" s="81"/>
      <c r="AL74" s="81"/>
      <c r="AM74" s="81"/>
      <c r="AN74" s="81"/>
      <c r="AO74" s="81"/>
      <c r="AP74" s="81"/>
      <c r="AQ74" s="81"/>
      <c r="AR74" s="81"/>
      <c r="AS74" s="81"/>
      <c r="AT74" s="81"/>
      <c r="AU74" s="81"/>
      <c r="AV74" s="81"/>
      <c r="AW74" s="81"/>
      <c r="AX74" s="81"/>
      <c r="AY74" s="81"/>
      <c r="AZ74" s="81"/>
      <c r="BA74" s="81"/>
      <c r="BB74" s="81"/>
      <c r="BC74" s="81"/>
      <c r="BD74" s="81"/>
      <c r="BE74" s="81"/>
      <c r="BF74" s="81"/>
      <c r="BG74" s="81"/>
      <c r="BH74" s="81"/>
      <c r="BI74" s="81"/>
      <c r="BJ74" s="81"/>
      <c r="BK74" s="81"/>
      <c r="BL74" s="81"/>
      <c r="BM74" s="81"/>
      <c r="BN74" s="81"/>
      <c r="BO74" s="81"/>
      <c r="BP74" s="81"/>
      <c r="BQ74" s="81"/>
      <c r="BR74" s="81"/>
      <c r="BS74" s="81"/>
      <c r="BT74" s="81"/>
      <c r="BU74" s="81"/>
      <c r="BV74" s="81"/>
      <c r="BW74" s="81"/>
      <c r="BX74" s="81"/>
      <c r="BY74" s="81"/>
      <c r="BZ74" s="81"/>
      <c r="CA74" s="81"/>
      <c r="CB74" s="81"/>
      <c r="CC74" s="81"/>
      <c r="CD74" s="81"/>
      <c r="CE74" s="81"/>
      <c r="CF74" s="81"/>
      <c r="CG74" s="81"/>
      <c r="CH74" s="81"/>
      <c r="CI74" s="81"/>
      <c r="CJ74" s="81"/>
      <c r="CK74" s="81"/>
      <c r="CL74" s="81"/>
      <c r="CM74" s="81"/>
      <c r="CN74" s="81"/>
      <c r="CO74" s="81"/>
      <c r="CP74" s="81"/>
      <c r="CQ74" s="81"/>
      <c r="CR74" s="81"/>
      <c r="CS74" s="81"/>
      <c r="CT74" s="81"/>
      <c r="CU74" s="81"/>
      <c r="CV74" s="81"/>
      <c r="CW74" s="81"/>
      <c r="CX74" s="81"/>
      <c r="CY74" s="81"/>
      <c r="CZ74" s="81"/>
      <c r="DA74" s="81"/>
      <c r="DB74" s="81"/>
      <c r="DC74" s="81"/>
      <c r="DD74" s="81"/>
      <c r="DE74" s="81"/>
      <c r="DF74" s="81"/>
      <c r="DG74" s="81"/>
      <c r="DH74" s="81"/>
      <c r="DI74" s="81"/>
      <c r="DJ74" s="81"/>
      <c r="DK74" s="81"/>
      <c r="DL74" s="81"/>
      <c r="DM74" s="81"/>
      <c r="DN74" s="81"/>
      <c r="DO74" s="81"/>
      <c r="DP74" s="81"/>
      <c r="DQ74" s="81"/>
      <c r="DR74" s="81"/>
      <c r="DS74" s="81"/>
      <c r="DT74" s="81"/>
      <c r="DU74" s="81"/>
      <c r="DV74" s="81"/>
      <c r="DW74" s="81"/>
      <c r="DX74" s="81"/>
      <c r="DY74" s="81"/>
      <c r="DZ74" s="81"/>
      <c r="EA74" s="81"/>
      <c r="EB74" s="81"/>
      <c r="EC74" s="81"/>
      <c r="ED74" s="81"/>
      <c r="EE74" s="81"/>
      <c r="EF74" s="81"/>
      <c r="EG74" s="81"/>
      <c r="EH74" s="81"/>
      <c r="EI74" s="81"/>
      <c r="EJ74" s="81"/>
      <c r="EK74" s="81"/>
      <c r="EL74" s="81"/>
      <c r="EM74" s="81"/>
      <c r="EN74" s="81"/>
      <c r="EO74" s="81"/>
      <c r="EP74" s="81"/>
      <c r="EQ74" s="81"/>
      <c r="ER74" s="81"/>
      <c r="ES74" s="81"/>
      <c r="ET74" s="81"/>
      <c r="EU74" s="81"/>
      <c r="EV74" s="81"/>
      <c r="EW74" s="81"/>
      <c r="EX74" s="81"/>
      <c r="EY74" s="81"/>
      <c r="EZ74" s="81"/>
      <c r="FA74" s="81"/>
      <c r="FB74" s="81"/>
      <c r="FC74" s="88">
        <v>2.7885595660100346</v>
      </c>
      <c r="FD74" s="88">
        <v>3.2502200894811866</v>
      </c>
      <c r="FE74" s="88">
        <v>3.7271155793235802</v>
      </c>
      <c r="FF74" s="88">
        <v>5.5864109454439701</v>
      </c>
      <c r="FG74" s="88">
        <v>4.9169378091695579</v>
      </c>
      <c r="FH74" s="88">
        <v>0.11903727124346998</v>
      </c>
      <c r="FI74" s="88">
        <v>0.40079459172891291</v>
      </c>
      <c r="FJ74" s="88">
        <v>0.14217736452409815</v>
      </c>
      <c r="FK74" s="88">
        <v>0.14743684880387772</v>
      </c>
      <c r="FL74" s="88">
        <v>0.23835219545784159</v>
      </c>
      <c r="FM74" s="81"/>
      <c r="FN74" s="81"/>
      <c r="FO74" s="81"/>
      <c r="FP74" s="81"/>
      <c r="FQ74" s="81"/>
      <c r="FR74" s="81"/>
      <c r="FS74" s="81"/>
      <c r="FT74" s="81">
        <v>2.8222033818699699</v>
      </c>
      <c r="FU74" s="81">
        <v>1.6073368514599858E-5</v>
      </c>
      <c r="FV74" s="81">
        <v>39.421773848971654</v>
      </c>
      <c r="FW74" s="81"/>
      <c r="FX74" s="86"/>
      <c r="FY74" s="81"/>
      <c r="FZ74" s="81"/>
      <c r="GA74" s="81"/>
      <c r="GB74" s="81"/>
      <c r="GC74" s="81"/>
      <c r="GD74" s="81"/>
      <c r="GE74" s="81"/>
      <c r="GF74" s="81"/>
      <c r="GG74" s="81"/>
      <c r="GH74" s="81"/>
    </row>
    <row r="75" spans="1:190" x14ac:dyDescent="0.2">
      <c r="A75" s="82" t="s">
        <v>394</v>
      </c>
      <c r="B75" s="87"/>
      <c r="C75" s="87"/>
      <c r="D75" s="87"/>
      <c r="E75" s="87"/>
      <c r="F75" s="87">
        <v>1.7314122403706438E-2</v>
      </c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>
        <v>4.9172641144809751E-2</v>
      </c>
      <c r="S75" s="87"/>
      <c r="T75" s="87"/>
      <c r="U75" s="87"/>
      <c r="V75" s="87"/>
      <c r="W75" s="87"/>
      <c r="X75" s="87"/>
      <c r="Y75" s="87"/>
      <c r="Z75" s="87"/>
      <c r="AA75" s="81"/>
      <c r="AB75" s="81"/>
      <c r="AC75" s="81"/>
      <c r="AD75" s="81"/>
      <c r="AE75" s="81"/>
      <c r="AF75" s="81"/>
      <c r="AG75" s="81"/>
      <c r="AH75" s="81"/>
      <c r="AI75" s="81">
        <v>0.34221721571058128</v>
      </c>
      <c r="AJ75" s="81"/>
      <c r="AK75" s="81"/>
      <c r="AL75" s="81">
        <v>1.1874431885429695</v>
      </c>
      <c r="AM75" s="81"/>
      <c r="AN75" s="81"/>
      <c r="AO75" s="81"/>
      <c r="AP75" s="81"/>
      <c r="AQ75" s="81"/>
      <c r="AR75" s="81"/>
      <c r="AS75" s="81"/>
      <c r="AT75" s="81"/>
      <c r="AU75" s="81"/>
      <c r="AV75" s="81"/>
      <c r="AW75" s="81"/>
      <c r="AX75" s="81"/>
      <c r="AY75" s="81"/>
      <c r="AZ75" s="81"/>
      <c r="BA75" s="81"/>
      <c r="BB75" s="81"/>
      <c r="BC75" s="81"/>
      <c r="BD75" s="81"/>
      <c r="BE75" s="81"/>
      <c r="BF75" s="81"/>
      <c r="BG75" s="81"/>
      <c r="BH75" s="81"/>
      <c r="BI75" s="81"/>
      <c r="BJ75" s="81"/>
      <c r="BK75" s="81"/>
      <c r="BL75" s="81"/>
      <c r="BM75" s="81"/>
      <c r="BN75" s="81"/>
      <c r="BO75" s="81"/>
      <c r="BP75" s="81"/>
      <c r="BQ75" s="81"/>
      <c r="BR75" s="81"/>
      <c r="BS75" s="81"/>
      <c r="BT75" s="81"/>
      <c r="BU75" s="81"/>
      <c r="BV75" s="81"/>
      <c r="BW75" s="81"/>
      <c r="BX75" s="81"/>
      <c r="BY75" s="81"/>
      <c r="BZ75" s="81"/>
      <c r="CA75" s="81"/>
      <c r="CB75" s="81"/>
      <c r="CC75" s="81"/>
      <c r="CD75" s="81"/>
      <c r="CE75" s="81"/>
      <c r="CF75" s="81"/>
      <c r="CG75" s="81"/>
      <c r="CH75" s="81"/>
      <c r="CI75" s="81"/>
      <c r="CJ75" s="81"/>
      <c r="CK75" s="81"/>
      <c r="CL75" s="81"/>
      <c r="CM75" s="81"/>
      <c r="CN75" s="81"/>
      <c r="CO75" s="81"/>
      <c r="CP75" s="81"/>
      <c r="CQ75" s="81"/>
      <c r="CR75" s="81"/>
      <c r="CS75" s="81"/>
      <c r="CT75" s="81"/>
      <c r="CU75" s="81"/>
      <c r="CV75" s="81"/>
      <c r="CW75" s="81"/>
      <c r="CX75" s="81"/>
      <c r="CY75" s="81"/>
      <c r="CZ75" s="81"/>
      <c r="DA75" s="81"/>
      <c r="DB75" s="81"/>
      <c r="DC75" s="81"/>
      <c r="DD75" s="81"/>
      <c r="DE75" s="81"/>
      <c r="DF75" s="81"/>
      <c r="DG75" s="81"/>
      <c r="DH75" s="81"/>
      <c r="DI75" s="81"/>
      <c r="DJ75" s="81"/>
      <c r="DK75" s="81"/>
      <c r="DL75" s="81"/>
      <c r="DM75" s="81"/>
      <c r="DN75" s="81"/>
      <c r="DO75" s="81"/>
      <c r="DP75" s="81"/>
      <c r="DQ75" s="81"/>
      <c r="DR75" s="81"/>
      <c r="DS75" s="81"/>
      <c r="DT75" s="81"/>
      <c r="DU75" s="81"/>
      <c r="DV75" s="81"/>
      <c r="DW75" s="81"/>
      <c r="DX75" s="81"/>
      <c r="DY75" s="81"/>
      <c r="DZ75" s="81"/>
      <c r="EA75" s="81"/>
      <c r="EB75" s="81"/>
      <c r="EC75" s="81"/>
      <c r="ED75" s="81"/>
      <c r="EE75" s="81"/>
      <c r="EF75" s="81"/>
      <c r="EG75" s="81"/>
      <c r="EH75" s="81"/>
      <c r="EI75" s="81"/>
      <c r="EJ75" s="81"/>
      <c r="EK75" s="81"/>
      <c r="EL75" s="81"/>
      <c r="EM75" s="81"/>
      <c r="EN75" s="81"/>
      <c r="EO75" s="81"/>
      <c r="EP75" s="81"/>
      <c r="EQ75" s="81"/>
      <c r="ER75" s="81"/>
      <c r="ES75" s="81"/>
      <c r="ET75" s="81"/>
      <c r="EU75" s="81"/>
      <c r="EV75" s="81"/>
      <c r="EW75" s="81"/>
      <c r="EX75" s="81"/>
      <c r="EY75" s="81"/>
      <c r="EZ75" s="81"/>
      <c r="FA75" s="81"/>
      <c r="FB75" s="81"/>
      <c r="FC75" s="88">
        <v>2.6018691642464099E-2</v>
      </c>
      <c r="FD75" s="88">
        <v>3.5883139894160476E-2</v>
      </c>
      <c r="FE75" s="88">
        <v>2.8533679459406554E-2</v>
      </c>
      <c r="FF75" s="88">
        <v>3.0236640276378759E-2</v>
      </c>
      <c r="FG75" s="88">
        <v>3.7186368221202942E-2</v>
      </c>
      <c r="FH75" s="88">
        <v>5.2635656667553944E-3</v>
      </c>
      <c r="FI75" s="88">
        <v>2.0445245561191466E-2</v>
      </c>
      <c r="FJ75" s="88">
        <v>1.5186680199432832E-2</v>
      </c>
      <c r="FK75" s="88">
        <v>1.6774026325408784E-2</v>
      </c>
      <c r="FL75" s="88">
        <v>6.5808399135152046E-2</v>
      </c>
      <c r="FM75" s="81"/>
      <c r="FN75" s="81"/>
      <c r="FO75" s="81"/>
      <c r="FP75" s="81"/>
      <c r="FQ75" s="81"/>
      <c r="FR75" s="81"/>
      <c r="FS75" s="81"/>
      <c r="FT75" s="81"/>
      <c r="FU75" s="81">
        <v>0.26727332358749628</v>
      </c>
      <c r="FV75" s="81">
        <v>2.1447569277711169</v>
      </c>
      <c r="FW75" s="81"/>
      <c r="FX75" s="86"/>
      <c r="FY75" s="81"/>
      <c r="FZ75" s="81"/>
      <c r="GA75" s="81"/>
      <c r="GB75" s="81"/>
      <c r="GC75" s="81"/>
      <c r="GD75" s="81"/>
      <c r="GE75" s="81"/>
      <c r="GF75" s="81"/>
      <c r="GG75" s="81"/>
      <c r="GH75" s="81"/>
    </row>
    <row r="76" spans="1:190" x14ac:dyDescent="0.2">
      <c r="A76" s="82" t="s">
        <v>395</v>
      </c>
      <c r="B76" s="87"/>
      <c r="C76" s="87"/>
      <c r="D76" s="87"/>
      <c r="E76" s="87"/>
      <c r="F76" s="87"/>
      <c r="G76" s="87">
        <v>0.20001898641890531</v>
      </c>
      <c r="H76" s="87"/>
      <c r="I76" s="87"/>
      <c r="J76" s="87"/>
      <c r="K76" s="87"/>
      <c r="L76" s="87"/>
      <c r="M76" s="87"/>
      <c r="N76" s="87"/>
      <c r="O76" s="87"/>
      <c r="P76" s="87">
        <v>0.13466547905351012</v>
      </c>
      <c r="Q76" s="87">
        <v>3.8373728805449328E-2</v>
      </c>
      <c r="R76" s="87">
        <v>0.59547406829875094</v>
      </c>
      <c r="S76" s="87">
        <v>5.9732033551241114E-3</v>
      </c>
      <c r="T76" s="87"/>
      <c r="U76" s="87"/>
      <c r="V76" s="87"/>
      <c r="W76" s="87"/>
      <c r="X76" s="87"/>
      <c r="Y76" s="87"/>
      <c r="Z76" s="87"/>
      <c r="AA76" s="81"/>
      <c r="AB76" s="81"/>
      <c r="AC76" s="81"/>
      <c r="AD76" s="81"/>
      <c r="AE76" s="81"/>
      <c r="AF76" s="81"/>
      <c r="AG76" s="81"/>
      <c r="AH76" s="81"/>
      <c r="AI76" s="81"/>
      <c r="AJ76" s="81"/>
      <c r="AK76" s="81">
        <v>2.9068988829582469</v>
      </c>
      <c r="AL76" s="81"/>
      <c r="AM76" s="81"/>
      <c r="AN76" s="81"/>
      <c r="AO76" s="81"/>
      <c r="AP76" s="81"/>
      <c r="AQ76" s="81"/>
      <c r="AR76" s="81"/>
      <c r="AS76" s="81"/>
      <c r="AT76" s="81"/>
      <c r="AU76" s="81"/>
      <c r="AV76" s="81"/>
      <c r="AW76" s="81"/>
      <c r="AX76" s="81"/>
      <c r="AY76" s="81"/>
      <c r="AZ76" s="81"/>
      <c r="BA76" s="81"/>
      <c r="BB76" s="81"/>
      <c r="BC76" s="81"/>
      <c r="BD76" s="81"/>
      <c r="BE76" s="81"/>
      <c r="BF76" s="81"/>
      <c r="BG76" s="81"/>
      <c r="BH76" s="81"/>
      <c r="BI76" s="81"/>
      <c r="BJ76" s="81"/>
      <c r="BK76" s="81"/>
      <c r="BL76" s="81"/>
      <c r="BM76" s="81"/>
      <c r="BN76" s="81"/>
      <c r="BO76" s="81"/>
      <c r="BP76" s="81"/>
      <c r="BQ76" s="81"/>
      <c r="BR76" s="81"/>
      <c r="BS76" s="81"/>
      <c r="BT76" s="81"/>
      <c r="BU76" s="81"/>
      <c r="BV76" s="81"/>
      <c r="BW76" s="81"/>
      <c r="BX76" s="81"/>
      <c r="BY76" s="81"/>
      <c r="BZ76" s="81"/>
      <c r="CA76" s="81"/>
      <c r="CB76" s="81"/>
      <c r="CC76" s="81"/>
      <c r="CD76" s="81"/>
      <c r="CE76" s="81"/>
      <c r="CF76" s="81"/>
      <c r="CG76" s="81"/>
      <c r="CH76" s="81"/>
      <c r="CI76" s="81"/>
      <c r="CJ76" s="81"/>
      <c r="CK76" s="81"/>
      <c r="CL76" s="81"/>
      <c r="CM76" s="81"/>
      <c r="CN76" s="81"/>
      <c r="CO76" s="81"/>
      <c r="CP76" s="81"/>
      <c r="CQ76" s="81"/>
      <c r="CR76" s="81"/>
      <c r="CS76" s="81"/>
      <c r="CT76" s="81"/>
      <c r="CU76" s="81"/>
      <c r="CV76" s="81"/>
      <c r="CW76" s="81"/>
      <c r="CX76" s="81"/>
      <c r="CY76" s="81"/>
      <c r="CZ76" s="81"/>
      <c r="DA76" s="81"/>
      <c r="DB76" s="81"/>
      <c r="DC76" s="81"/>
      <c r="DD76" s="81"/>
      <c r="DE76" s="81"/>
      <c r="DF76" s="81"/>
      <c r="DG76" s="81"/>
      <c r="DH76" s="81"/>
      <c r="DI76" s="81"/>
      <c r="DJ76" s="81"/>
      <c r="DK76" s="81"/>
      <c r="DL76" s="81"/>
      <c r="DM76" s="81"/>
      <c r="DN76" s="81"/>
      <c r="DO76" s="81"/>
      <c r="DP76" s="81"/>
      <c r="DQ76" s="81"/>
      <c r="DR76" s="81"/>
      <c r="DS76" s="81"/>
      <c r="DT76" s="81"/>
      <c r="DU76" s="81"/>
      <c r="DV76" s="81"/>
      <c r="DW76" s="81"/>
      <c r="DX76" s="81"/>
      <c r="DY76" s="81"/>
      <c r="DZ76" s="81"/>
      <c r="EA76" s="81"/>
      <c r="EB76" s="81"/>
      <c r="EC76" s="81"/>
      <c r="ED76" s="81"/>
      <c r="EE76" s="81"/>
      <c r="EF76" s="81"/>
      <c r="EG76" s="81"/>
      <c r="EH76" s="81"/>
      <c r="EI76" s="81"/>
      <c r="EJ76" s="81"/>
      <c r="EK76" s="81"/>
      <c r="EL76" s="81"/>
      <c r="EM76" s="81"/>
      <c r="EN76" s="81"/>
      <c r="EO76" s="81"/>
      <c r="EP76" s="81"/>
      <c r="EQ76" s="81"/>
      <c r="ER76" s="81"/>
      <c r="ES76" s="81"/>
      <c r="ET76" s="81"/>
      <c r="EU76" s="81"/>
      <c r="EV76" s="81"/>
      <c r="EW76" s="81"/>
      <c r="EX76" s="81"/>
      <c r="EY76" s="81"/>
      <c r="EZ76" s="81"/>
      <c r="FA76" s="81"/>
      <c r="FB76" s="81"/>
      <c r="FC76" s="88">
        <v>1.5750668988038805</v>
      </c>
      <c r="FD76" s="88">
        <v>1.5295495148467073</v>
      </c>
      <c r="FE76" s="88">
        <v>1.4025752290485525</v>
      </c>
      <c r="FF76" s="88">
        <v>1.4884224650229345</v>
      </c>
      <c r="FG76" s="88">
        <v>1.158080953333513</v>
      </c>
      <c r="FH76" s="88">
        <v>0.61241346368879179</v>
      </c>
      <c r="FI76" s="88">
        <v>0.70776537411212603</v>
      </c>
      <c r="FJ76" s="88">
        <v>0.86914513437037699</v>
      </c>
      <c r="FK76" s="88">
        <v>1.02901071381632</v>
      </c>
      <c r="FL76" s="88">
        <v>1.3645924845795663</v>
      </c>
      <c r="FM76" s="81"/>
      <c r="FN76" s="81"/>
      <c r="FO76" s="81"/>
      <c r="FP76" s="81"/>
      <c r="FQ76" s="81"/>
      <c r="FR76" s="81"/>
      <c r="FS76" s="81"/>
      <c r="FT76" s="81"/>
      <c r="FU76" s="81">
        <v>1.7658966617491652</v>
      </c>
      <c r="FV76" s="81">
        <v>17.383923242261922</v>
      </c>
      <c r="FW76" s="81"/>
      <c r="FX76" s="86"/>
      <c r="FY76" s="81"/>
      <c r="FZ76" s="81"/>
      <c r="GA76" s="81"/>
      <c r="GB76" s="81"/>
      <c r="GC76" s="81"/>
      <c r="GD76" s="81"/>
      <c r="GE76" s="81"/>
      <c r="GF76" s="81"/>
      <c r="GG76" s="81"/>
      <c r="GH76" s="81"/>
    </row>
    <row r="77" spans="1:190" x14ac:dyDescent="0.2">
      <c r="A77" s="82" t="s">
        <v>396</v>
      </c>
      <c r="B77" s="87"/>
      <c r="C77" s="87"/>
      <c r="D77" s="87"/>
      <c r="E77" s="87"/>
      <c r="F77" s="87"/>
      <c r="G77" s="87"/>
      <c r="H77" s="87">
        <v>0.17593731988530589</v>
      </c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  <c r="AA77" s="81"/>
      <c r="AB77" s="81"/>
      <c r="AC77" s="81"/>
      <c r="AD77" s="81">
        <v>9.4148540493639903</v>
      </c>
      <c r="AE77" s="81"/>
      <c r="AF77" s="81"/>
      <c r="AG77" s="81"/>
      <c r="AH77" s="81"/>
      <c r="AI77" s="81"/>
      <c r="AJ77" s="81"/>
      <c r="AK77" s="81">
        <v>2.202858909514116</v>
      </c>
      <c r="AL77" s="81"/>
      <c r="AM77" s="81"/>
      <c r="AN77" s="81"/>
      <c r="AO77" s="81"/>
      <c r="AP77" s="81"/>
      <c r="AQ77" s="81"/>
      <c r="AR77" s="81"/>
      <c r="AS77" s="81"/>
      <c r="AT77" s="81"/>
      <c r="AU77" s="81"/>
      <c r="AV77" s="81"/>
      <c r="AW77" s="81"/>
      <c r="AX77" s="81"/>
      <c r="AY77" s="81"/>
      <c r="AZ77" s="81"/>
      <c r="BA77" s="81"/>
      <c r="BB77" s="81"/>
      <c r="BC77" s="81"/>
      <c r="BD77" s="81"/>
      <c r="BE77" s="81"/>
      <c r="BF77" s="81"/>
      <c r="BG77" s="81"/>
      <c r="BH77" s="81"/>
      <c r="BI77" s="81"/>
      <c r="BJ77" s="81"/>
      <c r="BK77" s="81"/>
      <c r="BL77" s="81"/>
      <c r="BM77" s="81"/>
      <c r="BN77" s="81"/>
      <c r="BO77" s="81"/>
      <c r="BP77" s="81"/>
      <c r="BQ77" s="81"/>
      <c r="BR77" s="81"/>
      <c r="BS77" s="81"/>
      <c r="BT77" s="81"/>
      <c r="BU77" s="81"/>
      <c r="BV77" s="81"/>
      <c r="BW77" s="81"/>
      <c r="BX77" s="81"/>
      <c r="BY77" s="81"/>
      <c r="BZ77" s="81"/>
      <c r="CA77" s="81"/>
      <c r="CB77" s="81"/>
      <c r="CC77" s="81"/>
      <c r="CD77" s="81"/>
      <c r="CE77" s="81"/>
      <c r="CF77" s="81"/>
      <c r="CG77" s="81"/>
      <c r="CH77" s="81"/>
      <c r="CI77" s="81"/>
      <c r="CJ77" s="81"/>
      <c r="CK77" s="81"/>
      <c r="CL77" s="81"/>
      <c r="CM77" s="81"/>
      <c r="CN77" s="81"/>
      <c r="CO77" s="81"/>
      <c r="CP77" s="81"/>
      <c r="CQ77" s="81"/>
      <c r="CR77" s="81"/>
      <c r="CS77" s="81"/>
      <c r="CT77" s="81"/>
      <c r="CU77" s="81"/>
      <c r="CV77" s="81"/>
      <c r="CW77" s="81"/>
      <c r="CX77" s="81"/>
      <c r="CY77" s="81"/>
      <c r="CZ77" s="81"/>
      <c r="DA77" s="81"/>
      <c r="DB77" s="81"/>
      <c r="DC77" s="81"/>
      <c r="DD77" s="81"/>
      <c r="DE77" s="81"/>
      <c r="DF77" s="81"/>
      <c r="DG77" s="81"/>
      <c r="DH77" s="81"/>
      <c r="DI77" s="81"/>
      <c r="DJ77" s="81"/>
      <c r="DK77" s="81"/>
      <c r="DL77" s="81"/>
      <c r="DM77" s="81"/>
      <c r="DN77" s="81"/>
      <c r="DO77" s="81"/>
      <c r="DP77" s="81"/>
      <c r="DQ77" s="81"/>
      <c r="DR77" s="81"/>
      <c r="DS77" s="81"/>
      <c r="DT77" s="81"/>
      <c r="DU77" s="81"/>
      <c r="DV77" s="81"/>
      <c r="DW77" s="81"/>
      <c r="DX77" s="81"/>
      <c r="DY77" s="81"/>
      <c r="DZ77" s="81"/>
      <c r="EA77" s="81"/>
      <c r="EB77" s="81"/>
      <c r="EC77" s="81"/>
      <c r="ED77" s="81"/>
      <c r="EE77" s="81"/>
      <c r="EF77" s="81"/>
      <c r="EG77" s="81"/>
      <c r="EH77" s="81"/>
      <c r="EI77" s="81"/>
      <c r="EJ77" s="81"/>
      <c r="EK77" s="81"/>
      <c r="EL77" s="81"/>
      <c r="EM77" s="81"/>
      <c r="EN77" s="81"/>
      <c r="EO77" s="81"/>
      <c r="EP77" s="81"/>
      <c r="EQ77" s="81"/>
      <c r="ER77" s="81"/>
      <c r="ES77" s="81"/>
      <c r="ET77" s="81"/>
      <c r="EU77" s="81"/>
      <c r="EV77" s="81"/>
      <c r="EW77" s="81"/>
      <c r="EX77" s="81"/>
      <c r="EY77" s="81"/>
      <c r="EZ77" s="81"/>
      <c r="FA77" s="81"/>
      <c r="FB77" s="81"/>
      <c r="FC77" s="88">
        <v>0.49390861188914975</v>
      </c>
      <c r="FD77" s="88">
        <v>0.78934652170783159</v>
      </c>
      <c r="FE77" s="88">
        <v>0.90304231323902584</v>
      </c>
      <c r="FF77" s="88">
        <v>1.1311492465682864</v>
      </c>
      <c r="FG77" s="88">
        <v>1.1765978283573164</v>
      </c>
      <c r="FH77" s="88">
        <v>0.19433011192645594</v>
      </c>
      <c r="FI77" s="88">
        <v>0.3345096723791614</v>
      </c>
      <c r="FJ77" s="88">
        <v>0.5108603966129307</v>
      </c>
      <c r="FK77" s="88">
        <v>0.77510328590238875</v>
      </c>
      <c r="FL77" s="88">
        <v>1.9011709327406154</v>
      </c>
      <c r="FM77" s="81"/>
      <c r="FN77" s="81"/>
      <c r="FO77" s="81"/>
      <c r="FP77" s="81"/>
      <c r="FQ77" s="81"/>
      <c r="FR77" s="81"/>
      <c r="FS77" s="81"/>
      <c r="FT77" s="81"/>
      <c r="FU77" s="81">
        <v>0.67759991318312718</v>
      </c>
      <c r="FV77" s="81">
        <v>20.6812691132697</v>
      </c>
      <c r="FW77" s="81"/>
      <c r="FX77" s="86"/>
      <c r="FY77" s="81"/>
      <c r="FZ77" s="81"/>
      <c r="GA77" s="81"/>
      <c r="GB77" s="81"/>
      <c r="GC77" s="81"/>
      <c r="GD77" s="81"/>
      <c r="GE77" s="81"/>
      <c r="GF77" s="81"/>
      <c r="GG77" s="81"/>
      <c r="GH77" s="81"/>
    </row>
    <row r="78" spans="1:190" x14ac:dyDescent="0.2">
      <c r="A78" s="82" t="s">
        <v>397</v>
      </c>
      <c r="B78" s="87"/>
      <c r="C78" s="87"/>
      <c r="D78" s="87"/>
      <c r="E78" s="87"/>
      <c r="F78" s="87"/>
      <c r="G78" s="87"/>
      <c r="H78" s="87"/>
      <c r="I78" s="87">
        <v>0.14816630322576427</v>
      </c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  <c r="AA78" s="81"/>
      <c r="AB78" s="81">
        <v>3.3358003234035745</v>
      </c>
      <c r="AC78" s="81"/>
      <c r="AD78" s="81">
        <v>24.176207581981952</v>
      </c>
      <c r="AE78" s="81"/>
      <c r="AF78" s="81"/>
      <c r="AG78" s="81"/>
      <c r="AH78" s="81"/>
      <c r="AI78" s="81"/>
      <c r="AJ78" s="81"/>
      <c r="AK78" s="81">
        <v>8.6776601937225166</v>
      </c>
      <c r="AL78" s="81"/>
      <c r="AM78" s="81"/>
      <c r="AN78" s="81"/>
      <c r="AO78" s="81"/>
      <c r="AP78" s="81"/>
      <c r="AQ78" s="81"/>
      <c r="AR78" s="81"/>
      <c r="AS78" s="81"/>
      <c r="AT78" s="81"/>
      <c r="AU78" s="81"/>
      <c r="AV78" s="81"/>
      <c r="AW78" s="81"/>
      <c r="AX78" s="81"/>
      <c r="AY78" s="81"/>
      <c r="AZ78" s="81"/>
      <c r="BA78" s="81"/>
      <c r="BB78" s="81"/>
      <c r="BC78" s="81"/>
      <c r="BD78" s="81"/>
      <c r="BE78" s="81"/>
      <c r="BF78" s="81"/>
      <c r="BG78" s="81"/>
      <c r="BH78" s="81"/>
      <c r="BI78" s="81"/>
      <c r="BJ78" s="81"/>
      <c r="BK78" s="81"/>
      <c r="BL78" s="81"/>
      <c r="BM78" s="81"/>
      <c r="BN78" s="81"/>
      <c r="BO78" s="81"/>
      <c r="BP78" s="81"/>
      <c r="BQ78" s="81"/>
      <c r="BR78" s="81"/>
      <c r="BS78" s="81"/>
      <c r="BT78" s="81"/>
      <c r="BU78" s="81"/>
      <c r="BV78" s="81"/>
      <c r="BW78" s="81"/>
      <c r="BX78" s="81"/>
      <c r="BY78" s="81"/>
      <c r="BZ78" s="81"/>
      <c r="CA78" s="81"/>
      <c r="CB78" s="81"/>
      <c r="CC78" s="81"/>
      <c r="CD78" s="81"/>
      <c r="CE78" s="81"/>
      <c r="CF78" s="81"/>
      <c r="CG78" s="81"/>
      <c r="CH78" s="81"/>
      <c r="CI78" s="81"/>
      <c r="CJ78" s="81"/>
      <c r="CK78" s="81"/>
      <c r="CL78" s="81"/>
      <c r="CM78" s="81"/>
      <c r="CN78" s="81"/>
      <c r="CO78" s="81"/>
      <c r="CP78" s="81"/>
      <c r="CQ78" s="81"/>
      <c r="CR78" s="81"/>
      <c r="CS78" s="81"/>
      <c r="CT78" s="81"/>
      <c r="CU78" s="81"/>
      <c r="CV78" s="81"/>
      <c r="CW78" s="81"/>
      <c r="CX78" s="81"/>
      <c r="CY78" s="81"/>
      <c r="CZ78" s="81"/>
      <c r="DA78" s="81"/>
      <c r="DB78" s="81"/>
      <c r="DC78" s="81"/>
      <c r="DD78" s="81"/>
      <c r="DE78" s="81"/>
      <c r="DF78" s="81"/>
      <c r="DG78" s="81"/>
      <c r="DH78" s="81"/>
      <c r="DI78" s="81"/>
      <c r="DJ78" s="81"/>
      <c r="DK78" s="81"/>
      <c r="DL78" s="81"/>
      <c r="DM78" s="81"/>
      <c r="DN78" s="81"/>
      <c r="DO78" s="81"/>
      <c r="DP78" s="81"/>
      <c r="DQ78" s="81"/>
      <c r="DR78" s="81"/>
      <c r="DS78" s="81"/>
      <c r="DT78" s="81"/>
      <c r="DU78" s="81"/>
      <c r="DV78" s="81"/>
      <c r="DW78" s="81"/>
      <c r="DX78" s="81"/>
      <c r="DY78" s="81"/>
      <c r="DZ78" s="81"/>
      <c r="EA78" s="81"/>
      <c r="EB78" s="81"/>
      <c r="EC78" s="81"/>
      <c r="ED78" s="81"/>
      <c r="EE78" s="81"/>
      <c r="EF78" s="81"/>
      <c r="EG78" s="81"/>
      <c r="EH78" s="81"/>
      <c r="EI78" s="81"/>
      <c r="EJ78" s="81"/>
      <c r="EK78" s="81"/>
      <c r="EL78" s="81"/>
      <c r="EM78" s="81"/>
      <c r="EN78" s="81"/>
      <c r="EO78" s="81"/>
      <c r="EP78" s="81"/>
      <c r="EQ78" s="81"/>
      <c r="ER78" s="81"/>
      <c r="ES78" s="81"/>
      <c r="ET78" s="81"/>
      <c r="EU78" s="81"/>
      <c r="EV78" s="81"/>
      <c r="EW78" s="81"/>
      <c r="EX78" s="81"/>
      <c r="EY78" s="81"/>
      <c r="EZ78" s="81"/>
      <c r="FA78" s="81"/>
      <c r="FB78" s="81"/>
      <c r="FC78" s="88"/>
      <c r="FD78" s="88"/>
      <c r="FE78" s="88"/>
      <c r="FF78" s="88"/>
      <c r="FG78" s="88"/>
      <c r="FH78" s="88"/>
      <c r="FI78" s="88"/>
      <c r="FJ78" s="88"/>
      <c r="FK78" s="88"/>
      <c r="FL78" s="88"/>
      <c r="FM78" s="81"/>
      <c r="FN78" s="81"/>
      <c r="FO78" s="81"/>
      <c r="FP78" s="81"/>
      <c r="FQ78" s="81"/>
      <c r="FR78" s="81"/>
      <c r="FS78" s="81"/>
      <c r="FT78" s="81"/>
      <c r="FU78" s="81">
        <v>0.61816559510288838</v>
      </c>
      <c r="FV78" s="81">
        <v>36.955999997436699</v>
      </c>
      <c r="FW78" s="81"/>
      <c r="FX78" s="86"/>
      <c r="FY78" s="81"/>
      <c r="FZ78" s="81"/>
      <c r="GA78" s="81"/>
      <c r="GB78" s="81"/>
      <c r="GC78" s="81"/>
      <c r="GD78" s="81"/>
      <c r="GE78" s="81"/>
      <c r="GF78" s="81"/>
      <c r="GG78" s="81"/>
      <c r="GH78" s="81"/>
    </row>
    <row r="79" spans="1:190" x14ac:dyDescent="0.2">
      <c r="A79" s="82" t="s">
        <v>398</v>
      </c>
      <c r="B79" s="87"/>
      <c r="C79" s="87"/>
      <c r="D79" s="87"/>
      <c r="E79" s="87"/>
      <c r="F79" s="87"/>
      <c r="G79" s="87"/>
      <c r="H79" s="87"/>
      <c r="I79" s="87"/>
      <c r="J79" s="87">
        <v>1.6262414106176035</v>
      </c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  <c r="AA79" s="81"/>
      <c r="AB79" s="81"/>
      <c r="AC79" s="81">
        <v>0.33933178033916328</v>
      </c>
      <c r="AD79" s="81"/>
      <c r="AE79" s="81"/>
      <c r="AF79" s="81"/>
      <c r="AG79" s="81"/>
      <c r="AH79" s="81"/>
      <c r="AI79" s="81"/>
      <c r="AJ79" s="81"/>
      <c r="AK79" s="81">
        <v>2.9549691477167612</v>
      </c>
      <c r="AL79" s="81"/>
      <c r="AM79" s="81"/>
      <c r="AN79" s="81"/>
      <c r="AO79" s="81"/>
      <c r="AP79" s="81"/>
      <c r="AQ79" s="81"/>
      <c r="AR79" s="81"/>
      <c r="AS79" s="81"/>
      <c r="AT79" s="81"/>
      <c r="AU79" s="81"/>
      <c r="AV79" s="81"/>
      <c r="AW79" s="81"/>
      <c r="AX79" s="81"/>
      <c r="AY79" s="81"/>
      <c r="AZ79" s="81"/>
      <c r="BA79" s="81"/>
      <c r="BB79" s="81"/>
      <c r="BC79" s="81"/>
      <c r="BD79" s="81"/>
      <c r="BE79" s="81"/>
      <c r="BF79" s="81"/>
      <c r="BG79" s="81"/>
      <c r="BH79" s="81"/>
      <c r="BI79" s="81"/>
      <c r="BJ79" s="81"/>
      <c r="BK79" s="81"/>
      <c r="BL79" s="81"/>
      <c r="BM79" s="81"/>
      <c r="BN79" s="81"/>
      <c r="BO79" s="81"/>
      <c r="BP79" s="81"/>
      <c r="BQ79" s="81"/>
      <c r="BR79" s="81"/>
      <c r="BS79" s="81"/>
      <c r="BT79" s="81"/>
      <c r="BU79" s="81"/>
      <c r="BV79" s="81"/>
      <c r="BW79" s="81"/>
      <c r="BX79" s="81"/>
      <c r="BY79" s="81"/>
      <c r="BZ79" s="81"/>
      <c r="CA79" s="81"/>
      <c r="CB79" s="81"/>
      <c r="CC79" s="81"/>
      <c r="CD79" s="81"/>
      <c r="CE79" s="81"/>
      <c r="CF79" s="81"/>
      <c r="CG79" s="81"/>
      <c r="CH79" s="81"/>
      <c r="CI79" s="81"/>
      <c r="CJ79" s="81"/>
      <c r="CK79" s="81"/>
      <c r="CL79" s="81"/>
      <c r="CM79" s="81"/>
      <c r="CN79" s="81"/>
      <c r="CO79" s="81"/>
      <c r="CP79" s="81"/>
      <c r="CQ79" s="81"/>
      <c r="CR79" s="81"/>
      <c r="CS79" s="81"/>
      <c r="CT79" s="81"/>
      <c r="CU79" s="81"/>
      <c r="CV79" s="81"/>
      <c r="CW79" s="81"/>
      <c r="CX79" s="81"/>
      <c r="CY79" s="81"/>
      <c r="CZ79" s="81"/>
      <c r="DA79" s="81"/>
      <c r="DB79" s="81"/>
      <c r="DC79" s="81"/>
      <c r="DD79" s="81"/>
      <c r="DE79" s="81"/>
      <c r="DF79" s="81"/>
      <c r="DG79" s="81"/>
      <c r="DH79" s="81"/>
      <c r="DI79" s="81"/>
      <c r="DJ79" s="81"/>
      <c r="DK79" s="81"/>
      <c r="DL79" s="81"/>
      <c r="DM79" s="81"/>
      <c r="DN79" s="81"/>
      <c r="DO79" s="81"/>
      <c r="DP79" s="81"/>
      <c r="DQ79" s="81"/>
      <c r="DR79" s="81"/>
      <c r="DS79" s="81"/>
      <c r="DT79" s="81"/>
      <c r="DU79" s="81"/>
      <c r="DV79" s="81"/>
      <c r="DW79" s="81"/>
      <c r="DX79" s="81"/>
      <c r="DY79" s="81"/>
      <c r="DZ79" s="81"/>
      <c r="EA79" s="81"/>
      <c r="EB79" s="81"/>
      <c r="EC79" s="81"/>
      <c r="ED79" s="81"/>
      <c r="EE79" s="81"/>
      <c r="EF79" s="81"/>
      <c r="EG79" s="81"/>
      <c r="EH79" s="81"/>
      <c r="EI79" s="81"/>
      <c r="EJ79" s="81"/>
      <c r="EK79" s="81"/>
      <c r="EL79" s="81"/>
      <c r="EM79" s="81"/>
      <c r="EN79" s="81"/>
      <c r="EO79" s="81"/>
      <c r="EP79" s="81"/>
      <c r="EQ79" s="81"/>
      <c r="ER79" s="81"/>
      <c r="ES79" s="81"/>
      <c r="ET79" s="81"/>
      <c r="EU79" s="81"/>
      <c r="EV79" s="81"/>
      <c r="EW79" s="81"/>
      <c r="EX79" s="81"/>
      <c r="EY79" s="81"/>
      <c r="EZ79" s="81"/>
      <c r="FA79" s="81"/>
      <c r="FB79" s="81"/>
      <c r="FC79" s="88">
        <v>2.7943892428702508</v>
      </c>
      <c r="FD79" s="88">
        <v>3.4282804404515836</v>
      </c>
      <c r="FE79" s="88">
        <v>3.501106659853491</v>
      </c>
      <c r="FF79" s="88">
        <v>3.7683020727655019</v>
      </c>
      <c r="FG79" s="88">
        <v>3.1777381468017283</v>
      </c>
      <c r="FH79" s="88">
        <v>1.2253188032707356</v>
      </c>
      <c r="FI79" s="88">
        <v>1.712182594392361</v>
      </c>
      <c r="FJ79" s="88">
        <v>2.1919465197273142</v>
      </c>
      <c r="FK79" s="88">
        <v>2.674034360232425</v>
      </c>
      <c r="FL79" s="88">
        <v>4.5705840476541661</v>
      </c>
      <c r="FM79" s="81"/>
      <c r="FN79" s="81"/>
      <c r="FO79" s="81"/>
      <c r="FP79" s="81"/>
      <c r="FQ79" s="81"/>
      <c r="FR79" s="81"/>
      <c r="FS79" s="81"/>
      <c r="FT79" s="81">
        <v>0.25373621156096576</v>
      </c>
      <c r="FU79" s="81">
        <v>4.9868833877959799</v>
      </c>
      <c r="FV79" s="81">
        <v>39.205044826050027</v>
      </c>
      <c r="FW79" s="81"/>
      <c r="FX79" s="86"/>
      <c r="FY79" s="81"/>
      <c r="FZ79" s="81"/>
      <c r="GA79" s="81"/>
      <c r="GB79" s="81"/>
      <c r="GC79" s="81"/>
      <c r="GD79" s="81"/>
      <c r="GE79" s="81"/>
      <c r="GF79" s="81"/>
      <c r="GG79" s="81"/>
      <c r="GH79" s="81"/>
    </row>
    <row r="80" spans="1:190" x14ac:dyDescent="0.2">
      <c r="A80" s="82" t="s">
        <v>399</v>
      </c>
      <c r="B80" s="87"/>
      <c r="C80" s="87"/>
      <c r="D80" s="87"/>
      <c r="E80" s="87"/>
      <c r="F80" s="87"/>
      <c r="G80" s="87"/>
      <c r="H80" s="87"/>
      <c r="I80" s="87"/>
      <c r="J80" s="87"/>
      <c r="K80" s="87">
        <v>3.0119991420350822</v>
      </c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  <c r="AA80" s="81"/>
      <c r="AB80" s="81"/>
      <c r="AC80" s="81">
        <v>11.284987753826249</v>
      </c>
      <c r="AD80" s="81"/>
      <c r="AE80" s="81"/>
      <c r="AF80" s="81"/>
      <c r="AG80" s="81"/>
      <c r="AH80" s="81"/>
      <c r="AI80" s="81"/>
      <c r="AJ80" s="81"/>
      <c r="AK80" s="81">
        <v>8.0439925319745509</v>
      </c>
      <c r="AL80" s="81"/>
      <c r="AM80" s="81"/>
      <c r="AN80" s="81"/>
      <c r="AO80" s="81"/>
      <c r="AP80" s="81"/>
      <c r="AQ80" s="81"/>
      <c r="AR80" s="81"/>
      <c r="AS80" s="81"/>
      <c r="AT80" s="81"/>
      <c r="AU80" s="81"/>
      <c r="AV80" s="81"/>
      <c r="AW80" s="81"/>
      <c r="AX80" s="81"/>
      <c r="AY80" s="81"/>
      <c r="AZ80" s="81"/>
      <c r="BA80" s="81"/>
      <c r="BB80" s="81"/>
      <c r="BC80" s="81"/>
      <c r="BD80" s="81"/>
      <c r="BE80" s="81"/>
      <c r="BF80" s="81"/>
      <c r="BG80" s="81"/>
      <c r="BH80" s="81"/>
      <c r="BI80" s="81">
        <v>0.88263439538310184</v>
      </c>
      <c r="BJ80" s="81">
        <v>3.0904430648648291</v>
      </c>
      <c r="BK80" s="81"/>
      <c r="BL80" s="81"/>
      <c r="BM80" s="81"/>
      <c r="BN80" s="81"/>
      <c r="BO80" s="81"/>
      <c r="BP80" s="81"/>
      <c r="BQ80" s="81"/>
      <c r="BR80" s="81"/>
      <c r="BS80" s="81"/>
      <c r="BT80" s="81"/>
      <c r="BU80" s="81"/>
      <c r="BV80" s="81"/>
      <c r="BW80" s="81"/>
      <c r="BX80" s="81"/>
      <c r="BY80" s="81"/>
      <c r="BZ80" s="81"/>
      <c r="CA80" s="81"/>
      <c r="CB80" s="81"/>
      <c r="CC80" s="81"/>
      <c r="CD80" s="81"/>
      <c r="CE80" s="81"/>
      <c r="CF80" s="81"/>
      <c r="CG80" s="81"/>
      <c r="CH80" s="81"/>
      <c r="CI80" s="81"/>
      <c r="CJ80" s="81"/>
      <c r="CK80" s="81"/>
      <c r="CL80" s="81"/>
      <c r="CM80" s="81"/>
      <c r="CN80" s="81"/>
      <c r="CO80" s="81"/>
      <c r="CP80" s="81"/>
      <c r="CQ80" s="81"/>
      <c r="CR80" s="81"/>
      <c r="CS80" s="81"/>
      <c r="CT80" s="81"/>
      <c r="CU80" s="81"/>
      <c r="CV80" s="81"/>
      <c r="CW80" s="81"/>
      <c r="CX80" s="81"/>
      <c r="CY80" s="81"/>
      <c r="CZ80" s="81"/>
      <c r="DA80" s="81"/>
      <c r="DB80" s="81"/>
      <c r="DC80" s="81"/>
      <c r="DD80" s="81"/>
      <c r="DE80" s="81"/>
      <c r="DF80" s="81"/>
      <c r="DG80" s="81"/>
      <c r="DH80" s="81"/>
      <c r="DI80" s="81"/>
      <c r="DJ80" s="81"/>
      <c r="DK80" s="81"/>
      <c r="DL80" s="81"/>
      <c r="DM80" s="81"/>
      <c r="DN80" s="81"/>
      <c r="DO80" s="81"/>
      <c r="DP80" s="81"/>
      <c r="DQ80" s="81"/>
      <c r="DR80" s="81"/>
      <c r="DS80" s="81"/>
      <c r="DT80" s="81"/>
      <c r="DU80" s="81"/>
      <c r="DV80" s="81"/>
      <c r="DW80" s="81"/>
      <c r="DX80" s="81"/>
      <c r="DY80" s="81"/>
      <c r="DZ80" s="81"/>
      <c r="EA80" s="81"/>
      <c r="EB80" s="81"/>
      <c r="EC80" s="81"/>
      <c r="ED80" s="81"/>
      <c r="EE80" s="81"/>
      <c r="EF80" s="81"/>
      <c r="EG80" s="81"/>
      <c r="EH80" s="81"/>
      <c r="EI80" s="81"/>
      <c r="EJ80" s="81"/>
      <c r="EK80" s="81"/>
      <c r="EL80" s="81"/>
      <c r="EM80" s="81"/>
      <c r="EN80" s="81"/>
      <c r="EO80" s="81"/>
      <c r="EP80" s="81"/>
      <c r="EQ80" s="81"/>
      <c r="ER80" s="81"/>
      <c r="ES80" s="81"/>
      <c r="ET80" s="81"/>
      <c r="EU80" s="81"/>
      <c r="EV80" s="81"/>
      <c r="EW80" s="81"/>
      <c r="EX80" s="81"/>
      <c r="EY80" s="81"/>
      <c r="EZ80" s="81"/>
      <c r="FA80" s="81"/>
      <c r="FB80" s="81"/>
      <c r="FC80" s="88">
        <v>10.997908968736873</v>
      </c>
      <c r="FD80" s="88">
        <v>13.740273575152971</v>
      </c>
      <c r="FE80" s="88">
        <v>14.288211606013089</v>
      </c>
      <c r="FF80" s="88">
        <v>16.289436405784461</v>
      </c>
      <c r="FG80" s="88">
        <v>14.778803035315017</v>
      </c>
      <c r="FH80" s="88">
        <v>4.7443828004036321</v>
      </c>
      <c r="FI80" s="88">
        <v>6.7059277905656982</v>
      </c>
      <c r="FJ80" s="88">
        <v>8.9398722142386386</v>
      </c>
      <c r="FK80" s="88">
        <v>11.551863848334536</v>
      </c>
      <c r="FL80" s="88">
        <v>20.842401447895714</v>
      </c>
      <c r="FM80" s="81"/>
      <c r="FN80" s="81"/>
      <c r="FO80" s="81"/>
      <c r="FP80" s="81"/>
      <c r="FQ80" s="81"/>
      <c r="FR80" s="81"/>
      <c r="FS80" s="81"/>
      <c r="FT80" s="81"/>
      <c r="FU80" s="81">
        <v>6.4752186103121332</v>
      </c>
      <c r="FV80" s="81">
        <v>155.66835719083659</v>
      </c>
      <c r="FW80" s="81"/>
      <c r="FX80" s="86"/>
      <c r="FY80" s="81"/>
      <c r="FZ80" s="81"/>
      <c r="GA80" s="81"/>
      <c r="GB80" s="81"/>
      <c r="GC80" s="81"/>
      <c r="GD80" s="81"/>
      <c r="GE80" s="81"/>
      <c r="GF80" s="81"/>
      <c r="GG80" s="81"/>
      <c r="GH80" s="81"/>
    </row>
    <row r="81" spans="1:190" x14ac:dyDescent="0.2">
      <c r="A81" s="82" t="s">
        <v>400</v>
      </c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>
        <v>0.57117991458888417</v>
      </c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  <c r="AA81" s="81"/>
      <c r="AB81" s="81"/>
      <c r="AC81" s="81"/>
      <c r="AD81" s="81"/>
      <c r="AE81" s="81"/>
      <c r="AF81" s="81"/>
      <c r="AG81" s="81"/>
      <c r="AH81" s="81"/>
      <c r="AI81" s="81"/>
      <c r="AJ81" s="81">
        <v>35.640340622374424</v>
      </c>
      <c r="AK81" s="81">
        <v>1.8397516742088942</v>
      </c>
      <c r="AL81" s="81"/>
      <c r="AM81" s="81"/>
      <c r="AN81" s="81"/>
      <c r="AO81" s="81"/>
      <c r="AP81" s="81"/>
      <c r="AQ81" s="81"/>
      <c r="AR81" s="81"/>
      <c r="AS81" s="81"/>
      <c r="AT81" s="81"/>
      <c r="AU81" s="81"/>
      <c r="AV81" s="81"/>
      <c r="AW81" s="81"/>
      <c r="AX81" s="81"/>
      <c r="AY81" s="81"/>
      <c r="AZ81" s="81"/>
      <c r="BA81" s="81"/>
      <c r="BB81" s="81"/>
      <c r="BC81" s="81"/>
      <c r="BD81" s="81"/>
      <c r="BE81" s="81"/>
      <c r="BF81" s="81"/>
      <c r="BG81" s="81"/>
      <c r="BH81" s="81"/>
      <c r="BI81" s="81"/>
      <c r="BJ81" s="81"/>
      <c r="BK81" s="81"/>
      <c r="BL81" s="81"/>
      <c r="BM81" s="81"/>
      <c r="BN81" s="81"/>
      <c r="BO81" s="81"/>
      <c r="BP81" s="81"/>
      <c r="BQ81" s="81"/>
      <c r="BR81" s="81"/>
      <c r="BS81" s="81"/>
      <c r="BT81" s="81"/>
      <c r="BU81" s="81"/>
      <c r="BV81" s="81"/>
      <c r="BW81" s="81"/>
      <c r="BX81" s="81"/>
      <c r="BY81" s="81"/>
      <c r="BZ81" s="81"/>
      <c r="CA81" s="81"/>
      <c r="CB81" s="81"/>
      <c r="CC81" s="81"/>
      <c r="CD81" s="81"/>
      <c r="CE81" s="81"/>
      <c r="CF81" s="81"/>
      <c r="CG81" s="81"/>
      <c r="CH81" s="81"/>
      <c r="CI81" s="81"/>
      <c r="CJ81" s="81"/>
      <c r="CK81" s="81"/>
      <c r="CL81" s="81"/>
      <c r="CM81" s="81"/>
      <c r="CN81" s="81"/>
      <c r="CO81" s="81"/>
      <c r="CP81" s="81"/>
      <c r="CQ81" s="81"/>
      <c r="CR81" s="81"/>
      <c r="CS81" s="81"/>
      <c r="CT81" s="81"/>
      <c r="CU81" s="81"/>
      <c r="CV81" s="81"/>
      <c r="CW81" s="81"/>
      <c r="CX81" s="81"/>
      <c r="CY81" s="81"/>
      <c r="CZ81" s="81"/>
      <c r="DA81" s="81"/>
      <c r="DB81" s="81"/>
      <c r="DC81" s="81"/>
      <c r="DD81" s="81"/>
      <c r="DE81" s="81"/>
      <c r="DF81" s="81"/>
      <c r="DG81" s="81"/>
      <c r="DH81" s="81"/>
      <c r="DI81" s="81"/>
      <c r="DJ81" s="81"/>
      <c r="DK81" s="81"/>
      <c r="DL81" s="81"/>
      <c r="DM81" s="81"/>
      <c r="DN81" s="81"/>
      <c r="DO81" s="81"/>
      <c r="DP81" s="81"/>
      <c r="DQ81" s="81"/>
      <c r="DR81" s="81"/>
      <c r="DS81" s="81"/>
      <c r="DT81" s="81"/>
      <c r="DU81" s="81"/>
      <c r="DV81" s="81"/>
      <c r="DW81" s="81"/>
      <c r="DX81" s="81"/>
      <c r="DY81" s="81"/>
      <c r="DZ81" s="81"/>
      <c r="EA81" s="81"/>
      <c r="EB81" s="81"/>
      <c r="EC81" s="81"/>
      <c r="ED81" s="81"/>
      <c r="EE81" s="81"/>
      <c r="EF81" s="81"/>
      <c r="EG81" s="81"/>
      <c r="EH81" s="81"/>
      <c r="EI81" s="81"/>
      <c r="EJ81" s="81"/>
      <c r="EK81" s="81"/>
      <c r="EL81" s="81"/>
      <c r="EM81" s="81"/>
      <c r="EN81" s="81"/>
      <c r="EO81" s="81"/>
      <c r="EP81" s="81"/>
      <c r="EQ81" s="81"/>
      <c r="ER81" s="81"/>
      <c r="ES81" s="81"/>
      <c r="ET81" s="81"/>
      <c r="EU81" s="81"/>
      <c r="EV81" s="81"/>
      <c r="EW81" s="81"/>
      <c r="EX81" s="81"/>
      <c r="EY81" s="81"/>
      <c r="EZ81" s="81"/>
      <c r="FA81" s="81"/>
      <c r="FB81" s="81"/>
      <c r="FC81" s="88"/>
      <c r="FD81" s="88"/>
      <c r="FE81" s="88"/>
      <c r="FF81" s="88"/>
      <c r="FG81" s="88"/>
      <c r="FH81" s="88"/>
      <c r="FI81" s="88"/>
      <c r="FJ81" s="88"/>
      <c r="FK81" s="88"/>
      <c r="FL81" s="88"/>
      <c r="FM81" s="81"/>
      <c r="FN81" s="81"/>
      <c r="FO81" s="81"/>
      <c r="FP81" s="81"/>
      <c r="FQ81" s="81"/>
      <c r="FR81" s="81"/>
      <c r="FS81" s="81"/>
      <c r="FT81" s="81">
        <v>-0.36303506818910969</v>
      </c>
      <c r="FU81" s="81">
        <v>0.19493049354067374</v>
      </c>
      <c r="FV81" s="81">
        <v>37.883167636523758</v>
      </c>
      <c r="FW81" s="81"/>
      <c r="FX81" s="86"/>
      <c r="FY81" s="81"/>
      <c r="FZ81" s="81"/>
      <c r="GA81" s="81"/>
      <c r="GB81" s="81"/>
      <c r="GC81" s="81"/>
      <c r="GD81" s="81"/>
      <c r="GE81" s="81"/>
      <c r="GF81" s="81"/>
      <c r="GG81" s="81"/>
      <c r="GH81" s="81"/>
    </row>
    <row r="82" spans="1:190" x14ac:dyDescent="0.2">
      <c r="A82" s="82" t="s">
        <v>401</v>
      </c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  <c r="AA82" s="81"/>
      <c r="AB82" s="81"/>
      <c r="AC82" s="81"/>
      <c r="AD82" s="81"/>
      <c r="AE82" s="81"/>
      <c r="AF82" s="81"/>
      <c r="AG82" s="81"/>
      <c r="AH82" s="81"/>
      <c r="AI82" s="81"/>
      <c r="AJ82" s="81"/>
      <c r="AK82" s="81"/>
      <c r="AL82" s="81"/>
      <c r="AM82" s="81"/>
      <c r="AN82" s="81">
        <v>4.0171837997156823</v>
      </c>
      <c r="AO82" s="81"/>
      <c r="AP82" s="81"/>
      <c r="AQ82" s="81"/>
      <c r="AR82" s="81"/>
      <c r="AS82" s="81"/>
      <c r="AT82" s="81"/>
      <c r="AU82" s="81"/>
      <c r="AV82" s="81"/>
      <c r="AW82" s="81"/>
      <c r="AX82" s="81"/>
      <c r="AY82" s="81"/>
      <c r="AZ82" s="81"/>
      <c r="BA82" s="81"/>
      <c r="BB82" s="81"/>
      <c r="BC82" s="81"/>
      <c r="BD82" s="81"/>
      <c r="BE82" s="81"/>
      <c r="BF82" s="81"/>
      <c r="BG82" s="81"/>
      <c r="BH82" s="81"/>
      <c r="BI82" s="81"/>
      <c r="BJ82" s="81"/>
      <c r="BK82" s="81"/>
      <c r="BL82" s="81"/>
      <c r="BM82" s="81"/>
      <c r="BN82" s="81"/>
      <c r="BO82" s="81"/>
      <c r="BP82" s="81"/>
      <c r="BQ82" s="81"/>
      <c r="BR82" s="81"/>
      <c r="BS82" s="81"/>
      <c r="BT82" s="81"/>
      <c r="BU82" s="81"/>
      <c r="BV82" s="81"/>
      <c r="BW82" s="81"/>
      <c r="BX82" s="81"/>
      <c r="BY82" s="81"/>
      <c r="BZ82" s="81"/>
      <c r="CA82" s="81"/>
      <c r="CB82" s="81"/>
      <c r="CC82" s="81"/>
      <c r="CD82" s="81"/>
      <c r="CE82" s="81"/>
      <c r="CF82" s="81"/>
      <c r="CG82" s="81"/>
      <c r="CH82" s="81"/>
      <c r="CI82" s="81"/>
      <c r="CJ82" s="81"/>
      <c r="CK82" s="81"/>
      <c r="CL82" s="81"/>
      <c r="CM82" s="81"/>
      <c r="CN82" s="81"/>
      <c r="CO82" s="81"/>
      <c r="CP82" s="81"/>
      <c r="CQ82" s="81"/>
      <c r="CR82" s="81"/>
      <c r="CS82" s="81"/>
      <c r="CT82" s="81"/>
      <c r="CU82" s="81"/>
      <c r="CV82" s="81"/>
      <c r="CW82" s="81"/>
      <c r="CX82" s="81"/>
      <c r="CY82" s="81"/>
      <c r="CZ82" s="81"/>
      <c r="DA82" s="81"/>
      <c r="DB82" s="81"/>
      <c r="DC82" s="81"/>
      <c r="DD82" s="81"/>
      <c r="DE82" s="81"/>
      <c r="DF82" s="81"/>
      <c r="DG82" s="81"/>
      <c r="DH82" s="81"/>
      <c r="DI82" s="81"/>
      <c r="DJ82" s="81"/>
      <c r="DK82" s="81"/>
      <c r="DL82" s="81"/>
      <c r="DM82" s="81"/>
      <c r="DN82" s="81"/>
      <c r="DO82" s="81"/>
      <c r="DP82" s="81"/>
      <c r="DQ82" s="81"/>
      <c r="DR82" s="81"/>
      <c r="DS82" s="81"/>
      <c r="DT82" s="81"/>
      <c r="DU82" s="81"/>
      <c r="DV82" s="81"/>
      <c r="DW82" s="81"/>
      <c r="DX82" s="81"/>
      <c r="DY82" s="81"/>
      <c r="DZ82" s="81"/>
      <c r="EA82" s="81"/>
      <c r="EB82" s="81"/>
      <c r="EC82" s="81"/>
      <c r="ED82" s="81"/>
      <c r="EE82" s="81"/>
      <c r="EF82" s="81"/>
      <c r="EG82" s="81"/>
      <c r="EH82" s="81"/>
      <c r="EI82" s="81"/>
      <c r="EJ82" s="81"/>
      <c r="EK82" s="81"/>
      <c r="EL82" s="81"/>
      <c r="EM82" s="81"/>
      <c r="EN82" s="81"/>
      <c r="EO82" s="81"/>
      <c r="EP82" s="81"/>
      <c r="EQ82" s="81"/>
      <c r="ER82" s="81"/>
      <c r="ES82" s="81"/>
      <c r="ET82" s="81"/>
      <c r="EU82" s="81"/>
      <c r="EV82" s="81"/>
      <c r="EW82" s="81"/>
      <c r="EX82" s="81"/>
      <c r="EY82" s="81"/>
      <c r="EZ82" s="81"/>
      <c r="FA82" s="81"/>
      <c r="FB82" s="81"/>
      <c r="FC82" s="88"/>
      <c r="FD82" s="88"/>
      <c r="FE82" s="88"/>
      <c r="FF82" s="88"/>
      <c r="FG82" s="88"/>
      <c r="FH82" s="88"/>
      <c r="FI82" s="88"/>
      <c r="FJ82" s="88"/>
      <c r="FK82" s="88"/>
      <c r="FL82" s="88"/>
      <c r="FM82" s="81"/>
      <c r="FN82" s="81"/>
      <c r="FO82" s="81"/>
      <c r="FP82" s="81"/>
      <c r="FQ82" s="81"/>
      <c r="FR82" s="81"/>
      <c r="FS82" s="81"/>
      <c r="FT82" s="81">
        <v>0.6647737329338641</v>
      </c>
      <c r="FU82" s="81">
        <v>1.6212590699055199E-3</v>
      </c>
      <c r="FV82" s="81">
        <v>4.6835787917194516</v>
      </c>
      <c r="FW82" s="81"/>
      <c r="FX82" s="86"/>
      <c r="FY82" s="81"/>
      <c r="FZ82" s="81"/>
      <c r="GA82" s="81"/>
      <c r="GB82" s="81"/>
      <c r="GC82" s="81"/>
      <c r="GD82" s="81"/>
      <c r="GE82" s="81"/>
      <c r="GF82" s="81"/>
      <c r="GG82" s="81"/>
      <c r="GH82" s="81"/>
    </row>
    <row r="83" spans="1:190" x14ac:dyDescent="0.2">
      <c r="A83" s="82" t="s">
        <v>402</v>
      </c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>
        <v>5.2140675299227031E-3</v>
      </c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  <c r="AA83" s="81"/>
      <c r="AB83" s="81">
        <v>1.4364257690159909</v>
      </c>
      <c r="AC83" s="81"/>
      <c r="AD83" s="81"/>
      <c r="AE83" s="81"/>
      <c r="AF83" s="81"/>
      <c r="AG83" s="81"/>
      <c r="AH83" s="81"/>
      <c r="AI83" s="81"/>
      <c r="AJ83" s="81"/>
      <c r="AK83" s="81">
        <v>3.2963597309243555</v>
      </c>
      <c r="AL83" s="81"/>
      <c r="AM83" s="81"/>
      <c r="AN83" s="81"/>
      <c r="AO83" s="81">
        <v>6.3079786711688905</v>
      </c>
      <c r="AP83" s="81">
        <v>3.1132191705420706</v>
      </c>
      <c r="AQ83" s="81"/>
      <c r="AR83" s="81"/>
      <c r="AS83" s="81"/>
      <c r="AT83" s="81"/>
      <c r="AU83" s="81"/>
      <c r="AV83" s="81"/>
      <c r="AW83" s="81"/>
      <c r="AX83" s="81"/>
      <c r="AY83" s="81"/>
      <c r="AZ83" s="81"/>
      <c r="BA83" s="81"/>
      <c r="BB83" s="81"/>
      <c r="BC83" s="81"/>
      <c r="BD83" s="81"/>
      <c r="BE83" s="81"/>
      <c r="BF83" s="81"/>
      <c r="BG83" s="81"/>
      <c r="BH83" s="81"/>
      <c r="BI83" s="81"/>
      <c r="BJ83" s="81"/>
      <c r="BK83" s="81"/>
      <c r="BL83" s="81"/>
      <c r="BM83" s="81"/>
      <c r="BN83" s="81"/>
      <c r="BO83" s="81"/>
      <c r="BP83" s="81"/>
      <c r="BQ83" s="81"/>
      <c r="BR83" s="81"/>
      <c r="BS83" s="81"/>
      <c r="BT83" s="81"/>
      <c r="BU83" s="81"/>
      <c r="BV83" s="81"/>
      <c r="BW83" s="81"/>
      <c r="BX83" s="81"/>
      <c r="BY83" s="81"/>
      <c r="BZ83" s="81"/>
      <c r="CA83" s="81"/>
      <c r="CB83" s="81"/>
      <c r="CC83" s="81"/>
      <c r="CD83" s="81"/>
      <c r="CE83" s="81"/>
      <c r="CF83" s="81"/>
      <c r="CG83" s="81"/>
      <c r="CH83" s="81"/>
      <c r="CI83" s="81"/>
      <c r="CJ83" s="81"/>
      <c r="CK83" s="81"/>
      <c r="CL83" s="81"/>
      <c r="CM83" s="81"/>
      <c r="CN83" s="81"/>
      <c r="CO83" s="81"/>
      <c r="CP83" s="81"/>
      <c r="CQ83" s="81"/>
      <c r="CR83" s="81"/>
      <c r="CS83" s="81"/>
      <c r="CT83" s="81"/>
      <c r="CU83" s="81"/>
      <c r="CV83" s="81"/>
      <c r="CW83" s="81"/>
      <c r="CX83" s="81"/>
      <c r="CY83" s="81"/>
      <c r="CZ83" s="81"/>
      <c r="DA83" s="81"/>
      <c r="DB83" s="81"/>
      <c r="DC83" s="81"/>
      <c r="DD83" s="81"/>
      <c r="DE83" s="81"/>
      <c r="DF83" s="81"/>
      <c r="DG83" s="81"/>
      <c r="DH83" s="81"/>
      <c r="DI83" s="81"/>
      <c r="DJ83" s="81"/>
      <c r="DK83" s="81"/>
      <c r="DL83" s="81"/>
      <c r="DM83" s="81"/>
      <c r="DN83" s="81"/>
      <c r="DO83" s="81"/>
      <c r="DP83" s="81"/>
      <c r="DQ83" s="81"/>
      <c r="DR83" s="81"/>
      <c r="DS83" s="81"/>
      <c r="DT83" s="81"/>
      <c r="DU83" s="81"/>
      <c r="DV83" s="81"/>
      <c r="DW83" s="81"/>
      <c r="DX83" s="81"/>
      <c r="DY83" s="81"/>
      <c r="DZ83" s="81"/>
      <c r="EA83" s="81"/>
      <c r="EB83" s="81"/>
      <c r="EC83" s="81"/>
      <c r="ED83" s="81"/>
      <c r="EE83" s="81"/>
      <c r="EF83" s="81"/>
      <c r="EG83" s="81"/>
      <c r="EH83" s="81"/>
      <c r="EI83" s="81"/>
      <c r="EJ83" s="81"/>
      <c r="EK83" s="81"/>
      <c r="EL83" s="81"/>
      <c r="EM83" s="81"/>
      <c r="EN83" s="81"/>
      <c r="EO83" s="81"/>
      <c r="EP83" s="81"/>
      <c r="EQ83" s="81"/>
      <c r="ER83" s="81"/>
      <c r="ES83" s="81"/>
      <c r="ET83" s="81"/>
      <c r="EU83" s="81"/>
      <c r="EV83" s="81"/>
      <c r="EW83" s="81"/>
      <c r="EX83" s="81"/>
      <c r="EY83" s="81"/>
      <c r="EZ83" s="81"/>
      <c r="FA83" s="81"/>
      <c r="FB83" s="81"/>
      <c r="FC83" s="88"/>
      <c r="FD83" s="88"/>
      <c r="FE83" s="88"/>
      <c r="FF83" s="88"/>
      <c r="FG83" s="88"/>
      <c r="FH83" s="88"/>
      <c r="FI83" s="88"/>
      <c r="FJ83" s="88"/>
      <c r="FK83" s="88"/>
      <c r="FL83" s="88"/>
      <c r="FM83" s="81"/>
      <c r="FN83" s="81"/>
      <c r="FO83" s="81"/>
      <c r="FP83" s="81"/>
      <c r="FQ83" s="81"/>
      <c r="FR83" s="81"/>
      <c r="FS83" s="81"/>
      <c r="FT83" s="81"/>
      <c r="FU83" s="81">
        <v>2.5057998010049314</v>
      </c>
      <c r="FV83" s="81">
        <v>16.664997210186161</v>
      </c>
      <c r="FW83" s="81"/>
      <c r="FX83" s="86"/>
      <c r="FY83" s="81"/>
      <c r="FZ83" s="81"/>
      <c r="GA83" s="81"/>
      <c r="GB83" s="81"/>
      <c r="GC83" s="81"/>
      <c r="GD83" s="81"/>
      <c r="GE83" s="81"/>
      <c r="GF83" s="81"/>
      <c r="GG83" s="81"/>
      <c r="GH83" s="81"/>
    </row>
    <row r="84" spans="1:190" x14ac:dyDescent="0.2">
      <c r="A84" s="82" t="s">
        <v>403</v>
      </c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>
        <v>0.29674158107909637</v>
      </c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  <c r="AA84" s="81"/>
      <c r="AB84" s="81">
        <v>0.80817242364590891</v>
      </c>
      <c r="AC84" s="81">
        <v>6.1355611106772701</v>
      </c>
      <c r="AD84" s="81"/>
      <c r="AE84" s="81"/>
      <c r="AF84" s="81"/>
      <c r="AG84" s="81"/>
      <c r="AH84" s="81"/>
      <c r="AI84" s="81"/>
      <c r="AJ84" s="81"/>
      <c r="AK84" s="81">
        <v>13.426172820595083</v>
      </c>
      <c r="AL84" s="81"/>
      <c r="AM84" s="81">
        <v>6.5480903930111882</v>
      </c>
      <c r="AN84" s="81"/>
      <c r="AO84" s="81"/>
      <c r="AP84" s="81"/>
      <c r="AQ84" s="81"/>
      <c r="AR84" s="81"/>
      <c r="AS84" s="81"/>
      <c r="AT84" s="81"/>
      <c r="AU84" s="81"/>
      <c r="AV84" s="81"/>
      <c r="AW84" s="81"/>
      <c r="AX84" s="81"/>
      <c r="AY84" s="81"/>
      <c r="AZ84" s="81"/>
      <c r="BA84" s="81"/>
      <c r="BB84" s="81"/>
      <c r="BC84" s="81"/>
      <c r="BD84" s="81"/>
      <c r="BE84" s="81"/>
      <c r="BF84" s="81"/>
      <c r="BG84" s="81"/>
      <c r="BH84" s="81"/>
      <c r="BI84" s="81">
        <v>0.87388219686480528</v>
      </c>
      <c r="BJ84" s="81">
        <v>3.0576163068293618</v>
      </c>
      <c r="BK84" s="81"/>
      <c r="BL84" s="81"/>
      <c r="BM84" s="81"/>
      <c r="BN84" s="81"/>
      <c r="BO84" s="81"/>
      <c r="BP84" s="81"/>
      <c r="BQ84" s="81"/>
      <c r="BR84" s="81"/>
      <c r="BS84" s="81"/>
      <c r="BT84" s="81"/>
      <c r="BU84" s="81"/>
      <c r="BV84" s="81"/>
      <c r="BW84" s="81"/>
      <c r="BX84" s="81"/>
      <c r="BY84" s="81"/>
      <c r="BZ84" s="81"/>
      <c r="CA84" s="81"/>
      <c r="CB84" s="81"/>
      <c r="CC84" s="81"/>
      <c r="CD84" s="81"/>
      <c r="CE84" s="81"/>
      <c r="CF84" s="81"/>
      <c r="CG84" s="81"/>
      <c r="CH84" s="81"/>
      <c r="CI84" s="81"/>
      <c r="CJ84" s="81"/>
      <c r="CK84" s="81"/>
      <c r="CL84" s="81"/>
      <c r="CM84" s="81"/>
      <c r="CN84" s="81"/>
      <c r="CO84" s="81"/>
      <c r="CP84" s="81"/>
      <c r="CQ84" s="81"/>
      <c r="CR84" s="81"/>
      <c r="CS84" s="81"/>
      <c r="CT84" s="81"/>
      <c r="CU84" s="81"/>
      <c r="CV84" s="81"/>
      <c r="CW84" s="81"/>
      <c r="CX84" s="81"/>
      <c r="CY84" s="81"/>
      <c r="CZ84" s="81"/>
      <c r="DA84" s="81"/>
      <c r="DB84" s="81"/>
      <c r="DC84" s="81"/>
      <c r="DD84" s="81"/>
      <c r="DE84" s="81"/>
      <c r="DF84" s="81"/>
      <c r="DG84" s="81"/>
      <c r="DH84" s="81"/>
      <c r="DI84" s="81"/>
      <c r="DJ84" s="81"/>
      <c r="DK84" s="81"/>
      <c r="DL84" s="81"/>
      <c r="DM84" s="81"/>
      <c r="DN84" s="81"/>
      <c r="DO84" s="81"/>
      <c r="DP84" s="81"/>
      <c r="DQ84" s="81"/>
      <c r="DR84" s="81"/>
      <c r="DS84" s="81"/>
      <c r="DT84" s="81"/>
      <c r="DU84" s="81"/>
      <c r="DV84" s="81"/>
      <c r="DW84" s="81"/>
      <c r="DX84" s="81"/>
      <c r="DY84" s="81"/>
      <c r="DZ84" s="81"/>
      <c r="EA84" s="81"/>
      <c r="EB84" s="81"/>
      <c r="EC84" s="81"/>
      <c r="ED84" s="81"/>
      <c r="EE84" s="81"/>
      <c r="EF84" s="81"/>
      <c r="EG84" s="81"/>
      <c r="EH84" s="81"/>
      <c r="EI84" s="81"/>
      <c r="EJ84" s="81"/>
      <c r="EK84" s="81"/>
      <c r="EL84" s="81"/>
      <c r="EM84" s="81"/>
      <c r="EN84" s="81"/>
      <c r="EO84" s="81"/>
      <c r="EP84" s="81"/>
      <c r="EQ84" s="81"/>
      <c r="ER84" s="81"/>
      <c r="ES84" s="81"/>
      <c r="ET84" s="81"/>
      <c r="EU84" s="81"/>
      <c r="EV84" s="81"/>
      <c r="EW84" s="81"/>
      <c r="EX84" s="81"/>
      <c r="EY84" s="81"/>
      <c r="EZ84" s="81"/>
      <c r="FA84" s="81"/>
      <c r="FB84" s="81"/>
      <c r="FC84" s="88">
        <v>4.9964881778177475</v>
      </c>
      <c r="FD84" s="88">
        <v>7.9851565817704788</v>
      </c>
      <c r="FE84" s="88">
        <v>9.1359717417035107</v>
      </c>
      <c r="FF84" s="88">
        <v>11.445272604176507</v>
      </c>
      <c r="FG84" s="88">
        <v>11.9117438048384</v>
      </c>
      <c r="FH84" s="88">
        <v>1.966371293150057</v>
      </c>
      <c r="FI84" s="88">
        <v>3.3847857240077674</v>
      </c>
      <c r="FJ84" s="88">
        <v>5.1690556805726704</v>
      </c>
      <c r="FK84" s="88">
        <v>7.842790895870337</v>
      </c>
      <c r="FL84" s="88">
        <v>19.247856895991102</v>
      </c>
      <c r="FM84" s="81"/>
      <c r="FN84" s="81"/>
      <c r="FO84" s="81"/>
      <c r="FP84" s="81"/>
      <c r="FQ84" s="81"/>
      <c r="FR84" s="81"/>
      <c r="FS84" s="81"/>
      <c r="FT84" s="81">
        <v>3.892869022588365E-3</v>
      </c>
      <c r="FU84" s="81">
        <v>19.226284025269138</v>
      </c>
      <c r="FV84" s="81">
        <v>133.46190712689304</v>
      </c>
      <c r="FW84" s="81"/>
      <c r="FX84" s="86"/>
      <c r="FY84" s="81"/>
      <c r="FZ84" s="81"/>
      <c r="GA84" s="81"/>
      <c r="GB84" s="81"/>
      <c r="GC84" s="81"/>
      <c r="GD84" s="81"/>
      <c r="GE84" s="81"/>
      <c r="GF84" s="81"/>
      <c r="GG84" s="81"/>
      <c r="GH84" s="81"/>
    </row>
    <row r="85" spans="1:190" x14ac:dyDescent="0.2">
      <c r="A85" s="82" t="s">
        <v>404</v>
      </c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  <c r="AA85" s="81"/>
      <c r="AB85" s="81"/>
      <c r="AC85" s="81"/>
      <c r="AD85" s="81"/>
      <c r="AE85" s="81"/>
      <c r="AF85" s="81"/>
      <c r="AG85" s="81"/>
      <c r="AH85" s="81"/>
      <c r="AI85" s="81"/>
      <c r="AJ85" s="81"/>
      <c r="AK85" s="81"/>
      <c r="AL85" s="81"/>
      <c r="AM85" s="81">
        <v>2.2294663031852973</v>
      </c>
      <c r="AN85" s="81"/>
      <c r="AO85" s="81"/>
      <c r="AP85" s="81"/>
      <c r="AQ85" s="81"/>
      <c r="AR85" s="81"/>
      <c r="AS85" s="81"/>
      <c r="AT85" s="81"/>
      <c r="AU85" s="81"/>
      <c r="AV85" s="81"/>
      <c r="AW85" s="81"/>
      <c r="AX85" s="81"/>
      <c r="AY85" s="81"/>
      <c r="AZ85" s="81"/>
      <c r="BA85" s="81"/>
      <c r="BB85" s="81"/>
      <c r="BC85" s="81"/>
      <c r="BD85" s="81"/>
      <c r="BE85" s="81"/>
      <c r="BF85" s="81"/>
      <c r="BG85" s="81"/>
      <c r="BH85" s="81"/>
      <c r="BI85" s="81"/>
      <c r="BJ85" s="81"/>
      <c r="BK85" s="81"/>
      <c r="BL85" s="81"/>
      <c r="BM85" s="81"/>
      <c r="BN85" s="81"/>
      <c r="BO85" s="81"/>
      <c r="BP85" s="81"/>
      <c r="BQ85" s="81"/>
      <c r="BR85" s="81"/>
      <c r="BS85" s="81"/>
      <c r="BT85" s="81"/>
      <c r="BU85" s="81"/>
      <c r="BV85" s="81"/>
      <c r="BW85" s="81"/>
      <c r="BX85" s="81"/>
      <c r="BY85" s="81"/>
      <c r="BZ85" s="81"/>
      <c r="CA85" s="81"/>
      <c r="CB85" s="81"/>
      <c r="CC85" s="81"/>
      <c r="CD85" s="81"/>
      <c r="CE85" s="81"/>
      <c r="CF85" s="81"/>
      <c r="CG85" s="81"/>
      <c r="CH85" s="81"/>
      <c r="CI85" s="81"/>
      <c r="CJ85" s="81"/>
      <c r="CK85" s="81"/>
      <c r="CL85" s="81"/>
      <c r="CM85" s="81"/>
      <c r="CN85" s="81"/>
      <c r="CO85" s="81"/>
      <c r="CP85" s="81"/>
      <c r="CQ85" s="81"/>
      <c r="CR85" s="81"/>
      <c r="CS85" s="81"/>
      <c r="CT85" s="81"/>
      <c r="CU85" s="81"/>
      <c r="CV85" s="81"/>
      <c r="CW85" s="81"/>
      <c r="CX85" s="81"/>
      <c r="CY85" s="81"/>
      <c r="CZ85" s="81"/>
      <c r="DA85" s="81"/>
      <c r="DB85" s="81"/>
      <c r="DC85" s="81"/>
      <c r="DD85" s="81"/>
      <c r="DE85" s="81"/>
      <c r="DF85" s="81"/>
      <c r="DG85" s="81"/>
      <c r="DH85" s="81"/>
      <c r="DI85" s="81"/>
      <c r="DJ85" s="81"/>
      <c r="DK85" s="81"/>
      <c r="DL85" s="81"/>
      <c r="DM85" s="81"/>
      <c r="DN85" s="81"/>
      <c r="DO85" s="81"/>
      <c r="DP85" s="81"/>
      <c r="DQ85" s="81"/>
      <c r="DR85" s="81"/>
      <c r="DS85" s="81"/>
      <c r="DT85" s="81"/>
      <c r="DU85" s="81"/>
      <c r="DV85" s="81"/>
      <c r="DW85" s="81"/>
      <c r="DX85" s="81"/>
      <c r="DY85" s="81"/>
      <c r="DZ85" s="81"/>
      <c r="EA85" s="81"/>
      <c r="EB85" s="81"/>
      <c r="EC85" s="81"/>
      <c r="ED85" s="81"/>
      <c r="EE85" s="81"/>
      <c r="EF85" s="81"/>
      <c r="EG85" s="81"/>
      <c r="EH85" s="81"/>
      <c r="EI85" s="81"/>
      <c r="EJ85" s="81"/>
      <c r="EK85" s="81"/>
      <c r="EL85" s="81"/>
      <c r="EM85" s="81"/>
      <c r="EN85" s="81"/>
      <c r="EO85" s="81"/>
      <c r="EP85" s="81"/>
      <c r="EQ85" s="81"/>
      <c r="ER85" s="81"/>
      <c r="ES85" s="81"/>
      <c r="ET85" s="81"/>
      <c r="EU85" s="81"/>
      <c r="EV85" s="81"/>
      <c r="EW85" s="81"/>
      <c r="EX85" s="81"/>
      <c r="EY85" s="81"/>
      <c r="EZ85" s="81"/>
      <c r="FA85" s="81"/>
      <c r="FB85" s="81"/>
      <c r="FC85" s="88"/>
      <c r="FD85" s="88"/>
      <c r="FE85" s="88"/>
      <c r="FF85" s="88"/>
      <c r="FG85" s="88"/>
      <c r="FH85" s="88"/>
      <c r="FI85" s="88"/>
      <c r="FJ85" s="88"/>
      <c r="FK85" s="88"/>
      <c r="FL85" s="88"/>
      <c r="FM85" s="81"/>
      <c r="FN85" s="81"/>
      <c r="FO85" s="81"/>
      <c r="FP85" s="81"/>
      <c r="FQ85" s="81"/>
      <c r="FR85" s="81"/>
      <c r="FS85" s="81"/>
      <c r="FT85" s="81"/>
      <c r="FU85" s="81">
        <v>0.12998101681144403</v>
      </c>
      <c r="FV85" s="81">
        <v>2.3594473199967414</v>
      </c>
      <c r="FW85" s="81"/>
      <c r="FX85" s="86"/>
      <c r="FY85" s="81"/>
      <c r="FZ85" s="81"/>
      <c r="GA85" s="81"/>
      <c r="GB85" s="81"/>
      <c r="GC85" s="81"/>
      <c r="GD85" s="81"/>
      <c r="GE85" s="81"/>
      <c r="GF85" s="81"/>
      <c r="GG85" s="81"/>
      <c r="GH85" s="81"/>
    </row>
    <row r="86" spans="1:190" x14ac:dyDescent="0.2">
      <c r="A86" s="82" t="s">
        <v>405</v>
      </c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  <c r="AA86" s="81"/>
      <c r="AB86" s="81"/>
      <c r="AC86" s="81"/>
      <c r="AD86" s="81"/>
      <c r="AE86" s="81"/>
      <c r="AF86" s="81"/>
      <c r="AG86" s="81"/>
      <c r="AH86" s="81"/>
      <c r="AI86" s="81"/>
      <c r="AJ86" s="81"/>
      <c r="AK86" s="81"/>
      <c r="AL86" s="81"/>
      <c r="AM86" s="81"/>
      <c r="AN86" s="81"/>
      <c r="AO86" s="81"/>
      <c r="AP86" s="81"/>
      <c r="AQ86" s="81"/>
      <c r="AR86" s="81"/>
      <c r="AS86" s="81"/>
      <c r="AT86" s="81"/>
      <c r="AU86" s="81"/>
      <c r="AV86" s="81"/>
      <c r="AW86" s="81"/>
      <c r="AX86" s="81"/>
      <c r="AY86" s="81"/>
      <c r="AZ86" s="81"/>
      <c r="BA86" s="81"/>
      <c r="BB86" s="81"/>
      <c r="BC86" s="81"/>
      <c r="BD86" s="81"/>
      <c r="BE86" s="81"/>
      <c r="BF86" s="81"/>
      <c r="BG86" s="81"/>
      <c r="BH86" s="81"/>
      <c r="BI86" s="81"/>
      <c r="BJ86" s="81"/>
      <c r="BK86" s="81"/>
      <c r="BL86" s="81"/>
      <c r="BM86" s="81"/>
      <c r="BN86" s="81"/>
      <c r="BO86" s="81"/>
      <c r="BP86" s="81"/>
      <c r="BQ86" s="81"/>
      <c r="BR86" s="81"/>
      <c r="BS86" s="81"/>
      <c r="BT86" s="81"/>
      <c r="BU86" s="81"/>
      <c r="BV86" s="81"/>
      <c r="BW86" s="81"/>
      <c r="BX86" s="81"/>
      <c r="BY86" s="81"/>
      <c r="BZ86" s="81"/>
      <c r="CA86" s="81"/>
      <c r="CB86" s="81"/>
      <c r="CC86" s="81"/>
      <c r="CD86" s="81"/>
      <c r="CE86" s="81"/>
      <c r="CF86" s="81"/>
      <c r="CG86" s="81"/>
      <c r="CH86" s="81"/>
      <c r="CI86" s="81"/>
      <c r="CJ86" s="81"/>
      <c r="CK86" s="81"/>
      <c r="CL86" s="81"/>
      <c r="CM86" s="81"/>
      <c r="CN86" s="81"/>
      <c r="CO86" s="81"/>
      <c r="CP86" s="81"/>
      <c r="CQ86" s="81"/>
      <c r="CR86" s="81"/>
      <c r="CS86" s="81"/>
      <c r="CT86" s="81"/>
      <c r="CU86" s="81"/>
      <c r="CV86" s="81"/>
      <c r="CW86" s="81"/>
      <c r="CX86" s="81"/>
      <c r="CY86" s="81"/>
      <c r="CZ86" s="81"/>
      <c r="DA86" s="81"/>
      <c r="DB86" s="81"/>
      <c r="DC86" s="81"/>
      <c r="DD86" s="81"/>
      <c r="DE86" s="81"/>
      <c r="DF86" s="81"/>
      <c r="DG86" s="81"/>
      <c r="DH86" s="81"/>
      <c r="DI86" s="81"/>
      <c r="DJ86" s="81"/>
      <c r="DK86" s="81"/>
      <c r="DL86" s="81"/>
      <c r="DM86" s="81"/>
      <c r="DN86" s="81"/>
      <c r="DO86" s="81"/>
      <c r="DP86" s="81"/>
      <c r="DQ86" s="81"/>
      <c r="DR86" s="81"/>
      <c r="DS86" s="81"/>
      <c r="DT86" s="81"/>
      <c r="DU86" s="81"/>
      <c r="DV86" s="81"/>
      <c r="DW86" s="81"/>
      <c r="DX86" s="81"/>
      <c r="DY86" s="81"/>
      <c r="DZ86" s="81"/>
      <c r="EA86" s="81"/>
      <c r="EB86" s="81"/>
      <c r="EC86" s="81"/>
      <c r="ED86" s="81"/>
      <c r="EE86" s="81"/>
      <c r="EF86" s="81"/>
      <c r="EG86" s="81"/>
      <c r="EH86" s="81"/>
      <c r="EI86" s="81"/>
      <c r="EJ86" s="81"/>
      <c r="EK86" s="81"/>
      <c r="EL86" s="81"/>
      <c r="EM86" s="81"/>
      <c r="EN86" s="81"/>
      <c r="EO86" s="81"/>
      <c r="EP86" s="81"/>
      <c r="EQ86" s="81"/>
      <c r="ER86" s="81"/>
      <c r="ES86" s="81"/>
      <c r="ET86" s="81"/>
      <c r="EU86" s="81"/>
      <c r="EV86" s="81"/>
      <c r="EW86" s="81"/>
      <c r="EX86" s="81"/>
      <c r="EY86" s="81"/>
      <c r="EZ86" s="81"/>
      <c r="FA86" s="81"/>
      <c r="FB86" s="81"/>
      <c r="FC86" s="88"/>
      <c r="FD86" s="88"/>
      <c r="FE86" s="88"/>
      <c r="FF86" s="88"/>
      <c r="FG86" s="88"/>
      <c r="FH86" s="88"/>
      <c r="FI86" s="88"/>
      <c r="FJ86" s="88"/>
      <c r="FK86" s="88"/>
      <c r="FL86" s="88"/>
      <c r="FM86" s="81"/>
      <c r="FN86" s="81"/>
      <c r="FO86" s="81"/>
      <c r="FP86" s="81"/>
      <c r="FQ86" s="81"/>
      <c r="FR86" s="81"/>
      <c r="FS86" s="81"/>
      <c r="FT86" s="81"/>
      <c r="FU86" s="81">
        <v>3.1904049722091405E-5</v>
      </c>
      <c r="FV86" s="81">
        <v>3.1904049722091405E-5</v>
      </c>
      <c r="FW86" s="81"/>
      <c r="FX86" s="86"/>
      <c r="FY86" s="81"/>
      <c r="FZ86" s="81"/>
      <c r="GA86" s="81"/>
      <c r="GB86" s="81"/>
      <c r="GC86" s="81"/>
      <c r="GD86" s="81"/>
      <c r="GE86" s="81"/>
      <c r="GF86" s="81"/>
      <c r="GG86" s="81"/>
      <c r="GH86" s="81"/>
    </row>
    <row r="87" spans="1:190" x14ac:dyDescent="0.2">
      <c r="A87" s="82" t="s">
        <v>406</v>
      </c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>
        <v>1.156796534540209E-2</v>
      </c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  <c r="AA87" s="81"/>
      <c r="AB87" s="81">
        <v>2.2063558051753271</v>
      </c>
      <c r="AC87" s="81"/>
      <c r="AD87" s="81"/>
      <c r="AE87" s="81"/>
      <c r="AF87" s="81"/>
      <c r="AG87" s="81"/>
      <c r="AH87" s="81"/>
      <c r="AI87" s="81"/>
      <c r="AJ87" s="81"/>
      <c r="AK87" s="81">
        <v>10.373397874446475</v>
      </c>
      <c r="AL87" s="81"/>
      <c r="AM87" s="81"/>
      <c r="AN87" s="81"/>
      <c r="AO87" s="81"/>
      <c r="AP87" s="81"/>
      <c r="AQ87" s="81"/>
      <c r="AR87" s="81"/>
      <c r="AS87" s="81"/>
      <c r="AT87" s="81"/>
      <c r="AU87" s="81"/>
      <c r="AV87" s="81"/>
      <c r="AW87" s="81"/>
      <c r="AX87" s="81"/>
      <c r="AY87" s="81"/>
      <c r="AZ87" s="81"/>
      <c r="BA87" s="81"/>
      <c r="BB87" s="81"/>
      <c r="BC87" s="81"/>
      <c r="BD87" s="81"/>
      <c r="BE87" s="81"/>
      <c r="BF87" s="81"/>
      <c r="BG87" s="81"/>
      <c r="BH87" s="81"/>
      <c r="BI87" s="81"/>
      <c r="BJ87" s="81"/>
      <c r="BK87" s="81"/>
      <c r="BL87" s="81"/>
      <c r="BM87" s="81"/>
      <c r="BN87" s="81"/>
      <c r="BO87" s="81"/>
      <c r="BP87" s="81"/>
      <c r="BQ87" s="81"/>
      <c r="BR87" s="81"/>
      <c r="BS87" s="81"/>
      <c r="BT87" s="81"/>
      <c r="BU87" s="81"/>
      <c r="BV87" s="81"/>
      <c r="BW87" s="81"/>
      <c r="BX87" s="81"/>
      <c r="BY87" s="81"/>
      <c r="BZ87" s="81"/>
      <c r="CA87" s="81"/>
      <c r="CB87" s="81"/>
      <c r="CC87" s="81"/>
      <c r="CD87" s="81"/>
      <c r="CE87" s="81"/>
      <c r="CF87" s="81"/>
      <c r="CG87" s="81"/>
      <c r="CH87" s="81"/>
      <c r="CI87" s="81"/>
      <c r="CJ87" s="81"/>
      <c r="CK87" s="81"/>
      <c r="CL87" s="81"/>
      <c r="CM87" s="81"/>
      <c r="CN87" s="81"/>
      <c r="CO87" s="81"/>
      <c r="CP87" s="81"/>
      <c r="CQ87" s="81"/>
      <c r="CR87" s="81"/>
      <c r="CS87" s="81"/>
      <c r="CT87" s="81"/>
      <c r="CU87" s="81"/>
      <c r="CV87" s="81"/>
      <c r="CW87" s="81"/>
      <c r="CX87" s="81"/>
      <c r="CY87" s="81"/>
      <c r="CZ87" s="81"/>
      <c r="DA87" s="81"/>
      <c r="DB87" s="81"/>
      <c r="DC87" s="81"/>
      <c r="DD87" s="81"/>
      <c r="DE87" s="81"/>
      <c r="DF87" s="81"/>
      <c r="DG87" s="81"/>
      <c r="DH87" s="81"/>
      <c r="DI87" s="81"/>
      <c r="DJ87" s="81"/>
      <c r="DK87" s="81"/>
      <c r="DL87" s="81"/>
      <c r="DM87" s="81"/>
      <c r="DN87" s="81"/>
      <c r="DO87" s="81"/>
      <c r="DP87" s="81"/>
      <c r="DQ87" s="81"/>
      <c r="DR87" s="81"/>
      <c r="DS87" s="81"/>
      <c r="DT87" s="81"/>
      <c r="DU87" s="81"/>
      <c r="DV87" s="81"/>
      <c r="DW87" s="81"/>
      <c r="DX87" s="81"/>
      <c r="DY87" s="81"/>
      <c r="DZ87" s="81"/>
      <c r="EA87" s="81"/>
      <c r="EB87" s="81"/>
      <c r="EC87" s="81"/>
      <c r="ED87" s="81"/>
      <c r="EE87" s="81"/>
      <c r="EF87" s="81"/>
      <c r="EG87" s="81"/>
      <c r="EH87" s="81"/>
      <c r="EI87" s="81"/>
      <c r="EJ87" s="81"/>
      <c r="EK87" s="81"/>
      <c r="EL87" s="81"/>
      <c r="EM87" s="81"/>
      <c r="EN87" s="81"/>
      <c r="EO87" s="81"/>
      <c r="EP87" s="81"/>
      <c r="EQ87" s="81"/>
      <c r="ER87" s="81"/>
      <c r="ES87" s="81"/>
      <c r="ET87" s="81"/>
      <c r="EU87" s="81"/>
      <c r="EV87" s="81"/>
      <c r="EW87" s="81"/>
      <c r="EX87" s="81"/>
      <c r="EY87" s="81"/>
      <c r="EZ87" s="81"/>
      <c r="FA87" s="81"/>
      <c r="FB87" s="81"/>
      <c r="FC87" s="88"/>
      <c r="FD87" s="88"/>
      <c r="FE87" s="88"/>
      <c r="FF87" s="88"/>
      <c r="FG87" s="88"/>
      <c r="FH87" s="88"/>
      <c r="FI87" s="88"/>
      <c r="FJ87" s="88"/>
      <c r="FK87" s="88"/>
      <c r="FL87" s="88"/>
      <c r="FM87" s="81"/>
      <c r="FN87" s="81"/>
      <c r="FO87" s="81"/>
      <c r="FP87" s="81"/>
      <c r="FQ87" s="81"/>
      <c r="FR87" s="81"/>
      <c r="FS87" s="81"/>
      <c r="FT87" s="81"/>
      <c r="FU87" s="81">
        <v>4.1801115478737207</v>
      </c>
      <c r="FV87" s="81">
        <v>16.771433192840924</v>
      </c>
      <c r="FW87" s="81"/>
      <c r="FX87" s="86"/>
      <c r="FY87" s="81"/>
      <c r="FZ87" s="81"/>
      <c r="GA87" s="81"/>
      <c r="GB87" s="81"/>
      <c r="GC87" s="81"/>
      <c r="GD87" s="81"/>
      <c r="GE87" s="81"/>
      <c r="GF87" s="81"/>
      <c r="GG87" s="81"/>
      <c r="GH87" s="81"/>
    </row>
    <row r="88" spans="1:190" x14ac:dyDescent="0.2">
      <c r="A88" s="82" t="s">
        <v>407</v>
      </c>
      <c r="B88" s="87">
        <v>1.9038194251401279</v>
      </c>
      <c r="C88" s="87">
        <v>0.42863490952235689</v>
      </c>
      <c r="D88" s="87">
        <v>8.7644319761175385E-2</v>
      </c>
      <c r="E88" s="87">
        <v>0.88988016141504422</v>
      </c>
      <c r="F88" s="87">
        <v>2.5154667781357217E-2</v>
      </c>
      <c r="G88" s="87">
        <v>0.29809707975153082</v>
      </c>
      <c r="H88" s="87">
        <v>0.39245920039493531</v>
      </c>
      <c r="I88" s="87">
        <v>0.39248114948523338</v>
      </c>
      <c r="J88" s="87">
        <v>1.1323033664499127</v>
      </c>
      <c r="K88" s="87">
        <v>19.439944935886547</v>
      </c>
      <c r="L88" s="87">
        <v>0.12491974451276991</v>
      </c>
      <c r="M88" s="87">
        <v>7.2237016417194613E-2</v>
      </c>
      <c r="N88" s="87">
        <v>7.5901539879917532E-2</v>
      </c>
      <c r="O88" s="87">
        <v>1.3440586055476161E-2</v>
      </c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>
        <v>12.085718890521253</v>
      </c>
      <c r="AA88" s="81"/>
      <c r="AB88" s="81">
        <v>27.669880790494599</v>
      </c>
      <c r="AC88" s="81"/>
      <c r="AD88" s="81">
        <v>4.5675761886203574</v>
      </c>
      <c r="AE88" s="81"/>
      <c r="AF88" s="81"/>
      <c r="AG88" s="81"/>
      <c r="AH88" s="81"/>
      <c r="AI88" s="81"/>
      <c r="AJ88" s="81"/>
      <c r="AK88" s="81">
        <v>14.967572269632957</v>
      </c>
      <c r="AL88" s="81"/>
      <c r="AM88" s="81"/>
      <c r="AN88" s="81"/>
      <c r="AO88" s="81"/>
      <c r="AP88" s="81"/>
      <c r="AQ88" s="81"/>
      <c r="AR88" s="81">
        <v>7.6601135499596226E-2</v>
      </c>
      <c r="AS88" s="81"/>
      <c r="AT88" s="81"/>
      <c r="AU88" s="81"/>
      <c r="AV88" s="81"/>
      <c r="AW88" s="81"/>
      <c r="AX88" s="81"/>
      <c r="AY88" s="81"/>
      <c r="AZ88" s="81"/>
      <c r="BA88" s="81"/>
      <c r="BB88" s="81"/>
      <c r="BC88" s="81"/>
      <c r="BD88" s="81"/>
      <c r="BE88" s="81"/>
      <c r="BF88" s="81"/>
      <c r="BG88" s="81"/>
      <c r="BH88" s="81"/>
      <c r="BI88" s="81">
        <v>0.13365715913411363</v>
      </c>
      <c r="BJ88" s="81">
        <v>0.46845051354933093</v>
      </c>
      <c r="BK88" s="81"/>
      <c r="BL88" s="81"/>
      <c r="BM88" s="81"/>
      <c r="BN88" s="81"/>
      <c r="BO88" s="81"/>
      <c r="BP88" s="81"/>
      <c r="BQ88" s="81"/>
      <c r="BR88" s="81"/>
      <c r="BS88" s="81"/>
      <c r="BT88" s="81"/>
      <c r="BU88" s="81"/>
      <c r="BV88" s="81"/>
      <c r="BW88" s="81"/>
      <c r="BX88" s="81"/>
      <c r="BY88" s="81"/>
      <c r="BZ88" s="81"/>
      <c r="CA88" s="81"/>
      <c r="CB88" s="81"/>
      <c r="CC88" s="81"/>
      <c r="CD88" s="81"/>
      <c r="CE88" s="81"/>
      <c r="CF88" s="81"/>
      <c r="CG88" s="81"/>
      <c r="CH88" s="81"/>
      <c r="CI88" s="81"/>
      <c r="CJ88" s="81"/>
      <c r="CK88" s="81"/>
      <c r="CL88" s="81"/>
      <c r="CM88" s="81"/>
      <c r="CN88" s="81"/>
      <c r="CO88" s="81"/>
      <c r="CP88" s="81"/>
      <c r="CQ88" s="81"/>
      <c r="CR88" s="81"/>
      <c r="CS88" s="81"/>
      <c r="CT88" s="81"/>
      <c r="CU88" s="81"/>
      <c r="CV88" s="81"/>
      <c r="CW88" s="81"/>
      <c r="CX88" s="81"/>
      <c r="CY88" s="81"/>
      <c r="CZ88" s="81"/>
      <c r="DA88" s="81"/>
      <c r="DB88" s="81"/>
      <c r="DC88" s="81"/>
      <c r="DD88" s="81"/>
      <c r="DE88" s="81"/>
      <c r="DF88" s="81"/>
      <c r="DG88" s="81"/>
      <c r="DH88" s="81"/>
      <c r="DI88" s="81"/>
      <c r="DJ88" s="81"/>
      <c r="DK88" s="81"/>
      <c r="DL88" s="81"/>
      <c r="DM88" s="81"/>
      <c r="DN88" s="81"/>
      <c r="DO88" s="81"/>
      <c r="DP88" s="81"/>
      <c r="DQ88" s="81"/>
      <c r="DR88" s="81"/>
      <c r="DS88" s="81"/>
      <c r="DT88" s="81"/>
      <c r="DU88" s="81"/>
      <c r="DV88" s="81"/>
      <c r="DW88" s="81"/>
      <c r="DX88" s="81"/>
      <c r="DY88" s="81"/>
      <c r="DZ88" s="81"/>
      <c r="EA88" s="81"/>
      <c r="EB88" s="81"/>
      <c r="EC88" s="81"/>
      <c r="ED88" s="81"/>
      <c r="EE88" s="81"/>
      <c r="EF88" s="81"/>
      <c r="EG88" s="81"/>
      <c r="EH88" s="81"/>
      <c r="EI88" s="81"/>
      <c r="EJ88" s="81"/>
      <c r="EK88" s="81"/>
      <c r="EL88" s="81"/>
      <c r="EM88" s="81"/>
      <c r="EN88" s="81"/>
      <c r="EO88" s="81"/>
      <c r="EP88" s="81"/>
      <c r="EQ88" s="81"/>
      <c r="ER88" s="81"/>
      <c r="ES88" s="81"/>
      <c r="ET88" s="81"/>
      <c r="EU88" s="81"/>
      <c r="EV88" s="81"/>
      <c r="EW88" s="81"/>
      <c r="EX88" s="81"/>
      <c r="EY88" s="81"/>
      <c r="EZ88" s="81"/>
      <c r="FA88" s="81"/>
      <c r="FB88" s="81"/>
      <c r="FC88" s="88">
        <v>3.8556074008616532</v>
      </c>
      <c r="FD88" s="88">
        <v>5.2966732462637847</v>
      </c>
      <c r="FE88" s="88">
        <v>5.9208041546042907</v>
      </c>
      <c r="FF88" s="88">
        <v>7.4908281821166991</v>
      </c>
      <c r="FG88" s="88">
        <v>8.9474049286529294</v>
      </c>
      <c r="FH88" s="88">
        <v>1.3010429759349034</v>
      </c>
      <c r="FI88" s="88">
        <v>1.956329854586293</v>
      </c>
      <c r="FJ88" s="88">
        <v>3.6884641251556909</v>
      </c>
      <c r="FK88" s="88">
        <v>5.6112188567016146</v>
      </c>
      <c r="FL88" s="88">
        <v>15.796473418925448</v>
      </c>
      <c r="FM88" s="81"/>
      <c r="FN88" s="81"/>
      <c r="FO88" s="81"/>
      <c r="FP88" s="81"/>
      <c r="FQ88" s="81"/>
      <c r="FR88" s="81"/>
      <c r="FS88" s="81">
        <v>13.545408581158547</v>
      </c>
      <c r="FT88" s="81">
        <v>0.23291150242562214</v>
      </c>
      <c r="FU88" s="81">
        <v>4.5406241136878238E-2</v>
      </c>
      <c r="FV88" s="81">
        <v>158.93494851843013</v>
      </c>
      <c r="FW88" s="81"/>
      <c r="FX88" s="86"/>
      <c r="FY88" s="81"/>
      <c r="FZ88" s="81"/>
      <c r="GA88" s="81"/>
      <c r="GB88" s="81"/>
      <c r="GC88" s="81"/>
      <c r="GD88" s="81"/>
      <c r="GE88" s="81"/>
      <c r="GF88" s="81"/>
      <c r="GG88" s="81"/>
      <c r="GH88" s="81"/>
    </row>
    <row r="89" spans="1:190" x14ac:dyDescent="0.2">
      <c r="A89" s="82" t="s">
        <v>408</v>
      </c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  <c r="AA89" s="81"/>
      <c r="AB89" s="81"/>
      <c r="AC89" s="81"/>
      <c r="AD89" s="81"/>
      <c r="AE89" s="81"/>
      <c r="AF89" s="81"/>
      <c r="AG89" s="81"/>
      <c r="AH89" s="81"/>
      <c r="AI89" s="81"/>
      <c r="AJ89" s="81"/>
      <c r="AK89" s="81"/>
      <c r="AL89" s="81"/>
      <c r="AM89" s="81"/>
      <c r="AN89" s="81"/>
      <c r="AO89" s="81"/>
      <c r="AP89" s="81"/>
      <c r="AQ89" s="81"/>
      <c r="AR89" s="81"/>
      <c r="AS89" s="81"/>
      <c r="AT89" s="81"/>
      <c r="AU89" s="81"/>
      <c r="AV89" s="81"/>
      <c r="AW89" s="81"/>
      <c r="AX89" s="81"/>
      <c r="AY89" s="81"/>
      <c r="AZ89" s="81"/>
      <c r="BA89" s="81"/>
      <c r="BB89" s="81"/>
      <c r="BC89" s="81"/>
      <c r="BD89" s="81"/>
      <c r="BE89" s="81"/>
      <c r="BF89" s="81"/>
      <c r="BG89" s="81"/>
      <c r="BH89" s="81"/>
      <c r="BI89" s="81"/>
      <c r="BJ89" s="81"/>
      <c r="BK89" s="81"/>
      <c r="BL89" s="81"/>
      <c r="BM89" s="81"/>
      <c r="BN89" s="81"/>
      <c r="BO89" s="81"/>
      <c r="BP89" s="81"/>
      <c r="BQ89" s="81"/>
      <c r="BR89" s="81"/>
      <c r="BS89" s="81"/>
      <c r="BT89" s="81"/>
      <c r="BU89" s="81"/>
      <c r="BV89" s="81"/>
      <c r="BW89" s="81"/>
      <c r="BX89" s="81"/>
      <c r="BY89" s="81"/>
      <c r="BZ89" s="81"/>
      <c r="CA89" s="81"/>
      <c r="CB89" s="81"/>
      <c r="CC89" s="81"/>
      <c r="CD89" s="81"/>
      <c r="CE89" s="81"/>
      <c r="CF89" s="81"/>
      <c r="CG89" s="81"/>
      <c r="CH89" s="81"/>
      <c r="CI89" s="81"/>
      <c r="CJ89" s="81"/>
      <c r="CK89" s="81"/>
      <c r="CL89" s="81"/>
      <c r="CM89" s="81"/>
      <c r="CN89" s="81"/>
      <c r="CO89" s="81"/>
      <c r="CP89" s="81"/>
      <c r="CQ89" s="81"/>
      <c r="CR89" s="81"/>
      <c r="CS89" s="81"/>
      <c r="CT89" s="81"/>
      <c r="CU89" s="81"/>
      <c r="CV89" s="81"/>
      <c r="CW89" s="81"/>
      <c r="CX89" s="81"/>
      <c r="CY89" s="81"/>
      <c r="CZ89" s="81"/>
      <c r="DA89" s="81"/>
      <c r="DB89" s="81"/>
      <c r="DC89" s="81"/>
      <c r="DD89" s="81"/>
      <c r="DE89" s="81"/>
      <c r="DF89" s="81"/>
      <c r="DG89" s="81"/>
      <c r="DH89" s="81"/>
      <c r="DI89" s="81"/>
      <c r="DJ89" s="81"/>
      <c r="DK89" s="81"/>
      <c r="DL89" s="81"/>
      <c r="DM89" s="81"/>
      <c r="DN89" s="81"/>
      <c r="DO89" s="81"/>
      <c r="DP89" s="81"/>
      <c r="DQ89" s="81"/>
      <c r="DR89" s="81"/>
      <c r="DS89" s="81"/>
      <c r="DT89" s="81"/>
      <c r="DU89" s="81"/>
      <c r="DV89" s="81"/>
      <c r="DW89" s="81"/>
      <c r="DX89" s="81"/>
      <c r="DY89" s="81"/>
      <c r="DZ89" s="81"/>
      <c r="EA89" s="81"/>
      <c r="EB89" s="81"/>
      <c r="EC89" s="81"/>
      <c r="ED89" s="81"/>
      <c r="EE89" s="81"/>
      <c r="EF89" s="81"/>
      <c r="EG89" s="81"/>
      <c r="EH89" s="81"/>
      <c r="EI89" s="81"/>
      <c r="EJ89" s="81"/>
      <c r="EK89" s="81"/>
      <c r="EL89" s="81"/>
      <c r="EM89" s="81"/>
      <c r="EN89" s="81"/>
      <c r="EO89" s="81"/>
      <c r="EP89" s="81"/>
      <c r="EQ89" s="81"/>
      <c r="ER89" s="81"/>
      <c r="ES89" s="81"/>
      <c r="ET89" s="81"/>
      <c r="EU89" s="81"/>
      <c r="EV89" s="81"/>
      <c r="EW89" s="81"/>
      <c r="EX89" s="81"/>
      <c r="EY89" s="81"/>
      <c r="EZ89" s="81"/>
      <c r="FA89" s="81"/>
      <c r="FB89" s="81"/>
      <c r="FC89" s="88">
        <v>2.2796651352488793</v>
      </c>
      <c r="FD89" s="88">
        <v>3.7609811279924918</v>
      </c>
      <c r="FE89" s="88">
        <v>4.3243767076838138</v>
      </c>
      <c r="FF89" s="88">
        <v>5.3967008706006148</v>
      </c>
      <c r="FG89" s="88">
        <v>5.2392730215213792</v>
      </c>
      <c r="FH89" s="88">
        <v>1.1817720558855944</v>
      </c>
      <c r="FI89" s="88">
        <v>2.3873100916164747</v>
      </c>
      <c r="FJ89" s="88">
        <v>3.6431227553946544</v>
      </c>
      <c r="FK89" s="88">
        <v>5.5426108845609452</v>
      </c>
      <c r="FL89" s="88">
        <v>10.121676596565205</v>
      </c>
      <c r="FM89" s="81"/>
      <c r="FN89" s="81"/>
      <c r="FO89" s="81"/>
      <c r="FP89" s="81"/>
      <c r="FQ89" s="81"/>
      <c r="FR89" s="81"/>
      <c r="FS89" s="81"/>
      <c r="FT89" s="81"/>
      <c r="FU89" s="81"/>
      <c r="FV89" s="81">
        <v>43.877489247070045</v>
      </c>
      <c r="FW89" s="81"/>
      <c r="FX89" s="86"/>
      <c r="FY89" s="81"/>
      <c r="FZ89" s="81"/>
      <c r="GA89" s="81"/>
      <c r="GB89" s="81"/>
      <c r="GC89" s="81"/>
      <c r="GD89" s="81"/>
      <c r="GE89" s="81"/>
      <c r="GF89" s="81"/>
      <c r="GG89" s="81"/>
      <c r="GH89" s="81"/>
    </row>
    <row r="90" spans="1:190" x14ac:dyDescent="0.2">
      <c r="A90" s="82" t="s">
        <v>409</v>
      </c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>
        <v>14.582775488170142</v>
      </c>
      <c r="S90" s="87"/>
      <c r="T90" s="87"/>
      <c r="U90" s="87"/>
      <c r="V90" s="87"/>
      <c r="W90" s="87"/>
      <c r="X90" s="87"/>
      <c r="Y90" s="87"/>
      <c r="Z90" s="87">
        <v>2.2955365464608963</v>
      </c>
      <c r="AA90" s="81"/>
      <c r="AB90" s="81"/>
      <c r="AC90" s="81"/>
      <c r="AD90" s="81">
        <v>0.59869321780746665</v>
      </c>
      <c r="AE90" s="81"/>
      <c r="AF90" s="81"/>
      <c r="AG90" s="81"/>
      <c r="AH90" s="81"/>
      <c r="AI90" s="81"/>
      <c r="AJ90" s="81"/>
      <c r="AK90" s="81">
        <v>1.9830125694132754</v>
      </c>
      <c r="AL90" s="81"/>
      <c r="AM90" s="81"/>
      <c r="AN90" s="81"/>
      <c r="AO90" s="81"/>
      <c r="AP90" s="81"/>
      <c r="AQ90" s="81"/>
      <c r="AR90" s="81"/>
      <c r="AS90" s="81"/>
      <c r="AT90" s="81"/>
      <c r="AU90" s="81"/>
      <c r="AV90" s="81"/>
      <c r="AW90" s="81"/>
      <c r="AX90" s="81"/>
      <c r="AY90" s="81"/>
      <c r="AZ90" s="81"/>
      <c r="BA90" s="81"/>
      <c r="BB90" s="81"/>
      <c r="BC90" s="81"/>
      <c r="BD90" s="81"/>
      <c r="BE90" s="81"/>
      <c r="BF90" s="81"/>
      <c r="BG90" s="81"/>
      <c r="BH90" s="81"/>
      <c r="BI90" s="81">
        <v>0.16708518433162592</v>
      </c>
      <c r="BJ90" s="81">
        <v>0.58572832195624125</v>
      </c>
      <c r="BK90" s="81"/>
      <c r="BL90" s="81"/>
      <c r="BM90" s="81"/>
      <c r="BN90" s="81"/>
      <c r="BO90" s="81"/>
      <c r="BP90" s="81"/>
      <c r="BQ90" s="81"/>
      <c r="BR90" s="81"/>
      <c r="BS90" s="81"/>
      <c r="BT90" s="81"/>
      <c r="BU90" s="81"/>
      <c r="BV90" s="81"/>
      <c r="BW90" s="81"/>
      <c r="BX90" s="81"/>
      <c r="BY90" s="81"/>
      <c r="BZ90" s="81"/>
      <c r="CA90" s="81"/>
      <c r="CB90" s="81"/>
      <c r="CC90" s="81"/>
      <c r="CD90" s="81"/>
      <c r="CE90" s="81"/>
      <c r="CF90" s="81"/>
      <c r="CG90" s="81"/>
      <c r="CH90" s="81"/>
      <c r="CI90" s="81"/>
      <c r="CJ90" s="81"/>
      <c r="CK90" s="81"/>
      <c r="CL90" s="81"/>
      <c r="CM90" s="81"/>
      <c r="CN90" s="81"/>
      <c r="CO90" s="81"/>
      <c r="CP90" s="81"/>
      <c r="CQ90" s="81"/>
      <c r="CR90" s="81"/>
      <c r="CS90" s="81"/>
      <c r="CT90" s="81"/>
      <c r="CU90" s="81"/>
      <c r="CV90" s="81"/>
      <c r="CW90" s="81"/>
      <c r="CX90" s="81"/>
      <c r="CY90" s="81"/>
      <c r="CZ90" s="81"/>
      <c r="DA90" s="81"/>
      <c r="DB90" s="81"/>
      <c r="DC90" s="81"/>
      <c r="DD90" s="81"/>
      <c r="DE90" s="81"/>
      <c r="DF90" s="81"/>
      <c r="DG90" s="81"/>
      <c r="DH90" s="81"/>
      <c r="DI90" s="81"/>
      <c r="DJ90" s="81"/>
      <c r="DK90" s="81"/>
      <c r="DL90" s="81"/>
      <c r="DM90" s="81"/>
      <c r="DN90" s="81"/>
      <c r="DO90" s="81"/>
      <c r="DP90" s="81"/>
      <c r="DQ90" s="81"/>
      <c r="DR90" s="81"/>
      <c r="DS90" s="81"/>
      <c r="DT90" s="81"/>
      <c r="DU90" s="81"/>
      <c r="DV90" s="81"/>
      <c r="DW90" s="81"/>
      <c r="DX90" s="81"/>
      <c r="DY90" s="81"/>
      <c r="DZ90" s="81"/>
      <c r="EA90" s="81"/>
      <c r="EB90" s="81"/>
      <c r="EC90" s="81"/>
      <c r="ED90" s="81"/>
      <c r="EE90" s="81"/>
      <c r="EF90" s="81"/>
      <c r="EG90" s="81"/>
      <c r="EH90" s="81"/>
      <c r="EI90" s="81"/>
      <c r="EJ90" s="81"/>
      <c r="EK90" s="81"/>
      <c r="EL90" s="81"/>
      <c r="EM90" s="81"/>
      <c r="EN90" s="81"/>
      <c r="EO90" s="81"/>
      <c r="EP90" s="81"/>
      <c r="EQ90" s="81"/>
      <c r="ER90" s="81"/>
      <c r="ES90" s="81"/>
      <c r="ET90" s="81"/>
      <c r="EU90" s="81"/>
      <c r="EV90" s="81"/>
      <c r="EW90" s="81"/>
      <c r="EX90" s="81"/>
      <c r="EY90" s="81"/>
      <c r="EZ90" s="81"/>
      <c r="FA90" s="81"/>
      <c r="FB90" s="81"/>
      <c r="FC90" s="88">
        <v>11.372899978911239</v>
      </c>
      <c r="FD90" s="88">
        <v>14.712468223487704</v>
      </c>
      <c r="FE90" s="88">
        <v>15.976660136927698</v>
      </c>
      <c r="FF90" s="88">
        <v>17.962044876418794</v>
      </c>
      <c r="FG90" s="88">
        <v>16.831371929129418</v>
      </c>
      <c r="FH90" s="88">
        <v>3.5039840209174766</v>
      </c>
      <c r="FI90" s="88">
        <v>5.3798949619849692</v>
      </c>
      <c r="FJ90" s="88">
        <v>7.7064711754151727</v>
      </c>
      <c r="FK90" s="88">
        <v>10.096337266122426</v>
      </c>
      <c r="FL90" s="88">
        <v>19.947284401351514</v>
      </c>
      <c r="FM90" s="81"/>
      <c r="FN90" s="81"/>
      <c r="FO90" s="81"/>
      <c r="FP90" s="81"/>
      <c r="FQ90" s="81"/>
      <c r="FR90" s="81"/>
      <c r="FS90" s="81">
        <v>5.0592211098143496</v>
      </c>
      <c r="FT90" s="81">
        <v>0.24432237849789432</v>
      </c>
      <c r="FU90" s="81">
        <v>2.9273566574543514E-2</v>
      </c>
      <c r="FV90" s="81">
        <v>149.03506535369286</v>
      </c>
      <c r="FW90" s="81"/>
      <c r="FX90" s="86"/>
      <c r="FY90" s="81"/>
      <c r="FZ90" s="81"/>
      <c r="GA90" s="81"/>
      <c r="GB90" s="81"/>
      <c r="GC90" s="81"/>
      <c r="GD90" s="81"/>
      <c r="GE90" s="81"/>
      <c r="GF90" s="81"/>
      <c r="GG90" s="81"/>
      <c r="GH90" s="81"/>
    </row>
    <row r="91" spans="1:190" x14ac:dyDescent="0.2">
      <c r="A91" s="82" t="s">
        <v>410</v>
      </c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>
        <v>1.6778420345332983</v>
      </c>
      <c r="AA91" s="81"/>
      <c r="AB91" s="81"/>
      <c r="AC91" s="81"/>
      <c r="AD91" s="81"/>
      <c r="AE91" s="81"/>
      <c r="AF91" s="81"/>
      <c r="AG91" s="81"/>
      <c r="AH91" s="81"/>
      <c r="AI91" s="81"/>
      <c r="AJ91" s="81"/>
      <c r="AK91" s="81"/>
      <c r="AL91" s="81"/>
      <c r="AM91" s="81"/>
      <c r="AN91" s="81"/>
      <c r="AO91" s="81"/>
      <c r="AP91" s="81"/>
      <c r="AQ91" s="81"/>
      <c r="AR91" s="81"/>
      <c r="AS91" s="81"/>
      <c r="AT91" s="81"/>
      <c r="AU91" s="81"/>
      <c r="AV91" s="81"/>
      <c r="AW91" s="81"/>
      <c r="AX91" s="81"/>
      <c r="AY91" s="81"/>
      <c r="AZ91" s="81"/>
      <c r="BA91" s="81"/>
      <c r="BB91" s="81"/>
      <c r="BC91" s="81"/>
      <c r="BD91" s="81"/>
      <c r="BE91" s="81"/>
      <c r="BF91" s="81"/>
      <c r="BG91" s="81"/>
      <c r="BH91" s="81"/>
      <c r="BI91" s="81"/>
      <c r="BJ91" s="81"/>
      <c r="BK91" s="81"/>
      <c r="BL91" s="81"/>
      <c r="BM91" s="81"/>
      <c r="BN91" s="81"/>
      <c r="BO91" s="81"/>
      <c r="BP91" s="81"/>
      <c r="BQ91" s="81"/>
      <c r="BR91" s="81"/>
      <c r="BS91" s="81"/>
      <c r="BT91" s="81"/>
      <c r="BU91" s="81"/>
      <c r="BV91" s="81"/>
      <c r="BW91" s="81"/>
      <c r="BX91" s="81"/>
      <c r="BY91" s="81"/>
      <c r="BZ91" s="81"/>
      <c r="CA91" s="81"/>
      <c r="CB91" s="81"/>
      <c r="CC91" s="81"/>
      <c r="CD91" s="81"/>
      <c r="CE91" s="81"/>
      <c r="CF91" s="81"/>
      <c r="CG91" s="81"/>
      <c r="CH91" s="81"/>
      <c r="CI91" s="81"/>
      <c r="CJ91" s="81"/>
      <c r="CK91" s="81"/>
      <c r="CL91" s="81"/>
      <c r="CM91" s="81"/>
      <c r="CN91" s="81"/>
      <c r="CO91" s="81"/>
      <c r="CP91" s="81"/>
      <c r="CQ91" s="81"/>
      <c r="CR91" s="81"/>
      <c r="CS91" s="81"/>
      <c r="CT91" s="81"/>
      <c r="CU91" s="81"/>
      <c r="CV91" s="81"/>
      <c r="CW91" s="81"/>
      <c r="CX91" s="81"/>
      <c r="CY91" s="81"/>
      <c r="CZ91" s="81"/>
      <c r="DA91" s="81"/>
      <c r="DB91" s="81"/>
      <c r="DC91" s="81"/>
      <c r="DD91" s="81"/>
      <c r="DE91" s="81"/>
      <c r="DF91" s="81"/>
      <c r="DG91" s="81"/>
      <c r="DH91" s="81"/>
      <c r="DI91" s="81"/>
      <c r="DJ91" s="81"/>
      <c r="DK91" s="81"/>
      <c r="DL91" s="81"/>
      <c r="DM91" s="81"/>
      <c r="DN91" s="81"/>
      <c r="DO91" s="81"/>
      <c r="DP91" s="81"/>
      <c r="DQ91" s="81"/>
      <c r="DR91" s="81"/>
      <c r="DS91" s="81"/>
      <c r="DT91" s="81"/>
      <c r="DU91" s="81"/>
      <c r="DV91" s="81"/>
      <c r="DW91" s="81"/>
      <c r="DX91" s="81"/>
      <c r="DY91" s="81"/>
      <c r="DZ91" s="81"/>
      <c r="EA91" s="81"/>
      <c r="EB91" s="81"/>
      <c r="EC91" s="81"/>
      <c r="ED91" s="81"/>
      <c r="EE91" s="81"/>
      <c r="EF91" s="81"/>
      <c r="EG91" s="81"/>
      <c r="EH91" s="81"/>
      <c r="EI91" s="81"/>
      <c r="EJ91" s="81"/>
      <c r="EK91" s="81"/>
      <c r="EL91" s="81"/>
      <c r="EM91" s="81"/>
      <c r="EN91" s="81"/>
      <c r="EO91" s="81"/>
      <c r="EP91" s="81"/>
      <c r="EQ91" s="81"/>
      <c r="ER91" s="81"/>
      <c r="ES91" s="81"/>
      <c r="ET91" s="81"/>
      <c r="EU91" s="81"/>
      <c r="EV91" s="81"/>
      <c r="EW91" s="81"/>
      <c r="EX91" s="81"/>
      <c r="EY91" s="81"/>
      <c r="EZ91" s="81"/>
      <c r="FA91" s="81"/>
      <c r="FB91" s="81"/>
      <c r="FC91" s="88">
        <v>0.30047852995133784</v>
      </c>
      <c r="FD91" s="88">
        <v>0.37086886729524432</v>
      </c>
      <c r="FE91" s="88">
        <v>0.57427401082428364</v>
      </c>
      <c r="FF91" s="88">
        <v>0.61023718786045966</v>
      </c>
      <c r="FG91" s="88">
        <v>0.54739132626070364</v>
      </c>
      <c r="FH91" s="88">
        <v>9.2627979313853567E-2</v>
      </c>
      <c r="FI91" s="88">
        <v>0.24923904314541948</v>
      </c>
      <c r="FJ91" s="88">
        <v>0.32774395085356806</v>
      </c>
      <c r="FK91" s="88">
        <v>0.27129228895939417</v>
      </c>
      <c r="FL91" s="88">
        <v>0.92906998821681708</v>
      </c>
      <c r="FM91" s="81"/>
      <c r="FN91" s="81"/>
      <c r="FO91" s="81"/>
      <c r="FP91" s="81"/>
      <c r="FQ91" s="81"/>
      <c r="FR91" s="81"/>
      <c r="FS91" s="81"/>
      <c r="FT91" s="81"/>
      <c r="FU91" s="81">
        <v>2.7003383458158122E-3</v>
      </c>
      <c r="FV91" s="81">
        <v>5.9537655455601959</v>
      </c>
      <c r="FW91" s="81"/>
      <c r="FX91" s="86"/>
      <c r="FY91" s="81"/>
      <c r="FZ91" s="81"/>
      <c r="GA91" s="81"/>
      <c r="GB91" s="81"/>
      <c r="GC91" s="81"/>
      <c r="GD91" s="81"/>
      <c r="GE91" s="81"/>
      <c r="GF91" s="81"/>
      <c r="GG91" s="81"/>
      <c r="GH91" s="81"/>
    </row>
    <row r="92" spans="1:190" x14ac:dyDescent="0.2">
      <c r="A92" s="82" t="s">
        <v>411</v>
      </c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>
        <v>1.9628758508123996</v>
      </c>
      <c r="U92" s="81"/>
      <c r="V92" s="81"/>
      <c r="W92" s="81"/>
      <c r="X92" s="81"/>
      <c r="Y92" s="81"/>
      <c r="Z92" s="81">
        <v>0.56527916663075828</v>
      </c>
      <c r="AA92" s="81"/>
      <c r="AB92" s="81">
        <v>5.3564333379101186</v>
      </c>
      <c r="AC92" s="81"/>
      <c r="AD92" s="81">
        <v>3.6517076953601575</v>
      </c>
      <c r="AE92" s="81"/>
      <c r="AF92" s="81"/>
      <c r="AG92" s="81"/>
      <c r="AH92" s="81"/>
      <c r="AI92" s="81"/>
      <c r="AJ92" s="81"/>
      <c r="AK92" s="81">
        <v>6.6912631712287247</v>
      </c>
      <c r="AL92" s="81"/>
      <c r="AM92" s="81">
        <v>6.741242854480441E-3</v>
      </c>
      <c r="AN92" s="81"/>
      <c r="AO92" s="81"/>
      <c r="AP92" s="81"/>
      <c r="AQ92" s="81"/>
      <c r="AR92" s="81"/>
      <c r="AS92" s="81"/>
      <c r="AT92" s="81"/>
      <c r="AU92" s="81"/>
      <c r="AV92" s="81"/>
      <c r="AW92" s="81"/>
      <c r="AX92" s="81"/>
      <c r="AY92" s="81"/>
      <c r="AZ92" s="81"/>
      <c r="BA92" s="81"/>
      <c r="BB92" s="81"/>
      <c r="BC92" s="81"/>
      <c r="BD92" s="81"/>
      <c r="BE92" s="81"/>
      <c r="BF92" s="81"/>
      <c r="BG92" s="81"/>
      <c r="BH92" s="81"/>
      <c r="BI92" s="81">
        <v>3.3394455888424164E-2</v>
      </c>
      <c r="BJ92" s="81">
        <v>0.11687094788398503</v>
      </c>
      <c r="BK92" s="81"/>
      <c r="BL92" s="81"/>
      <c r="BM92" s="81"/>
      <c r="BN92" s="81"/>
      <c r="BO92" s="81"/>
      <c r="BP92" s="81"/>
      <c r="BQ92" s="81"/>
      <c r="BR92" s="81"/>
      <c r="BS92" s="81"/>
      <c r="BT92" s="81"/>
      <c r="BU92" s="81"/>
      <c r="BV92" s="81"/>
      <c r="BW92" s="81"/>
      <c r="BX92" s="81"/>
      <c r="BY92" s="81"/>
      <c r="BZ92" s="81"/>
      <c r="CA92" s="81"/>
      <c r="CB92" s="81"/>
      <c r="CC92" s="81"/>
      <c r="CD92" s="81"/>
      <c r="CE92" s="81"/>
      <c r="CF92" s="81"/>
      <c r="CG92" s="81"/>
      <c r="CH92" s="81"/>
      <c r="CI92" s="81"/>
      <c r="CJ92" s="81"/>
      <c r="CK92" s="81"/>
      <c r="CL92" s="81"/>
      <c r="CM92" s="81"/>
      <c r="CN92" s="81"/>
      <c r="CO92" s="81"/>
      <c r="CP92" s="81"/>
      <c r="CQ92" s="81"/>
      <c r="CR92" s="81"/>
      <c r="CS92" s="81"/>
      <c r="CT92" s="81"/>
      <c r="CU92" s="81"/>
      <c r="CV92" s="81"/>
      <c r="CW92" s="81"/>
      <c r="CX92" s="81"/>
      <c r="CY92" s="81"/>
      <c r="CZ92" s="81"/>
      <c r="DA92" s="81"/>
      <c r="DB92" s="81"/>
      <c r="DC92" s="81"/>
      <c r="DD92" s="81"/>
      <c r="DE92" s="81"/>
      <c r="DF92" s="81"/>
      <c r="DG92" s="81"/>
      <c r="DH92" s="81"/>
      <c r="DI92" s="81"/>
      <c r="DJ92" s="81"/>
      <c r="DK92" s="81"/>
      <c r="DL92" s="81"/>
      <c r="DM92" s="81"/>
      <c r="DN92" s="81"/>
      <c r="DO92" s="81"/>
      <c r="DP92" s="81"/>
      <c r="DQ92" s="81"/>
      <c r="DR92" s="81"/>
      <c r="DS92" s="81"/>
      <c r="DT92" s="81"/>
      <c r="DU92" s="81"/>
      <c r="DV92" s="81"/>
      <c r="DW92" s="81"/>
      <c r="DX92" s="81"/>
      <c r="DY92" s="81"/>
      <c r="DZ92" s="81"/>
      <c r="EA92" s="81"/>
      <c r="EB92" s="81"/>
      <c r="EC92" s="81"/>
      <c r="ED92" s="81"/>
      <c r="EE92" s="81"/>
      <c r="EF92" s="81"/>
      <c r="EG92" s="81"/>
      <c r="EH92" s="81"/>
      <c r="EI92" s="81"/>
      <c r="EJ92" s="81"/>
      <c r="EK92" s="81"/>
      <c r="EL92" s="81"/>
      <c r="EM92" s="81"/>
      <c r="EN92" s="81"/>
      <c r="EO92" s="81"/>
      <c r="EP92" s="81"/>
      <c r="EQ92" s="81"/>
      <c r="ER92" s="81"/>
      <c r="ES92" s="81"/>
      <c r="ET92" s="81"/>
      <c r="EU92" s="81"/>
      <c r="EV92" s="81"/>
      <c r="EW92" s="81"/>
      <c r="EX92" s="81"/>
      <c r="EY92" s="81"/>
      <c r="EZ92" s="81"/>
      <c r="FA92" s="81"/>
      <c r="FB92" s="81"/>
      <c r="FC92" s="88">
        <v>0.29356162518859219</v>
      </c>
      <c r="FD92" s="88">
        <v>0.36233155522725924</v>
      </c>
      <c r="FE92" s="88">
        <v>0.56105437455689655</v>
      </c>
      <c r="FF92" s="88">
        <v>0.59618952995160412</v>
      </c>
      <c r="FG92" s="88">
        <v>0.53479001739202991</v>
      </c>
      <c r="FH92" s="88">
        <v>9.0495681285600649E-2</v>
      </c>
      <c r="FI92" s="88">
        <v>0.24350157527985325</v>
      </c>
      <c r="FJ92" s="88">
        <v>0.32019930689294357</v>
      </c>
      <c r="FK92" s="88">
        <v>0.26504712659379898</v>
      </c>
      <c r="FL92" s="88">
        <v>0.9076820912115614</v>
      </c>
      <c r="FM92" s="81"/>
      <c r="FN92" s="81"/>
      <c r="FO92" s="81"/>
      <c r="FP92" s="81"/>
      <c r="FQ92" s="81"/>
      <c r="FR92" s="81"/>
      <c r="FS92" s="81">
        <v>1.8880118243892663</v>
      </c>
      <c r="FT92" s="81">
        <v>0.89476376278605385</v>
      </c>
      <c r="FU92" s="81">
        <v>0.52585377717107717</v>
      </c>
      <c r="FV92" s="81">
        <v>25.868048116495583</v>
      </c>
      <c r="FW92" s="81"/>
      <c r="FX92" s="86"/>
      <c r="FY92" s="81"/>
      <c r="FZ92" s="81"/>
      <c r="GA92" s="81"/>
      <c r="GB92" s="81"/>
      <c r="GC92" s="81"/>
      <c r="GD92" s="81"/>
      <c r="GE92" s="81"/>
      <c r="GF92" s="81"/>
      <c r="GG92" s="81"/>
      <c r="GH92" s="81"/>
    </row>
    <row r="93" spans="1:190" x14ac:dyDescent="0.2">
      <c r="A93" s="82" t="s">
        <v>412</v>
      </c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>
        <v>3.9768242950764048</v>
      </c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81"/>
      <c r="AK93" s="81"/>
      <c r="AL93" s="81"/>
      <c r="AM93" s="81"/>
      <c r="AN93" s="81"/>
      <c r="AO93" s="81"/>
      <c r="AP93" s="81"/>
      <c r="AQ93" s="81"/>
      <c r="AR93" s="81"/>
      <c r="AS93" s="81">
        <v>6.1178343754059616E-2</v>
      </c>
      <c r="AT93" s="81">
        <v>0.6772935475338201</v>
      </c>
      <c r="AU93" s="81">
        <v>1.6099220551646063</v>
      </c>
      <c r="AV93" s="81">
        <v>9.4237850046002408E-2</v>
      </c>
      <c r="AW93" s="81"/>
      <c r="AX93" s="81"/>
      <c r="AY93" s="81"/>
      <c r="AZ93" s="81"/>
      <c r="BA93" s="81"/>
      <c r="BB93" s="81"/>
      <c r="BC93" s="81"/>
      <c r="BD93" s="81"/>
      <c r="BE93" s="81"/>
      <c r="BF93" s="81"/>
      <c r="BG93" s="81"/>
      <c r="BH93" s="81"/>
      <c r="BI93" s="81"/>
      <c r="BJ93" s="81"/>
      <c r="BK93" s="81"/>
      <c r="BL93" s="81"/>
      <c r="BM93" s="81"/>
      <c r="BN93" s="81"/>
      <c r="BO93" s="81"/>
      <c r="BP93" s="81"/>
      <c r="BQ93" s="81"/>
      <c r="BR93" s="81"/>
      <c r="BS93" s="81"/>
      <c r="BT93" s="81"/>
      <c r="BU93" s="81"/>
      <c r="BV93" s="81"/>
      <c r="BW93" s="81"/>
      <c r="BX93" s="81"/>
      <c r="BY93" s="81"/>
      <c r="BZ93" s="81"/>
      <c r="CA93" s="81"/>
      <c r="CB93" s="81"/>
      <c r="CC93" s="81"/>
      <c r="CD93" s="81"/>
      <c r="CE93" s="81"/>
      <c r="CF93" s="81"/>
      <c r="CG93" s="81"/>
      <c r="CH93" s="81"/>
      <c r="CI93" s="81"/>
      <c r="CJ93" s="81"/>
      <c r="CK93" s="81"/>
      <c r="CL93" s="81"/>
      <c r="CM93" s="81"/>
      <c r="CN93" s="81"/>
      <c r="CO93" s="81"/>
      <c r="CP93" s="81"/>
      <c r="CQ93" s="81"/>
      <c r="CR93" s="81"/>
      <c r="CS93" s="81"/>
      <c r="CT93" s="81"/>
      <c r="CU93" s="81"/>
      <c r="CV93" s="81"/>
      <c r="CW93" s="81"/>
      <c r="CX93" s="81"/>
      <c r="CY93" s="81"/>
      <c r="CZ93" s="81"/>
      <c r="DA93" s="81"/>
      <c r="DB93" s="81"/>
      <c r="DC93" s="81"/>
      <c r="DD93" s="81"/>
      <c r="DE93" s="81"/>
      <c r="DF93" s="81"/>
      <c r="DG93" s="81"/>
      <c r="DH93" s="81"/>
      <c r="DI93" s="81"/>
      <c r="DJ93" s="81"/>
      <c r="DK93" s="81"/>
      <c r="DL93" s="81"/>
      <c r="DM93" s="81"/>
      <c r="DN93" s="81"/>
      <c r="DO93" s="81"/>
      <c r="DP93" s="81"/>
      <c r="DQ93" s="81"/>
      <c r="DR93" s="81"/>
      <c r="DS93" s="81"/>
      <c r="DT93" s="81"/>
      <c r="DU93" s="81"/>
      <c r="DV93" s="81"/>
      <c r="DW93" s="81"/>
      <c r="DX93" s="81"/>
      <c r="DY93" s="81"/>
      <c r="DZ93" s="81"/>
      <c r="EA93" s="81"/>
      <c r="EB93" s="81"/>
      <c r="EC93" s="81"/>
      <c r="ED93" s="81"/>
      <c r="EE93" s="81"/>
      <c r="EF93" s="81"/>
      <c r="EG93" s="81"/>
      <c r="EH93" s="81"/>
      <c r="EI93" s="81"/>
      <c r="EJ93" s="81"/>
      <c r="EK93" s="81"/>
      <c r="EL93" s="81"/>
      <c r="EM93" s="81"/>
      <c r="EN93" s="81"/>
      <c r="EO93" s="81"/>
      <c r="EP93" s="81"/>
      <c r="EQ93" s="81"/>
      <c r="ER93" s="81"/>
      <c r="ES93" s="81"/>
      <c r="ET93" s="81"/>
      <c r="EU93" s="81"/>
      <c r="EV93" s="81"/>
      <c r="EW93" s="81"/>
      <c r="EX93" s="81"/>
      <c r="EY93" s="81"/>
      <c r="EZ93" s="81"/>
      <c r="FA93" s="81"/>
      <c r="FB93" s="81"/>
      <c r="FC93" s="88">
        <v>0.11058652282034924</v>
      </c>
      <c r="FD93" s="88">
        <v>0.10033159743599564</v>
      </c>
      <c r="FE93" s="88">
        <v>6.8504441937909555E-2</v>
      </c>
      <c r="FF93" s="88">
        <v>9.10221884607985E-2</v>
      </c>
      <c r="FG93" s="88">
        <v>7.1232824106286979E-2</v>
      </c>
      <c r="FH93" s="88">
        <v>1.4897482899284312E-2</v>
      </c>
      <c r="FI93" s="88">
        <v>1.7677857045941461E-2</v>
      </c>
      <c r="FJ93" s="88">
        <v>1.1824728720828346E-2</v>
      </c>
      <c r="FK93" s="88">
        <v>3.7943904336731352E-2</v>
      </c>
      <c r="FL93" s="88">
        <v>1.4634917499626752E-2</v>
      </c>
      <c r="FM93" s="81"/>
      <c r="FN93" s="81"/>
      <c r="FO93" s="81"/>
      <c r="FP93" s="81"/>
      <c r="FQ93" s="81"/>
      <c r="FR93" s="81"/>
      <c r="FS93" s="81"/>
      <c r="FT93" s="81">
        <v>-0.15329606756636507</v>
      </c>
      <c r="FU93" s="81">
        <v>4.145551087310715E-3</v>
      </c>
      <c r="FV93" s="81">
        <v>6.8089620403595905</v>
      </c>
      <c r="FW93" s="81"/>
      <c r="FX93" s="86"/>
      <c r="FY93" s="81"/>
      <c r="FZ93" s="81"/>
      <c r="GA93" s="81"/>
      <c r="GB93" s="81"/>
      <c r="GC93" s="81"/>
      <c r="GD93" s="81"/>
      <c r="GE93" s="81"/>
      <c r="GF93" s="81"/>
      <c r="GG93" s="81"/>
      <c r="GH93" s="81"/>
    </row>
    <row r="94" spans="1:190" x14ac:dyDescent="0.2">
      <c r="A94" s="82" t="s">
        <v>413</v>
      </c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>
        <v>1.4962018995304933</v>
      </c>
      <c r="W94" s="81"/>
      <c r="X94" s="81"/>
      <c r="Y94" s="81"/>
      <c r="Z94" s="81"/>
      <c r="AA94" s="81">
        <v>1.6879251573487974</v>
      </c>
      <c r="AB94" s="81"/>
      <c r="AC94" s="81"/>
      <c r="AD94" s="81">
        <v>0.17660376276176351</v>
      </c>
      <c r="AE94" s="81"/>
      <c r="AF94" s="81"/>
      <c r="AG94" s="81"/>
      <c r="AH94" s="81"/>
      <c r="AI94" s="81"/>
      <c r="AJ94" s="81"/>
      <c r="AK94" s="81">
        <v>0.58493665685654361</v>
      </c>
      <c r="AL94" s="81"/>
      <c r="AM94" s="81"/>
      <c r="AN94" s="81"/>
      <c r="AO94" s="81"/>
      <c r="AP94" s="81"/>
      <c r="AQ94" s="81"/>
      <c r="AR94" s="81"/>
      <c r="AS94" s="81"/>
      <c r="AT94" s="81"/>
      <c r="AU94" s="81"/>
      <c r="AV94" s="81"/>
      <c r="AW94" s="81"/>
      <c r="AX94" s="81"/>
      <c r="AY94" s="81"/>
      <c r="AZ94" s="81"/>
      <c r="BA94" s="81"/>
      <c r="BB94" s="81"/>
      <c r="BC94" s="81"/>
      <c r="BD94" s="81"/>
      <c r="BE94" s="81"/>
      <c r="BF94" s="81"/>
      <c r="BG94" s="81"/>
      <c r="BH94" s="81"/>
      <c r="BI94" s="81"/>
      <c r="BJ94" s="81"/>
      <c r="BK94" s="81"/>
      <c r="BL94" s="81"/>
      <c r="BM94" s="81"/>
      <c r="BN94" s="81"/>
      <c r="BO94" s="81"/>
      <c r="BP94" s="81"/>
      <c r="BQ94" s="81"/>
      <c r="BR94" s="81"/>
      <c r="BS94" s="81"/>
      <c r="BT94" s="81"/>
      <c r="BU94" s="81"/>
      <c r="BV94" s="81"/>
      <c r="BW94" s="81"/>
      <c r="BX94" s="81"/>
      <c r="BY94" s="81"/>
      <c r="BZ94" s="81"/>
      <c r="CA94" s="81"/>
      <c r="CB94" s="81"/>
      <c r="CC94" s="81"/>
      <c r="CD94" s="81"/>
      <c r="CE94" s="81"/>
      <c r="CF94" s="81"/>
      <c r="CG94" s="81"/>
      <c r="CH94" s="81"/>
      <c r="CI94" s="81"/>
      <c r="CJ94" s="81"/>
      <c r="CK94" s="81"/>
      <c r="CL94" s="81"/>
      <c r="CM94" s="81"/>
      <c r="CN94" s="81"/>
      <c r="CO94" s="81"/>
      <c r="CP94" s="81"/>
      <c r="CQ94" s="81"/>
      <c r="CR94" s="81"/>
      <c r="CS94" s="81"/>
      <c r="CT94" s="81"/>
      <c r="CU94" s="81"/>
      <c r="CV94" s="81"/>
      <c r="CW94" s="81"/>
      <c r="CX94" s="81"/>
      <c r="CY94" s="81"/>
      <c r="CZ94" s="81"/>
      <c r="DA94" s="81"/>
      <c r="DB94" s="81"/>
      <c r="DC94" s="81"/>
      <c r="DD94" s="81"/>
      <c r="DE94" s="81"/>
      <c r="DF94" s="81"/>
      <c r="DG94" s="81"/>
      <c r="DH94" s="81"/>
      <c r="DI94" s="81"/>
      <c r="DJ94" s="81"/>
      <c r="DK94" s="81"/>
      <c r="DL94" s="81"/>
      <c r="DM94" s="81"/>
      <c r="DN94" s="81"/>
      <c r="DO94" s="81"/>
      <c r="DP94" s="81"/>
      <c r="DQ94" s="81"/>
      <c r="DR94" s="81"/>
      <c r="DS94" s="81"/>
      <c r="DT94" s="81"/>
      <c r="DU94" s="81"/>
      <c r="DV94" s="81"/>
      <c r="DW94" s="81"/>
      <c r="DX94" s="81"/>
      <c r="DY94" s="81"/>
      <c r="DZ94" s="81"/>
      <c r="EA94" s="81"/>
      <c r="EB94" s="81"/>
      <c r="EC94" s="81"/>
      <c r="ED94" s="81"/>
      <c r="EE94" s="81"/>
      <c r="EF94" s="81"/>
      <c r="EG94" s="81"/>
      <c r="EH94" s="81"/>
      <c r="EI94" s="81"/>
      <c r="EJ94" s="81"/>
      <c r="EK94" s="81"/>
      <c r="EL94" s="81"/>
      <c r="EM94" s="81"/>
      <c r="EN94" s="81"/>
      <c r="EO94" s="81"/>
      <c r="EP94" s="81"/>
      <c r="EQ94" s="81"/>
      <c r="ER94" s="81"/>
      <c r="ES94" s="81"/>
      <c r="ET94" s="81"/>
      <c r="EU94" s="81"/>
      <c r="EV94" s="81"/>
      <c r="EW94" s="81"/>
      <c r="EX94" s="81"/>
      <c r="EY94" s="81"/>
      <c r="EZ94" s="81"/>
      <c r="FA94" s="81"/>
      <c r="FB94" s="81"/>
      <c r="FC94" s="88">
        <v>4.2646281413490685</v>
      </c>
      <c r="FD94" s="88">
        <v>7.0075783083201726</v>
      </c>
      <c r="FE94" s="88">
        <v>8.2962730146699979</v>
      </c>
      <c r="FF94" s="88">
        <v>9.3273726845261873</v>
      </c>
      <c r="FG94" s="88">
        <v>8.5675150399480398</v>
      </c>
      <c r="FH94" s="88">
        <v>1.8917365267483655</v>
      </c>
      <c r="FI94" s="88">
        <v>3.1964809833007686</v>
      </c>
      <c r="FJ94" s="88">
        <v>4.7805465623372037</v>
      </c>
      <c r="FK94" s="88">
        <v>6.8875636388413666</v>
      </c>
      <c r="FL94" s="88">
        <v>15.355193109734023</v>
      </c>
      <c r="FM94" s="81"/>
      <c r="FN94" s="81"/>
      <c r="FO94" s="81"/>
      <c r="FP94" s="81"/>
      <c r="FQ94" s="81"/>
      <c r="FR94" s="81"/>
      <c r="FS94" s="81"/>
      <c r="FT94" s="81">
        <v>5.1532283341158066E-4</v>
      </c>
      <c r="FU94" s="81">
        <v>0.26928118699492959</v>
      </c>
      <c r="FV94" s="81">
        <v>73.790351996101137</v>
      </c>
      <c r="FW94" s="81"/>
      <c r="FX94" s="86"/>
      <c r="FY94" s="81"/>
      <c r="FZ94" s="81"/>
      <c r="GA94" s="81"/>
      <c r="GB94" s="81"/>
      <c r="GC94" s="81"/>
      <c r="GD94" s="81"/>
      <c r="GE94" s="81"/>
      <c r="GF94" s="81"/>
      <c r="GG94" s="81"/>
      <c r="GH94" s="81"/>
    </row>
    <row r="95" spans="1:190" x14ac:dyDescent="0.2">
      <c r="A95" s="82" t="s">
        <v>414</v>
      </c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81"/>
      <c r="AK95" s="81"/>
      <c r="AL95" s="81"/>
      <c r="AM95" s="81"/>
      <c r="AN95" s="81"/>
      <c r="AO95" s="81"/>
      <c r="AP95" s="81"/>
      <c r="AQ95" s="81"/>
      <c r="AR95" s="81"/>
      <c r="AS95" s="81">
        <v>1.2501948293371076E-2</v>
      </c>
      <c r="AT95" s="81">
        <v>0.11343743517424651</v>
      </c>
      <c r="AU95" s="81">
        <v>1.5155082146591701</v>
      </c>
      <c r="AV95" s="81">
        <v>0.12546367229801031</v>
      </c>
      <c r="AW95" s="81"/>
      <c r="AX95" s="81"/>
      <c r="AY95" s="81">
        <v>0.57562997414143457</v>
      </c>
      <c r="AZ95" s="81"/>
      <c r="BA95" s="81"/>
      <c r="BB95" s="81"/>
      <c r="BC95" s="81"/>
      <c r="BD95" s="81"/>
      <c r="BE95" s="81"/>
      <c r="BF95" s="81"/>
      <c r="BG95" s="81"/>
      <c r="BH95" s="81"/>
      <c r="BI95" s="81"/>
      <c r="BJ95" s="81"/>
      <c r="BK95" s="81"/>
      <c r="BL95" s="81"/>
      <c r="BM95" s="81"/>
      <c r="BN95" s="81"/>
      <c r="BO95" s="81"/>
      <c r="BP95" s="81"/>
      <c r="BQ95" s="81"/>
      <c r="BR95" s="81"/>
      <c r="BS95" s="81"/>
      <c r="BT95" s="81"/>
      <c r="BU95" s="81"/>
      <c r="BV95" s="81"/>
      <c r="BW95" s="81"/>
      <c r="BX95" s="81"/>
      <c r="BY95" s="81"/>
      <c r="BZ95" s="81"/>
      <c r="CA95" s="81"/>
      <c r="CB95" s="81"/>
      <c r="CC95" s="81"/>
      <c r="CD95" s="81"/>
      <c r="CE95" s="81"/>
      <c r="CF95" s="81"/>
      <c r="CG95" s="81"/>
      <c r="CH95" s="81"/>
      <c r="CI95" s="81"/>
      <c r="CJ95" s="81"/>
      <c r="CK95" s="81"/>
      <c r="CL95" s="81"/>
      <c r="CM95" s="81"/>
      <c r="CN95" s="81"/>
      <c r="CO95" s="81"/>
      <c r="CP95" s="81"/>
      <c r="CQ95" s="81"/>
      <c r="CR95" s="81"/>
      <c r="CS95" s="81"/>
      <c r="CT95" s="81"/>
      <c r="CU95" s="81"/>
      <c r="CV95" s="81"/>
      <c r="CW95" s="81"/>
      <c r="CX95" s="81"/>
      <c r="CY95" s="81"/>
      <c r="CZ95" s="81"/>
      <c r="DA95" s="81"/>
      <c r="DB95" s="81"/>
      <c r="DC95" s="81"/>
      <c r="DD95" s="81"/>
      <c r="DE95" s="81"/>
      <c r="DF95" s="81"/>
      <c r="DG95" s="81"/>
      <c r="DH95" s="81"/>
      <c r="DI95" s="81"/>
      <c r="DJ95" s="81"/>
      <c r="DK95" s="81"/>
      <c r="DL95" s="81"/>
      <c r="DM95" s="81"/>
      <c r="DN95" s="81"/>
      <c r="DO95" s="81"/>
      <c r="DP95" s="81"/>
      <c r="DQ95" s="81"/>
      <c r="DR95" s="81"/>
      <c r="DS95" s="81"/>
      <c r="DT95" s="81"/>
      <c r="DU95" s="81"/>
      <c r="DV95" s="81"/>
      <c r="DW95" s="81"/>
      <c r="DX95" s="81"/>
      <c r="DY95" s="81"/>
      <c r="DZ95" s="81"/>
      <c r="EA95" s="81"/>
      <c r="EB95" s="81"/>
      <c r="EC95" s="81"/>
      <c r="ED95" s="81"/>
      <c r="EE95" s="81"/>
      <c r="EF95" s="81"/>
      <c r="EG95" s="81"/>
      <c r="EH95" s="81"/>
      <c r="EI95" s="81"/>
      <c r="EJ95" s="81"/>
      <c r="EK95" s="81"/>
      <c r="EL95" s="81"/>
      <c r="EM95" s="81"/>
      <c r="EN95" s="81"/>
      <c r="EO95" s="81"/>
      <c r="EP95" s="81"/>
      <c r="EQ95" s="81"/>
      <c r="ER95" s="81"/>
      <c r="ES95" s="81"/>
      <c r="ET95" s="81"/>
      <c r="EU95" s="81"/>
      <c r="EV95" s="81"/>
      <c r="EW95" s="81"/>
      <c r="EX95" s="81"/>
      <c r="EY95" s="81"/>
      <c r="EZ95" s="81"/>
      <c r="FA95" s="81"/>
      <c r="FB95" s="81"/>
      <c r="FC95" s="88"/>
      <c r="FD95" s="88"/>
      <c r="FE95" s="88"/>
      <c r="FF95" s="88"/>
      <c r="FG95" s="88"/>
      <c r="FH95" s="88"/>
      <c r="FI95" s="88"/>
      <c r="FJ95" s="88"/>
      <c r="FK95" s="88"/>
      <c r="FL95" s="88"/>
      <c r="FM95" s="81"/>
      <c r="FN95" s="81"/>
      <c r="FO95" s="81"/>
      <c r="FP95" s="81"/>
      <c r="FQ95" s="81"/>
      <c r="FR95" s="81"/>
      <c r="FS95" s="81"/>
      <c r="FT95" s="81"/>
      <c r="FU95" s="81">
        <v>0.40698095430877479</v>
      </c>
      <c r="FV95" s="81">
        <v>2.7495221988750069</v>
      </c>
      <c r="FW95" s="81"/>
      <c r="FX95" s="86"/>
      <c r="FY95" s="81"/>
      <c r="FZ95" s="81"/>
      <c r="GA95" s="81"/>
      <c r="GB95" s="81"/>
      <c r="GC95" s="81"/>
      <c r="GD95" s="81"/>
      <c r="GE95" s="81"/>
      <c r="GF95" s="81"/>
      <c r="GG95" s="81"/>
      <c r="GH95" s="81"/>
    </row>
    <row r="96" spans="1:190" x14ac:dyDescent="0.2">
      <c r="A96" s="82" t="s">
        <v>415</v>
      </c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  <c r="AD96" s="81"/>
      <c r="AE96" s="81"/>
      <c r="AF96" s="81"/>
      <c r="AG96" s="81"/>
      <c r="AH96" s="81"/>
      <c r="AI96" s="81"/>
      <c r="AJ96" s="81"/>
      <c r="AK96" s="81"/>
      <c r="AL96" s="81"/>
      <c r="AM96" s="81"/>
      <c r="AN96" s="81"/>
      <c r="AO96" s="81"/>
      <c r="AP96" s="81"/>
      <c r="AQ96" s="81"/>
      <c r="AR96" s="81"/>
      <c r="AS96" s="81"/>
      <c r="AT96" s="81"/>
      <c r="AU96" s="81">
        <v>341.81316284338618</v>
      </c>
      <c r="AV96" s="81"/>
      <c r="AW96" s="81"/>
      <c r="AX96" s="81"/>
      <c r="AY96" s="81"/>
      <c r="AZ96" s="81"/>
      <c r="BA96" s="81"/>
      <c r="BB96" s="81"/>
      <c r="BC96" s="81"/>
      <c r="BD96" s="81"/>
      <c r="BE96" s="81"/>
      <c r="BF96" s="81"/>
      <c r="BG96" s="81"/>
      <c r="BH96" s="81"/>
      <c r="BI96" s="81"/>
      <c r="BJ96" s="81"/>
      <c r="BK96" s="81"/>
      <c r="BL96" s="81"/>
      <c r="BM96" s="81"/>
      <c r="BN96" s="81"/>
      <c r="BO96" s="81"/>
      <c r="BP96" s="81"/>
      <c r="BQ96" s="81"/>
      <c r="BR96" s="81"/>
      <c r="BS96" s="81"/>
      <c r="BT96" s="81"/>
      <c r="BU96" s="81"/>
      <c r="BV96" s="81"/>
      <c r="BW96" s="81"/>
      <c r="BX96" s="81"/>
      <c r="BY96" s="81"/>
      <c r="BZ96" s="81"/>
      <c r="CA96" s="81"/>
      <c r="CB96" s="81"/>
      <c r="CC96" s="81"/>
      <c r="CD96" s="81"/>
      <c r="CE96" s="81"/>
      <c r="CF96" s="81"/>
      <c r="CG96" s="81"/>
      <c r="CH96" s="81"/>
      <c r="CI96" s="81"/>
      <c r="CJ96" s="81"/>
      <c r="CK96" s="81"/>
      <c r="CL96" s="81"/>
      <c r="CM96" s="81"/>
      <c r="CN96" s="81"/>
      <c r="CO96" s="81"/>
      <c r="CP96" s="81"/>
      <c r="CQ96" s="81"/>
      <c r="CR96" s="81"/>
      <c r="CS96" s="81"/>
      <c r="CT96" s="81"/>
      <c r="CU96" s="81"/>
      <c r="CV96" s="81"/>
      <c r="CW96" s="81"/>
      <c r="CX96" s="81"/>
      <c r="CY96" s="81"/>
      <c r="CZ96" s="81"/>
      <c r="DA96" s="81"/>
      <c r="DB96" s="81"/>
      <c r="DC96" s="81"/>
      <c r="DD96" s="81"/>
      <c r="DE96" s="81"/>
      <c r="DF96" s="81"/>
      <c r="DG96" s="81"/>
      <c r="DH96" s="81"/>
      <c r="DI96" s="81"/>
      <c r="DJ96" s="81"/>
      <c r="DK96" s="81"/>
      <c r="DL96" s="81"/>
      <c r="DM96" s="81"/>
      <c r="DN96" s="81"/>
      <c r="DO96" s="81"/>
      <c r="DP96" s="81"/>
      <c r="DQ96" s="81"/>
      <c r="DR96" s="81"/>
      <c r="DS96" s="81"/>
      <c r="DT96" s="81"/>
      <c r="DU96" s="81"/>
      <c r="DV96" s="81"/>
      <c r="DW96" s="81"/>
      <c r="DX96" s="81"/>
      <c r="DY96" s="81"/>
      <c r="DZ96" s="81"/>
      <c r="EA96" s="81"/>
      <c r="EB96" s="81"/>
      <c r="EC96" s="81"/>
      <c r="ED96" s="81"/>
      <c r="EE96" s="81"/>
      <c r="EF96" s="81"/>
      <c r="EG96" s="81"/>
      <c r="EH96" s="81"/>
      <c r="EI96" s="81"/>
      <c r="EJ96" s="81"/>
      <c r="EK96" s="81"/>
      <c r="EL96" s="81"/>
      <c r="EM96" s="81"/>
      <c r="EN96" s="81"/>
      <c r="EO96" s="81"/>
      <c r="EP96" s="81"/>
      <c r="EQ96" s="81"/>
      <c r="ER96" s="81"/>
      <c r="ES96" s="81"/>
      <c r="ET96" s="81"/>
      <c r="EU96" s="81"/>
      <c r="EV96" s="81"/>
      <c r="EW96" s="81"/>
      <c r="EX96" s="81"/>
      <c r="EY96" s="81"/>
      <c r="EZ96" s="81"/>
      <c r="FA96" s="81"/>
      <c r="FB96" s="81"/>
      <c r="FC96" s="88"/>
      <c r="FD96" s="88"/>
      <c r="FE96" s="88"/>
      <c r="FF96" s="88"/>
      <c r="FG96" s="88"/>
      <c r="FH96" s="88"/>
      <c r="FI96" s="88"/>
      <c r="FJ96" s="88"/>
      <c r="FK96" s="88"/>
      <c r="FL96" s="88"/>
      <c r="FM96" s="81"/>
      <c r="FN96" s="81"/>
      <c r="FO96" s="81"/>
      <c r="FP96" s="81"/>
      <c r="FQ96" s="81"/>
      <c r="FR96" s="81"/>
      <c r="FS96" s="81"/>
      <c r="FT96" s="81"/>
      <c r="FU96" s="81">
        <v>30.834001457480394</v>
      </c>
      <c r="FV96" s="81">
        <v>372.64716430086656</v>
      </c>
      <c r="FW96" s="81"/>
      <c r="FX96" s="86"/>
      <c r="FY96" s="81"/>
      <c r="FZ96" s="81"/>
      <c r="GA96" s="81"/>
      <c r="GB96" s="81"/>
      <c r="GC96" s="81"/>
      <c r="GD96" s="81"/>
      <c r="GE96" s="81"/>
      <c r="GF96" s="81"/>
      <c r="GG96" s="81"/>
      <c r="GH96" s="81"/>
    </row>
    <row r="97" spans="1:190" x14ac:dyDescent="0.2">
      <c r="A97" s="82" t="s">
        <v>416</v>
      </c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>
        <v>11.405720303412515</v>
      </c>
      <c r="X97" s="81"/>
      <c r="Y97" s="81"/>
      <c r="Z97" s="81"/>
      <c r="AA97" s="81"/>
      <c r="AB97" s="81"/>
      <c r="AC97" s="81"/>
      <c r="AD97" s="81"/>
      <c r="AE97" s="81"/>
      <c r="AF97" s="81"/>
      <c r="AG97" s="81"/>
      <c r="AH97" s="81"/>
      <c r="AI97" s="81"/>
      <c r="AJ97" s="81"/>
      <c r="AK97" s="81"/>
      <c r="AL97" s="81"/>
      <c r="AM97" s="81">
        <v>2.9492718728243578E-3</v>
      </c>
      <c r="AN97" s="81"/>
      <c r="AO97" s="81">
        <v>3.3169388021124964E-2</v>
      </c>
      <c r="AP97" s="81">
        <v>0.18184830242180025</v>
      </c>
      <c r="AQ97" s="81"/>
      <c r="AR97" s="81"/>
      <c r="AS97" s="81">
        <v>8.88007988247176E-2</v>
      </c>
      <c r="AT97" s="81">
        <v>0.80473197263468099</v>
      </c>
      <c r="AU97" s="81"/>
      <c r="AV97" s="81">
        <v>34.580707275216533</v>
      </c>
      <c r="AW97" s="81">
        <v>0.5099002332657564</v>
      </c>
      <c r="AX97" s="81"/>
      <c r="AY97" s="81">
        <v>0.50982858813864051</v>
      </c>
      <c r="AZ97" s="81"/>
      <c r="BA97" s="81"/>
      <c r="BB97" s="81">
        <v>9.068541710764863E-3</v>
      </c>
      <c r="BC97" s="81">
        <v>6.6418332809698902E-2</v>
      </c>
      <c r="BD97" s="81">
        <v>37.239979246931284</v>
      </c>
      <c r="BE97" s="81"/>
      <c r="BF97" s="81"/>
      <c r="BG97" s="81">
        <v>0.30460444346305671</v>
      </c>
      <c r="BH97" s="81"/>
      <c r="BI97" s="81"/>
      <c r="BJ97" s="81"/>
      <c r="BK97" s="81"/>
      <c r="BL97" s="81"/>
      <c r="BM97" s="81"/>
      <c r="BN97" s="81">
        <v>0.12793687907265236</v>
      </c>
      <c r="BO97" s="81"/>
      <c r="BP97" s="81"/>
      <c r="BQ97" s="81">
        <v>0.10163060814163762</v>
      </c>
      <c r="BR97" s="81">
        <v>0.15277067735654656</v>
      </c>
      <c r="BS97" s="81"/>
      <c r="BT97" s="81"/>
      <c r="BU97" s="81"/>
      <c r="BV97" s="81"/>
      <c r="BW97" s="81"/>
      <c r="BX97" s="81"/>
      <c r="BY97" s="81"/>
      <c r="BZ97" s="81"/>
      <c r="CA97" s="81"/>
      <c r="CB97" s="81"/>
      <c r="CC97" s="81"/>
      <c r="CD97" s="81"/>
      <c r="CE97" s="81"/>
      <c r="CF97" s="81"/>
      <c r="CG97" s="81"/>
      <c r="CH97" s="81"/>
      <c r="CI97" s="81"/>
      <c r="CJ97" s="81"/>
      <c r="CK97" s="81"/>
      <c r="CL97" s="81"/>
      <c r="CM97" s="81"/>
      <c r="CN97" s="81"/>
      <c r="CO97" s="81"/>
      <c r="CP97" s="81"/>
      <c r="CQ97" s="81"/>
      <c r="CR97" s="81"/>
      <c r="CS97" s="81"/>
      <c r="CT97" s="81"/>
      <c r="CU97" s="81"/>
      <c r="CV97" s="81"/>
      <c r="CW97" s="81"/>
      <c r="CX97" s="81"/>
      <c r="CY97" s="81"/>
      <c r="CZ97" s="81"/>
      <c r="DA97" s="81"/>
      <c r="DB97" s="81"/>
      <c r="DC97" s="81"/>
      <c r="DD97" s="81"/>
      <c r="DE97" s="81"/>
      <c r="DF97" s="81"/>
      <c r="DG97" s="81"/>
      <c r="DH97" s="81"/>
      <c r="DI97" s="81"/>
      <c r="DJ97" s="81"/>
      <c r="DK97" s="81"/>
      <c r="DL97" s="81"/>
      <c r="DM97" s="81"/>
      <c r="DN97" s="81"/>
      <c r="DO97" s="81"/>
      <c r="DP97" s="81"/>
      <c r="DQ97" s="81"/>
      <c r="DR97" s="81"/>
      <c r="DS97" s="81"/>
      <c r="DT97" s="81"/>
      <c r="DU97" s="81"/>
      <c r="DV97" s="81"/>
      <c r="DW97" s="81"/>
      <c r="DX97" s="81"/>
      <c r="DY97" s="81"/>
      <c r="DZ97" s="81"/>
      <c r="EA97" s="81"/>
      <c r="EB97" s="81"/>
      <c r="EC97" s="81"/>
      <c r="ED97" s="81"/>
      <c r="EE97" s="81"/>
      <c r="EF97" s="81"/>
      <c r="EG97" s="81"/>
      <c r="EH97" s="81"/>
      <c r="EI97" s="81"/>
      <c r="EJ97" s="81"/>
      <c r="EK97" s="81"/>
      <c r="EL97" s="81"/>
      <c r="EM97" s="81"/>
      <c r="EN97" s="81"/>
      <c r="EO97" s="81"/>
      <c r="EP97" s="81"/>
      <c r="EQ97" s="81"/>
      <c r="ER97" s="81"/>
      <c r="ES97" s="81"/>
      <c r="ET97" s="81"/>
      <c r="EU97" s="81"/>
      <c r="EV97" s="81"/>
      <c r="EW97" s="81"/>
      <c r="EX97" s="81"/>
      <c r="EY97" s="81"/>
      <c r="EZ97" s="81"/>
      <c r="FA97" s="81"/>
      <c r="FB97" s="81"/>
      <c r="FC97" s="88">
        <v>4.4472717077721278</v>
      </c>
      <c r="FD97" s="88">
        <v>5.7605604017613308</v>
      </c>
      <c r="FE97" s="88">
        <v>6.3451208276654887</v>
      </c>
      <c r="FF97" s="88">
        <v>7.5708775826559505</v>
      </c>
      <c r="FG97" s="88">
        <v>7.7712342208782221</v>
      </c>
      <c r="FH97" s="88">
        <v>2.4212484529398939</v>
      </c>
      <c r="FI97" s="88">
        <v>3.5114062926922567</v>
      </c>
      <c r="FJ97" s="88">
        <v>5.1102738125605454</v>
      </c>
      <c r="FK97" s="88">
        <v>7.3791413901417764</v>
      </c>
      <c r="FL97" s="88">
        <v>19.358970932605253</v>
      </c>
      <c r="FM97" s="81"/>
      <c r="FN97" s="81"/>
      <c r="FO97" s="81"/>
      <c r="FP97" s="81"/>
      <c r="FQ97" s="81"/>
      <c r="FR97" s="81"/>
      <c r="FS97" s="81"/>
      <c r="FT97" s="81"/>
      <c r="FU97" s="81">
        <v>22.133654098969942</v>
      </c>
      <c r="FV97" s="81">
        <v>177.92982458393701</v>
      </c>
      <c r="FW97" s="81"/>
      <c r="FX97" s="86"/>
      <c r="FY97" s="81"/>
      <c r="FZ97" s="81"/>
      <c r="GA97" s="81"/>
      <c r="GB97" s="81"/>
      <c r="GC97" s="81"/>
      <c r="GD97" s="81"/>
      <c r="GE97" s="81"/>
      <c r="GF97" s="81"/>
      <c r="GG97" s="81"/>
      <c r="GH97" s="81"/>
    </row>
    <row r="98" spans="1:190" x14ac:dyDescent="0.2">
      <c r="A98" s="82" t="s">
        <v>417</v>
      </c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>
        <v>7.6980646010119429</v>
      </c>
      <c r="Z98" s="81"/>
      <c r="AA98" s="81"/>
      <c r="AB98" s="81"/>
      <c r="AC98" s="81"/>
      <c r="AD98" s="81"/>
      <c r="AE98" s="81"/>
      <c r="AF98" s="81"/>
      <c r="AG98" s="81"/>
      <c r="AH98" s="81"/>
      <c r="AI98" s="81"/>
      <c r="AJ98" s="81"/>
      <c r="AK98" s="81"/>
      <c r="AL98" s="81"/>
      <c r="AM98" s="81">
        <v>2.736537064199449E-3</v>
      </c>
      <c r="AN98" s="81"/>
      <c r="AO98" s="81">
        <v>1.7501376720779602E-2</v>
      </c>
      <c r="AP98" s="81">
        <v>9.5895725553857086E-2</v>
      </c>
      <c r="AQ98" s="81"/>
      <c r="AR98" s="81">
        <v>7.4388382761428409E-3</v>
      </c>
      <c r="AS98" s="81">
        <v>7.1037936582327328E-3</v>
      </c>
      <c r="AT98" s="81">
        <v>6.4219463815371705E-2</v>
      </c>
      <c r="AU98" s="81"/>
      <c r="AV98" s="81"/>
      <c r="AW98" s="81">
        <v>55.568187045432225</v>
      </c>
      <c r="AX98" s="81">
        <v>0.32631424706054907</v>
      </c>
      <c r="AY98" s="81">
        <v>23.454344310006583</v>
      </c>
      <c r="AZ98" s="81"/>
      <c r="BA98" s="81">
        <v>0.1111076106807283</v>
      </c>
      <c r="BB98" s="81"/>
      <c r="BC98" s="81"/>
      <c r="BD98" s="81"/>
      <c r="BE98" s="81"/>
      <c r="BF98" s="81">
        <v>13.872655778107202</v>
      </c>
      <c r="BG98" s="81"/>
      <c r="BH98" s="81"/>
      <c r="BI98" s="81"/>
      <c r="BJ98" s="81"/>
      <c r="BK98" s="81"/>
      <c r="BL98" s="81"/>
      <c r="BM98" s="81"/>
      <c r="BN98" s="81"/>
      <c r="BO98" s="81">
        <v>2.7112728231171047E-2</v>
      </c>
      <c r="BP98" s="81"/>
      <c r="BQ98" s="81"/>
      <c r="BR98" s="81"/>
      <c r="BS98" s="81"/>
      <c r="BT98" s="81"/>
      <c r="BU98" s="81"/>
      <c r="BV98" s="81"/>
      <c r="BW98" s="81"/>
      <c r="BX98" s="81"/>
      <c r="BY98" s="81"/>
      <c r="BZ98" s="81"/>
      <c r="CA98" s="81"/>
      <c r="CB98" s="81"/>
      <c r="CC98" s="81"/>
      <c r="CD98" s="81"/>
      <c r="CE98" s="81"/>
      <c r="CF98" s="81"/>
      <c r="CG98" s="81"/>
      <c r="CH98" s="81"/>
      <c r="CI98" s="81"/>
      <c r="CJ98" s="81"/>
      <c r="CK98" s="81"/>
      <c r="CL98" s="81"/>
      <c r="CM98" s="81"/>
      <c r="CN98" s="81"/>
      <c r="CO98" s="81"/>
      <c r="CP98" s="81"/>
      <c r="CQ98" s="81"/>
      <c r="CR98" s="81"/>
      <c r="CS98" s="81"/>
      <c r="CT98" s="81"/>
      <c r="CU98" s="81"/>
      <c r="CV98" s="81"/>
      <c r="CW98" s="81"/>
      <c r="CX98" s="81"/>
      <c r="CY98" s="81"/>
      <c r="CZ98" s="81"/>
      <c r="DA98" s="81"/>
      <c r="DB98" s="81"/>
      <c r="DC98" s="81"/>
      <c r="DD98" s="81"/>
      <c r="DE98" s="81"/>
      <c r="DF98" s="81"/>
      <c r="DG98" s="81"/>
      <c r="DH98" s="81"/>
      <c r="DI98" s="81"/>
      <c r="DJ98" s="81"/>
      <c r="DK98" s="81"/>
      <c r="DL98" s="81"/>
      <c r="DM98" s="81"/>
      <c r="DN98" s="81"/>
      <c r="DO98" s="81"/>
      <c r="DP98" s="81"/>
      <c r="DQ98" s="81"/>
      <c r="DR98" s="81"/>
      <c r="DS98" s="81"/>
      <c r="DT98" s="81"/>
      <c r="DU98" s="81"/>
      <c r="DV98" s="81"/>
      <c r="DW98" s="81"/>
      <c r="DX98" s="81"/>
      <c r="DY98" s="81"/>
      <c r="DZ98" s="81"/>
      <c r="EA98" s="81"/>
      <c r="EB98" s="81"/>
      <c r="EC98" s="81"/>
      <c r="ED98" s="81"/>
      <c r="EE98" s="81"/>
      <c r="EF98" s="81"/>
      <c r="EG98" s="81"/>
      <c r="EH98" s="81"/>
      <c r="EI98" s="81"/>
      <c r="EJ98" s="81"/>
      <c r="EK98" s="81"/>
      <c r="EL98" s="81"/>
      <c r="EM98" s="81"/>
      <c r="EN98" s="81"/>
      <c r="EO98" s="81"/>
      <c r="EP98" s="81"/>
      <c r="EQ98" s="81"/>
      <c r="ER98" s="81"/>
      <c r="ES98" s="81"/>
      <c r="ET98" s="81"/>
      <c r="EU98" s="81"/>
      <c r="EV98" s="81"/>
      <c r="EW98" s="81"/>
      <c r="EX98" s="81"/>
      <c r="EY98" s="81"/>
      <c r="EZ98" s="81"/>
      <c r="FA98" s="81"/>
      <c r="FB98" s="81"/>
      <c r="FC98" s="88"/>
      <c r="FD98" s="88"/>
      <c r="FE98" s="88"/>
      <c r="FF98" s="88"/>
      <c r="FG98" s="88"/>
      <c r="FH98" s="88"/>
      <c r="FI98" s="88"/>
      <c r="FJ98" s="88"/>
      <c r="FK98" s="88"/>
      <c r="FL98" s="88"/>
      <c r="FM98" s="81"/>
      <c r="FN98" s="81"/>
      <c r="FO98" s="81"/>
      <c r="FP98" s="81"/>
      <c r="FQ98" s="81"/>
      <c r="FR98" s="81"/>
      <c r="FS98" s="81"/>
      <c r="FT98" s="81"/>
      <c r="FU98" s="81">
        <v>35.89036899455526</v>
      </c>
      <c r="FV98" s="81">
        <v>137.14305105017428</v>
      </c>
      <c r="FW98" s="81"/>
      <c r="FX98" s="86"/>
      <c r="FY98" s="81"/>
      <c r="FZ98" s="81"/>
      <c r="GA98" s="81"/>
      <c r="GB98" s="81"/>
      <c r="GC98" s="81"/>
      <c r="GD98" s="81"/>
      <c r="GE98" s="81"/>
      <c r="GF98" s="81"/>
      <c r="GG98" s="81"/>
      <c r="GH98" s="81"/>
    </row>
    <row r="99" spans="1:190" x14ac:dyDescent="0.2">
      <c r="A99" s="82" t="s">
        <v>418</v>
      </c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81"/>
      <c r="AK99" s="81"/>
      <c r="AL99" s="81"/>
      <c r="AM99" s="81">
        <v>0.1419101671905732</v>
      </c>
      <c r="AN99" s="81"/>
      <c r="AO99" s="81">
        <v>4.2321319607862805E-3</v>
      </c>
      <c r="AP99" s="81">
        <v>1.281415834444229E-2</v>
      </c>
      <c r="AQ99" s="81"/>
      <c r="AR99" s="81">
        <v>0.12752935322224698</v>
      </c>
      <c r="AS99" s="81"/>
      <c r="AT99" s="81"/>
      <c r="AU99" s="81"/>
      <c r="AV99" s="81"/>
      <c r="AW99" s="81"/>
      <c r="AX99" s="81"/>
      <c r="AY99" s="81"/>
      <c r="AZ99" s="81"/>
      <c r="BA99" s="81"/>
      <c r="BB99" s="81"/>
      <c r="BC99" s="81"/>
      <c r="BD99" s="81"/>
      <c r="BE99" s="81"/>
      <c r="BF99" s="81"/>
      <c r="BG99" s="81"/>
      <c r="BH99" s="81"/>
      <c r="BI99" s="81">
        <v>6.1620944332457173</v>
      </c>
      <c r="BJ99" s="81">
        <v>20.447697070240647</v>
      </c>
      <c r="BK99" s="81"/>
      <c r="BL99" s="81"/>
      <c r="BM99" s="81"/>
      <c r="BN99" s="81"/>
      <c r="BO99" s="81">
        <v>0.21446547393575299</v>
      </c>
      <c r="BP99" s="81">
        <v>0.19182439363421708</v>
      </c>
      <c r="BQ99" s="81">
        <v>2.3900985714207987</v>
      </c>
      <c r="BR99" s="81"/>
      <c r="BS99" s="81"/>
      <c r="BT99" s="81"/>
      <c r="BU99" s="81"/>
      <c r="BV99" s="81"/>
      <c r="BW99" s="81"/>
      <c r="BX99" s="81"/>
      <c r="BY99" s="81"/>
      <c r="BZ99" s="81"/>
      <c r="CA99" s="81"/>
      <c r="CB99" s="81"/>
      <c r="CC99" s="81"/>
      <c r="CD99" s="81"/>
      <c r="CE99" s="81"/>
      <c r="CF99" s="81"/>
      <c r="CG99" s="81"/>
      <c r="CH99" s="81"/>
      <c r="CI99" s="81"/>
      <c r="CJ99" s="81"/>
      <c r="CK99" s="81"/>
      <c r="CL99" s="81"/>
      <c r="CM99" s="81"/>
      <c r="CN99" s="81"/>
      <c r="CO99" s="81"/>
      <c r="CP99" s="81"/>
      <c r="CQ99" s="81"/>
      <c r="CR99" s="81"/>
      <c r="CS99" s="81"/>
      <c r="CT99" s="81"/>
      <c r="CU99" s="81"/>
      <c r="CV99" s="81"/>
      <c r="CW99" s="81"/>
      <c r="CX99" s="81"/>
      <c r="CY99" s="81"/>
      <c r="CZ99" s="81"/>
      <c r="DA99" s="81"/>
      <c r="DB99" s="81"/>
      <c r="DC99" s="81"/>
      <c r="DD99" s="81"/>
      <c r="DE99" s="81"/>
      <c r="DF99" s="81"/>
      <c r="DG99" s="81"/>
      <c r="DH99" s="81"/>
      <c r="DI99" s="81"/>
      <c r="DJ99" s="81"/>
      <c r="DK99" s="81"/>
      <c r="DL99" s="81"/>
      <c r="DM99" s="81"/>
      <c r="DN99" s="81"/>
      <c r="DO99" s="81"/>
      <c r="DP99" s="81"/>
      <c r="DQ99" s="81"/>
      <c r="DR99" s="81"/>
      <c r="DS99" s="81"/>
      <c r="DT99" s="81"/>
      <c r="DU99" s="81"/>
      <c r="DV99" s="81"/>
      <c r="DW99" s="81"/>
      <c r="DX99" s="81"/>
      <c r="DY99" s="81"/>
      <c r="DZ99" s="81"/>
      <c r="EA99" s="81"/>
      <c r="EB99" s="81"/>
      <c r="EC99" s="81"/>
      <c r="ED99" s="81"/>
      <c r="EE99" s="81"/>
      <c r="EF99" s="81"/>
      <c r="EG99" s="81"/>
      <c r="EH99" s="81"/>
      <c r="EI99" s="81"/>
      <c r="EJ99" s="81"/>
      <c r="EK99" s="81"/>
      <c r="EL99" s="81"/>
      <c r="EM99" s="81"/>
      <c r="EN99" s="81"/>
      <c r="EO99" s="81"/>
      <c r="EP99" s="81"/>
      <c r="EQ99" s="81"/>
      <c r="ER99" s="81"/>
      <c r="ES99" s="81"/>
      <c r="ET99" s="81"/>
      <c r="EU99" s="81"/>
      <c r="EV99" s="81"/>
      <c r="EW99" s="81"/>
      <c r="EX99" s="81"/>
      <c r="EY99" s="81"/>
      <c r="EZ99" s="81"/>
      <c r="FA99" s="81"/>
      <c r="FB99" s="81"/>
      <c r="FC99" s="88">
        <v>1.2565801553837412</v>
      </c>
      <c r="FD99" s="88">
        <v>1.635917602629942</v>
      </c>
      <c r="FE99" s="88">
        <v>2.0776866496046908</v>
      </c>
      <c r="FF99" s="88">
        <v>2.5934389684070589</v>
      </c>
      <c r="FG99" s="88">
        <v>2.8699539964081446</v>
      </c>
      <c r="FH99" s="88">
        <v>1.7088933640829655</v>
      </c>
      <c r="FI99" s="88">
        <v>2.7386296443703659</v>
      </c>
      <c r="FJ99" s="88">
        <v>4.4109257190776781</v>
      </c>
      <c r="FK99" s="88">
        <v>6.8490782126259555</v>
      </c>
      <c r="FL99" s="88">
        <v>16.955919935950494</v>
      </c>
      <c r="FM99" s="81"/>
      <c r="FN99" s="81"/>
      <c r="FO99" s="81"/>
      <c r="FP99" s="81"/>
      <c r="FQ99" s="81"/>
      <c r="FR99" s="81"/>
      <c r="FS99" s="81"/>
      <c r="FT99" s="81">
        <v>6.266060232529122E-2</v>
      </c>
      <c r="FU99" s="81">
        <v>0.41465574102481711</v>
      </c>
      <c r="FV99" s="81">
        <v>73.267006345086315</v>
      </c>
      <c r="FW99" s="81"/>
      <c r="FX99" s="86"/>
      <c r="FY99" s="81"/>
      <c r="FZ99" s="81"/>
      <c r="GA99" s="81"/>
      <c r="GB99" s="81"/>
      <c r="GC99" s="81"/>
      <c r="GD99" s="81"/>
      <c r="GE99" s="81"/>
      <c r="GF99" s="81"/>
      <c r="GG99" s="81"/>
      <c r="GH99" s="81"/>
    </row>
    <row r="100" spans="1:190" x14ac:dyDescent="0.2">
      <c r="A100" s="82" t="s">
        <v>419</v>
      </c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  <c r="AI100" s="81"/>
      <c r="AJ100" s="81"/>
      <c r="AK100" s="81"/>
      <c r="AL100" s="81"/>
      <c r="AM100" s="81"/>
      <c r="AN100" s="81"/>
      <c r="AO100" s="81"/>
      <c r="AP100" s="81"/>
      <c r="AQ100" s="81"/>
      <c r="AR100" s="81"/>
      <c r="AS100" s="81"/>
      <c r="AT100" s="81"/>
      <c r="AU100" s="81"/>
      <c r="AV100" s="81"/>
      <c r="AW100" s="81"/>
      <c r="AX100" s="81"/>
      <c r="AY100" s="81"/>
      <c r="AZ100" s="81"/>
      <c r="BA100" s="81"/>
      <c r="BB100" s="81"/>
      <c r="BC100" s="81"/>
      <c r="BD100" s="81"/>
      <c r="BE100" s="81"/>
      <c r="BF100" s="81"/>
      <c r="BG100" s="81"/>
      <c r="BH100" s="81"/>
      <c r="BI100" s="81">
        <v>4.1548761702434005</v>
      </c>
      <c r="BJ100" s="81">
        <v>9.3902291122530244</v>
      </c>
      <c r="BK100" s="81"/>
      <c r="BL100" s="81"/>
      <c r="BM100" s="81"/>
      <c r="BN100" s="81"/>
      <c r="BO100" s="81">
        <v>0.15295138343884671</v>
      </c>
      <c r="BP100" s="81">
        <v>0.13681928717077929</v>
      </c>
      <c r="BQ100" s="81">
        <v>1.6749238795978638</v>
      </c>
      <c r="BR100" s="81"/>
      <c r="BS100" s="81"/>
      <c r="BT100" s="81"/>
      <c r="BU100" s="81"/>
      <c r="BV100" s="81"/>
      <c r="BW100" s="81"/>
      <c r="BX100" s="81"/>
      <c r="BY100" s="81"/>
      <c r="BZ100" s="81"/>
      <c r="CA100" s="81"/>
      <c r="CB100" s="81"/>
      <c r="CC100" s="81"/>
      <c r="CD100" s="81"/>
      <c r="CE100" s="81"/>
      <c r="CF100" s="81"/>
      <c r="CG100" s="81"/>
      <c r="CH100" s="81"/>
      <c r="CI100" s="81"/>
      <c r="CJ100" s="81"/>
      <c r="CK100" s="81"/>
      <c r="CL100" s="81"/>
      <c r="CM100" s="81"/>
      <c r="CN100" s="81"/>
      <c r="CO100" s="81"/>
      <c r="CP100" s="81"/>
      <c r="CQ100" s="81"/>
      <c r="CR100" s="81"/>
      <c r="CS100" s="81"/>
      <c r="CT100" s="81"/>
      <c r="CU100" s="81"/>
      <c r="CV100" s="81"/>
      <c r="CW100" s="81"/>
      <c r="CX100" s="81"/>
      <c r="CY100" s="81"/>
      <c r="CZ100" s="81"/>
      <c r="DA100" s="81"/>
      <c r="DB100" s="81"/>
      <c r="DC100" s="81"/>
      <c r="DD100" s="81"/>
      <c r="DE100" s="81"/>
      <c r="DF100" s="81"/>
      <c r="DG100" s="81"/>
      <c r="DH100" s="81"/>
      <c r="DI100" s="81"/>
      <c r="DJ100" s="81"/>
      <c r="DK100" s="81"/>
      <c r="DL100" s="81"/>
      <c r="DM100" s="81"/>
      <c r="DN100" s="81"/>
      <c r="DO100" s="81"/>
      <c r="DP100" s="81"/>
      <c r="DQ100" s="81"/>
      <c r="DR100" s="81"/>
      <c r="DS100" s="81"/>
      <c r="DT100" s="81"/>
      <c r="DU100" s="81"/>
      <c r="DV100" s="81"/>
      <c r="DW100" s="81"/>
      <c r="DX100" s="81"/>
      <c r="DY100" s="81"/>
      <c r="DZ100" s="81"/>
      <c r="EA100" s="81"/>
      <c r="EB100" s="81"/>
      <c r="EC100" s="81"/>
      <c r="ED100" s="81"/>
      <c r="EE100" s="81"/>
      <c r="EF100" s="81"/>
      <c r="EG100" s="81"/>
      <c r="EH100" s="81"/>
      <c r="EI100" s="81"/>
      <c r="EJ100" s="81"/>
      <c r="EK100" s="81"/>
      <c r="EL100" s="81"/>
      <c r="EM100" s="81"/>
      <c r="EN100" s="81"/>
      <c r="EO100" s="81"/>
      <c r="EP100" s="81"/>
      <c r="EQ100" s="81"/>
      <c r="ER100" s="81"/>
      <c r="ES100" s="81"/>
      <c r="ET100" s="81"/>
      <c r="EU100" s="81"/>
      <c r="EV100" s="81"/>
      <c r="EW100" s="81"/>
      <c r="EX100" s="81"/>
      <c r="EY100" s="81"/>
      <c r="EZ100" s="81"/>
      <c r="FA100" s="81"/>
      <c r="FB100" s="81"/>
      <c r="FC100" s="88">
        <v>0.4235660036912598</v>
      </c>
      <c r="FD100" s="88">
        <v>0.68267551967705642</v>
      </c>
      <c r="FE100" s="88">
        <v>0.86566754194939699</v>
      </c>
      <c r="FF100" s="88">
        <v>1.010757336863811</v>
      </c>
      <c r="FG100" s="88">
        <v>0.96441625209013071</v>
      </c>
      <c r="FH100" s="88">
        <v>0.22027990865053504</v>
      </c>
      <c r="FI100" s="88">
        <v>0.40232279050737979</v>
      </c>
      <c r="FJ100" s="88">
        <v>0.61354710112759159</v>
      </c>
      <c r="FK100" s="88">
        <v>1.0974358119685657</v>
      </c>
      <c r="FL100" s="88">
        <v>2.8269399613870783</v>
      </c>
      <c r="FM100" s="81"/>
      <c r="FN100" s="81"/>
      <c r="FO100" s="81"/>
      <c r="FP100" s="81"/>
      <c r="FQ100" s="81"/>
      <c r="FR100" s="81"/>
      <c r="FS100" s="81"/>
      <c r="FT100" s="81">
        <v>1.2621907843091692E-2</v>
      </c>
      <c r="FU100" s="81">
        <v>0.39928124704694801</v>
      </c>
      <c r="FV100" s="81">
        <v>25.029311215506759</v>
      </c>
      <c r="FW100" s="81"/>
      <c r="FX100" s="86"/>
      <c r="FY100" s="81"/>
      <c r="FZ100" s="81"/>
      <c r="GA100" s="81"/>
      <c r="GB100" s="81"/>
      <c r="GC100" s="81"/>
      <c r="GD100" s="81"/>
      <c r="GE100" s="81"/>
      <c r="GF100" s="81"/>
      <c r="GG100" s="81"/>
      <c r="GH100" s="81"/>
    </row>
    <row r="101" spans="1:190" x14ac:dyDescent="0.2">
      <c r="A101" s="82" t="s">
        <v>420</v>
      </c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>
        <v>6.1384078344829909E-2</v>
      </c>
      <c r="AC101" s="81"/>
      <c r="AD101" s="81">
        <v>6.1072456316521848E-2</v>
      </c>
      <c r="AE101" s="81"/>
      <c r="AF101" s="81"/>
      <c r="AG101" s="81"/>
      <c r="AH101" s="81"/>
      <c r="AI101" s="81"/>
      <c r="AJ101" s="81"/>
      <c r="AK101" s="81">
        <v>0.20236431912850572</v>
      </c>
      <c r="AL101" s="81"/>
      <c r="AM101" s="81">
        <v>6.2477148926958125E-2</v>
      </c>
      <c r="AN101" s="81"/>
      <c r="AO101" s="81"/>
      <c r="AP101" s="81">
        <v>1.0214247106473678E-2</v>
      </c>
      <c r="AQ101" s="81"/>
      <c r="AR101" s="81">
        <v>0.10166286238069036</v>
      </c>
      <c r="AS101" s="81"/>
      <c r="AT101" s="81"/>
      <c r="AU101" s="81"/>
      <c r="AV101" s="81"/>
      <c r="AW101" s="81"/>
      <c r="AX101" s="81"/>
      <c r="AY101" s="81"/>
      <c r="AZ101" s="81"/>
      <c r="BA101" s="81"/>
      <c r="BB101" s="81"/>
      <c r="BC101" s="81"/>
      <c r="BD101" s="81"/>
      <c r="BE101" s="81"/>
      <c r="BF101" s="81"/>
      <c r="BG101" s="81"/>
      <c r="BH101" s="81"/>
      <c r="BI101" s="81">
        <v>1.1603252033358991</v>
      </c>
      <c r="BJ101" s="81">
        <v>4.0604541604774278</v>
      </c>
      <c r="BK101" s="81"/>
      <c r="BL101" s="81"/>
      <c r="BM101" s="81"/>
      <c r="BN101" s="81"/>
      <c r="BO101" s="81"/>
      <c r="BP101" s="81"/>
      <c r="BQ101" s="81">
        <v>0.1265081363384242</v>
      </c>
      <c r="BR101" s="81"/>
      <c r="BS101" s="81"/>
      <c r="BT101" s="81"/>
      <c r="BU101" s="81"/>
      <c r="BV101" s="81"/>
      <c r="BW101" s="81"/>
      <c r="BX101" s="81"/>
      <c r="BY101" s="81"/>
      <c r="BZ101" s="81"/>
      <c r="CA101" s="81"/>
      <c r="CB101" s="81"/>
      <c r="CC101" s="81"/>
      <c r="CD101" s="81"/>
      <c r="CE101" s="81"/>
      <c r="CF101" s="81"/>
      <c r="CG101" s="81"/>
      <c r="CH101" s="81"/>
      <c r="CI101" s="81"/>
      <c r="CJ101" s="81"/>
      <c r="CK101" s="81"/>
      <c r="CL101" s="81"/>
      <c r="CM101" s="81"/>
      <c r="CN101" s="81"/>
      <c r="CO101" s="81"/>
      <c r="CP101" s="81"/>
      <c r="CQ101" s="81"/>
      <c r="CR101" s="81"/>
      <c r="CS101" s="81"/>
      <c r="CT101" s="81"/>
      <c r="CU101" s="81"/>
      <c r="CV101" s="81"/>
      <c r="CW101" s="81"/>
      <c r="CX101" s="81"/>
      <c r="CY101" s="81"/>
      <c r="CZ101" s="81"/>
      <c r="DA101" s="81"/>
      <c r="DB101" s="81"/>
      <c r="DC101" s="81"/>
      <c r="DD101" s="81"/>
      <c r="DE101" s="81"/>
      <c r="DF101" s="81"/>
      <c r="DG101" s="81"/>
      <c r="DH101" s="81"/>
      <c r="DI101" s="81"/>
      <c r="DJ101" s="81"/>
      <c r="DK101" s="81"/>
      <c r="DL101" s="81"/>
      <c r="DM101" s="81"/>
      <c r="DN101" s="81"/>
      <c r="DO101" s="81"/>
      <c r="DP101" s="81"/>
      <c r="DQ101" s="81"/>
      <c r="DR101" s="81"/>
      <c r="DS101" s="81"/>
      <c r="DT101" s="81"/>
      <c r="DU101" s="81"/>
      <c r="DV101" s="81"/>
      <c r="DW101" s="81"/>
      <c r="DX101" s="81"/>
      <c r="DY101" s="81"/>
      <c r="DZ101" s="81"/>
      <c r="EA101" s="81"/>
      <c r="EB101" s="81"/>
      <c r="EC101" s="81"/>
      <c r="ED101" s="81"/>
      <c r="EE101" s="81"/>
      <c r="EF101" s="81"/>
      <c r="EG101" s="81"/>
      <c r="EH101" s="81"/>
      <c r="EI101" s="81"/>
      <c r="EJ101" s="81"/>
      <c r="EK101" s="81"/>
      <c r="EL101" s="81"/>
      <c r="EM101" s="81"/>
      <c r="EN101" s="81"/>
      <c r="EO101" s="81"/>
      <c r="EP101" s="81"/>
      <c r="EQ101" s="81"/>
      <c r="ER101" s="81"/>
      <c r="ES101" s="81"/>
      <c r="ET101" s="81"/>
      <c r="EU101" s="81"/>
      <c r="EV101" s="81"/>
      <c r="EW101" s="81"/>
      <c r="EX101" s="81"/>
      <c r="EY101" s="81"/>
      <c r="EZ101" s="81"/>
      <c r="FA101" s="81"/>
      <c r="FB101" s="81"/>
      <c r="FC101" s="88">
        <v>6.012592337943337</v>
      </c>
      <c r="FD101" s="88">
        <v>7.9118804229836384</v>
      </c>
      <c r="FE101" s="88">
        <v>8.9840864026665752</v>
      </c>
      <c r="FF101" s="88">
        <v>10.471292678191839</v>
      </c>
      <c r="FG101" s="88">
        <v>10.277713775957038</v>
      </c>
      <c r="FH101" s="88">
        <v>3.4368427737354801</v>
      </c>
      <c r="FI101" s="88">
        <v>4.9582064141348061</v>
      </c>
      <c r="FJ101" s="88">
        <v>7.6060550759999606</v>
      </c>
      <c r="FK101" s="88">
        <v>11.156464799144622</v>
      </c>
      <c r="FL101" s="88">
        <v>30.284460980545774</v>
      </c>
      <c r="FM101" s="81"/>
      <c r="FN101" s="81"/>
      <c r="FO101" s="81"/>
      <c r="FP101" s="81"/>
      <c r="FQ101" s="81"/>
      <c r="FR101" s="81"/>
      <c r="FS101" s="81"/>
      <c r="FT101" s="81">
        <v>2.4144931899563762E-2</v>
      </c>
      <c r="FU101" s="81">
        <v>4.8915650570777345</v>
      </c>
      <c r="FV101" s="81">
        <v>111.8617682626361</v>
      </c>
      <c r="FW101" s="81"/>
      <c r="FX101" s="86"/>
      <c r="FY101" s="81"/>
      <c r="FZ101" s="81"/>
      <c r="GA101" s="81"/>
      <c r="GB101" s="81"/>
      <c r="GC101" s="81"/>
      <c r="GD101" s="81"/>
      <c r="GE101" s="81"/>
      <c r="GF101" s="81"/>
      <c r="GG101" s="81"/>
      <c r="GH101" s="81"/>
    </row>
    <row r="102" spans="1:190" x14ac:dyDescent="0.2">
      <c r="A102" s="82" t="s">
        <v>421</v>
      </c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  <c r="AI102" s="81"/>
      <c r="AJ102" s="81"/>
      <c r="AK102" s="81"/>
      <c r="AL102" s="81"/>
      <c r="AM102" s="81"/>
      <c r="AN102" s="81"/>
      <c r="AO102" s="81"/>
      <c r="AP102" s="81"/>
      <c r="AQ102" s="81"/>
      <c r="AR102" s="81"/>
      <c r="AS102" s="81"/>
      <c r="AT102" s="81"/>
      <c r="AU102" s="81"/>
      <c r="AV102" s="81"/>
      <c r="AW102" s="81"/>
      <c r="AX102" s="81"/>
      <c r="AY102" s="81"/>
      <c r="AZ102" s="81"/>
      <c r="BA102" s="81"/>
      <c r="BB102" s="81"/>
      <c r="BC102" s="81"/>
      <c r="BD102" s="81"/>
      <c r="BE102" s="81"/>
      <c r="BF102" s="81"/>
      <c r="BG102" s="81"/>
      <c r="BH102" s="81"/>
      <c r="BI102" s="81">
        <v>4.2756285082054415</v>
      </c>
      <c r="BJ102" s="81">
        <v>12.072785011341704</v>
      </c>
      <c r="BK102" s="81"/>
      <c r="BL102" s="81"/>
      <c r="BM102" s="81"/>
      <c r="BN102" s="81"/>
      <c r="BO102" s="81">
        <v>0.15306686883827283</v>
      </c>
      <c r="BP102" s="81">
        <v>0.13691161173608349</v>
      </c>
      <c r="BQ102" s="81">
        <v>1.6899452096010721</v>
      </c>
      <c r="BR102" s="81"/>
      <c r="BS102" s="81"/>
      <c r="BT102" s="81"/>
      <c r="BU102" s="81"/>
      <c r="BV102" s="81"/>
      <c r="BW102" s="81"/>
      <c r="BX102" s="81"/>
      <c r="BY102" s="81"/>
      <c r="BZ102" s="81"/>
      <c r="CA102" s="81"/>
      <c r="CB102" s="81"/>
      <c r="CC102" s="81"/>
      <c r="CD102" s="81"/>
      <c r="CE102" s="81"/>
      <c r="CF102" s="81"/>
      <c r="CG102" s="81"/>
      <c r="CH102" s="81"/>
      <c r="CI102" s="81"/>
      <c r="CJ102" s="81"/>
      <c r="CK102" s="81"/>
      <c r="CL102" s="81"/>
      <c r="CM102" s="81"/>
      <c r="CN102" s="81"/>
      <c r="CO102" s="81"/>
      <c r="CP102" s="81"/>
      <c r="CQ102" s="81"/>
      <c r="CR102" s="81"/>
      <c r="CS102" s="81"/>
      <c r="CT102" s="81"/>
      <c r="CU102" s="81"/>
      <c r="CV102" s="81"/>
      <c r="CW102" s="81"/>
      <c r="CX102" s="81"/>
      <c r="CY102" s="81"/>
      <c r="CZ102" s="81"/>
      <c r="DA102" s="81"/>
      <c r="DB102" s="81"/>
      <c r="DC102" s="81"/>
      <c r="DD102" s="81"/>
      <c r="DE102" s="81"/>
      <c r="DF102" s="81"/>
      <c r="DG102" s="81"/>
      <c r="DH102" s="81"/>
      <c r="DI102" s="81"/>
      <c r="DJ102" s="81"/>
      <c r="DK102" s="81"/>
      <c r="DL102" s="81"/>
      <c r="DM102" s="81"/>
      <c r="DN102" s="81"/>
      <c r="DO102" s="81"/>
      <c r="DP102" s="81"/>
      <c r="DQ102" s="81"/>
      <c r="DR102" s="81"/>
      <c r="DS102" s="81"/>
      <c r="DT102" s="81"/>
      <c r="DU102" s="81"/>
      <c r="DV102" s="81"/>
      <c r="DW102" s="81"/>
      <c r="DX102" s="81"/>
      <c r="DY102" s="81"/>
      <c r="DZ102" s="81"/>
      <c r="EA102" s="81"/>
      <c r="EB102" s="81"/>
      <c r="EC102" s="81"/>
      <c r="ED102" s="81"/>
      <c r="EE102" s="81"/>
      <c r="EF102" s="81"/>
      <c r="EG102" s="81"/>
      <c r="EH102" s="81"/>
      <c r="EI102" s="81"/>
      <c r="EJ102" s="81"/>
      <c r="EK102" s="81"/>
      <c r="EL102" s="81"/>
      <c r="EM102" s="81"/>
      <c r="EN102" s="81"/>
      <c r="EO102" s="81"/>
      <c r="EP102" s="81"/>
      <c r="EQ102" s="81"/>
      <c r="ER102" s="81"/>
      <c r="ES102" s="81"/>
      <c r="ET102" s="81"/>
      <c r="EU102" s="81"/>
      <c r="EV102" s="81"/>
      <c r="EW102" s="81"/>
      <c r="EX102" s="81"/>
      <c r="EY102" s="81"/>
      <c r="EZ102" s="81"/>
      <c r="FA102" s="81"/>
      <c r="FB102" s="81"/>
      <c r="FC102" s="88">
        <v>0.41888835980744044</v>
      </c>
      <c r="FD102" s="88">
        <v>0.62889497877472411</v>
      </c>
      <c r="FE102" s="88">
        <v>0.87105200888746559</v>
      </c>
      <c r="FF102" s="88">
        <v>1.0896609907059247</v>
      </c>
      <c r="FG102" s="88">
        <v>1.1353983095511357</v>
      </c>
      <c r="FH102" s="88">
        <v>0.23847396733399814</v>
      </c>
      <c r="FI102" s="88">
        <v>0.43481432049614743</v>
      </c>
      <c r="FJ102" s="88">
        <v>0.7007137960370442</v>
      </c>
      <c r="FK102" s="88">
        <v>1.0015876748998243</v>
      </c>
      <c r="FL102" s="88">
        <v>2.8497133728907307</v>
      </c>
      <c r="FM102" s="81"/>
      <c r="FN102" s="81"/>
      <c r="FO102" s="81"/>
      <c r="FP102" s="81"/>
      <c r="FQ102" s="81"/>
      <c r="FR102" s="81"/>
      <c r="FS102" s="81"/>
      <c r="FT102" s="81">
        <v>1.5470786301774804</v>
      </c>
      <c r="FU102" s="81">
        <v>10.786925630259798</v>
      </c>
      <c r="FV102" s="81">
        <v>40.031539249544281</v>
      </c>
      <c r="FW102" s="81"/>
      <c r="FX102" s="86"/>
      <c r="FY102" s="81"/>
      <c r="FZ102" s="81"/>
      <c r="GA102" s="81"/>
      <c r="GB102" s="81"/>
      <c r="GC102" s="81"/>
      <c r="GD102" s="81"/>
      <c r="GE102" s="81"/>
      <c r="GF102" s="81"/>
      <c r="GG102" s="81"/>
      <c r="GH102" s="81"/>
    </row>
    <row r="103" spans="1:190" x14ac:dyDescent="0.2">
      <c r="A103" s="82" t="s">
        <v>422</v>
      </c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  <c r="AI103" s="81"/>
      <c r="AJ103" s="81"/>
      <c r="AK103" s="81"/>
      <c r="AL103" s="81"/>
      <c r="AM103" s="81"/>
      <c r="AN103" s="81"/>
      <c r="AO103" s="81"/>
      <c r="AP103" s="81">
        <v>1.0377348443917744E-2</v>
      </c>
      <c r="AQ103" s="81"/>
      <c r="AR103" s="81">
        <v>0.10327945310313591</v>
      </c>
      <c r="AS103" s="81"/>
      <c r="AT103" s="81"/>
      <c r="AU103" s="81"/>
      <c r="AV103" s="81"/>
      <c r="AW103" s="81"/>
      <c r="AX103" s="81"/>
      <c r="AY103" s="81"/>
      <c r="AZ103" s="81"/>
      <c r="BA103" s="81"/>
      <c r="BB103" s="81"/>
      <c r="BC103" s="81"/>
      <c r="BD103" s="81"/>
      <c r="BE103" s="81"/>
      <c r="BF103" s="81"/>
      <c r="BG103" s="81"/>
      <c r="BH103" s="81"/>
      <c r="BI103" s="81">
        <v>2.6793722794871151</v>
      </c>
      <c r="BJ103" s="81">
        <v>9.2985358503423612</v>
      </c>
      <c r="BK103" s="81"/>
      <c r="BL103" s="81"/>
      <c r="BM103" s="81"/>
      <c r="BN103" s="81"/>
      <c r="BO103" s="81">
        <v>9.1975317193065703E-2</v>
      </c>
      <c r="BP103" s="81">
        <v>8.2250454720891417E-2</v>
      </c>
      <c r="BQ103" s="81">
        <v>1.030120849184033</v>
      </c>
      <c r="BR103" s="81"/>
      <c r="BS103" s="81"/>
      <c r="BT103" s="81"/>
      <c r="BU103" s="81"/>
      <c r="BV103" s="81"/>
      <c r="BW103" s="81"/>
      <c r="BX103" s="81"/>
      <c r="BY103" s="81"/>
      <c r="BZ103" s="81"/>
      <c r="CA103" s="81"/>
      <c r="CB103" s="81"/>
      <c r="CC103" s="81"/>
      <c r="CD103" s="81"/>
      <c r="CE103" s="81"/>
      <c r="CF103" s="81"/>
      <c r="CG103" s="81"/>
      <c r="CH103" s="81"/>
      <c r="CI103" s="81"/>
      <c r="CJ103" s="81"/>
      <c r="CK103" s="81"/>
      <c r="CL103" s="81"/>
      <c r="CM103" s="81"/>
      <c r="CN103" s="81"/>
      <c r="CO103" s="81"/>
      <c r="CP103" s="81"/>
      <c r="CQ103" s="81"/>
      <c r="CR103" s="81"/>
      <c r="CS103" s="81"/>
      <c r="CT103" s="81"/>
      <c r="CU103" s="81"/>
      <c r="CV103" s="81"/>
      <c r="CW103" s="81"/>
      <c r="CX103" s="81"/>
      <c r="CY103" s="81"/>
      <c r="CZ103" s="81"/>
      <c r="DA103" s="81"/>
      <c r="DB103" s="81"/>
      <c r="DC103" s="81"/>
      <c r="DD103" s="81"/>
      <c r="DE103" s="81"/>
      <c r="DF103" s="81"/>
      <c r="DG103" s="81"/>
      <c r="DH103" s="81"/>
      <c r="DI103" s="81"/>
      <c r="DJ103" s="81"/>
      <c r="DK103" s="81"/>
      <c r="DL103" s="81"/>
      <c r="DM103" s="81"/>
      <c r="DN103" s="81"/>
      <c r="DO103" s="81"/>
      <c r="DP103" s="81"/>
      <c r="DQ103" s="81"/>
      <c r="DR103" s="81"/>
      <c r="DS103" s="81"/>
      <c r="DT103" s="81"/>
      <c r="DU103" s="81"/>
      <c r="DV103" s="81"/>
      <c r="DW103" s="81"/>
      <c r="DX103" s="81"/>
      <c r="DY103" s="81"/>
      <c r="DZ103" s="81"/>
      <c r="EA103" s="81"/>
      <c r="EB103" s="81"/>
      <c r="EC103" s="81"/>
      <c r="ED103" s="81"/>
      <c r="EE103" s="81"/>
      <c r="EF103" s="81"/>
      <c r="EG103" s="81"/>
      <c r="EH103" s="81"/>
      <c r="EI103" s="81"/>
      <c r="EJ103" s="81"/>
      <c r="EK103" s="81"/>
      <c r="EL103" s="81"/>
      <c r="EM103" s="81"/>
      <c r="EN103" s="81"/>
      <c r="EO103" s="81"/>
      <c r="EP103" s="81"/>
      <c r="EQ103" s="81"/>
      <c r="ER103" s="81"/>
      <c r="ES103" s="81"/>
      <c r="ET103" s="81"/>
      <c r="EU103" s="81"/>
      <c r="EV103" s="81"/>
      <c r="EW103" s="81"/>
      <c r="EX103" s="81"/>
      <c r="EY103" s="81"/>
      <c r="EZ103" s="81"/>
      <c r="FA103" s="81"/>
      <c r="FB103" s="81"/>
      <c r="FC103" s="88">
        <v>6.5408028386891131</v>
      </c>
      <c r="FD103" s="88">
        <v>8.0819655766889031</v>
      </c>
      <c r="FE103" s="88">
        <v>8.1537361276121292</v>
      </c>
      <c r="FF103" s="88">
        <v>9.0207911239401142</v>
      </c>
      <c r="FG103" s="88">
        <v>8.0750181965228638</v>
      </c>
      <c r="FH103" s="88">
        <v>2.7112115296741139</v>
      </c>
      <c r="FI103" s="88">
        <v>3.6050196058678976</v>
      </c>
      <c r="FJ103" s="88">
        <v>4.7096341956066468</v>
      </c>
      <c r="FK103" s="88">
        <v>5.9954998139613629</v>
      </c>
      <c r="FL103" s="88">
        <v>10.069277007642787</v>
      </c>
      <c r="FM103" s="81"/>
      <c r="FN103" s="81"/>
      <c r="FO103" s="81"/>
      <c r="FP103" s="81"/>
      <c r="FQ103" s="81"/>
      <c r="FR103" s="81"/>
      <c r="FS103" s="81"/>
      <c r="FT103" s="81">
        <v>1.3282953879607937</v>
      </c>
      <c r="FU103" s="81">
        <v>3.4272203101665477</v>
      </c>
      <c r="FV103" s="81">
        <v>85.014383266807783</v>
      </c>
      <c r="FW103" s="81"/>
      <c r="FX103" s="86"/>
      <c r="FY103" s="81"/>
      <c r="FZ103" s="81"/>
      <c r="GA103" s="81"/>
      <c r="GB103" s="81"/>
      <c r="GC103" s="81"/>
      <c r="GD103" s="81"/>
      <c r="GE103" s="81"/>
      <c r="GF103" s="81"/>
      <c r="GG103" s="81"/>
      <c r="GH103" s="81"/>
    </row>
    <row r="104" spans="1:190" x14ac:dyDescent="0.2">
      <c r="A104" s="82" t="s">
        <v>423</v>
      </c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>
        <v>2.3321658438999342</v>
      </c>
      <c r="AC104" s="81"/>
      <c r="AD104" s="81"/>
      <c r="AE104" s="81"/>
      <c r="AF104" s="81"/>
      <c r="AG104" s="81"/>
      <c r="AH104" s="81"/>
      <c r="AI104" s="81"/>
      <c r="AJ104" s="81"/>
      <c r="AK104" s="81"/>
      <c r="AL104" s="81"/>
      <c r="AM104" s="81">
        <v>1.1391917493237943E-2</v>
      </c>
      <c r="AN104" s="81"/>
      <c r="AO104" s="81"/>
      <c r="AP104" s="81"/>
      <c r="AQ104" s="81"/>
      <c r="AR104" s="81">
        <v>7.1628260464609763E-3</v>
      </c>
      <c r="AS104" s="81"/>
      <c r="AT104" s="81"/>
      <c r="AU104" s="81"/>
      <c r="AV104" s="81"/>
      <c r="AW104" s="81"/>
      <c r="AX104" s="81"/>
      <c r="AY104" s="81"/>
      <c r="AZ104" s="81"/>
      <c r="BA104" s="81"/>
      <c r="BB104" s="81"/>
      <c r="BC104" s="81"/>
      <c r="BD104" s="81"/>
      <c r="BE104" s="81"/>
      <c r="BF104" s="81"/>
      <c r="BG104" s="81"/>
      <c r="BH104" s="81"/>
      <c r="BI104" s="81"/>
      <c r="BJ104" s="81"/>
      <c r="BK104" s="81"/>
      <c r="BL104" s="81"/>
      <c r="BM104" s="81"/>
      <c r="BN104" s="81"/>
      <c r="BO104" s="81"/>
      <c r="BP104" s="81"/>
      <c r="BQ104" s="81"/>
      <c r="BR104" s="81"/>
      <c r="BS104" s="81"/>
      <c r="BT104" s="81"/>
      <c r="BU104" s="81"/>
      <c r="BV104" s="81"/>
      <c r="BW104" s="81"/>
      <c r="BX104" s="81"/>
      <c r="BY104" s="81"/>
      <c r="BZ104" s="81"/>
      <c r="CA104" s="81"/>
      <c r="CB104" s="81"/>
      <c r="CC104" s="81"/>
      <c r="CD104" s="81"/>
      <c r="CE104" s="81"/>
      <c r="CF104" s="81"/>
      <c r="CG104" s="81"/>
      <c r="CH104" s="81"/>
      <c r="CI104" s="81"/>
      <c r="CJ104" s="81"/>
      <c r="CK104" s="81"/>
      <c r="CL104" s="81"/>
      <c r="CM104" s="81"/>
      <c r="CN104" s="81"/>
      <c r="CO104" s="81"/>
      <c r="CP104" s="81"/>
      <c r="CQ104" s="81"/>
      <c r="CR104" s="81"/>
      <c r="CS104" s="81"/>
      <c r="CT104" s="81"/>
      <c r="CU104" s="81"/>
      <c r="CV104" s="81"/>
      <c r="CW104" s="81"/>
      <c r="CX104" s="81"/>
      <c r="CY104" s="81"/>
      <c r="CZ104" s="81"/>
      <c r="DA104" s="81"/>
      <c r="DB104" s="81"/>
      <c r="DC104" s="81"/>
      <c r="DD104" s="81"/>
      <c r="DE104" s="81"/>
      <c r="DF104" s="81"/>
      <c r="DG104" s="81"/>
      <c r="DH104" s="81"/>
      <c r="DI104" s="81"/>
      <c r="DJ104" s="81"/>
      <c r="DK104" s="81"/>
      <c r="DL104" s="81"/>
      <c r="DM104" s="81"/>
      <c r="DN104" s="81"/>
      <c r="DO104" s="81"/>
      <c r="DP104" s="81"/>
      <c r="DQ104" s="81"/>
      <c r="DR104" s="81"/>
      <c r="DS104" s="81"/>
      <c r="DT104" s="81"/>
      <c r="DU104" s="81"/>
      <c r="DV104" s="81"/>
      <c r="DW104" s="81"/>
      <c r="DX104" s="81"/>
      <c r="DY104" s="81"/>
      <c r="DZ104" s="81"/>
      <c r="EA104" s="81"/>
      <c r="EB104" s="81"/>
      <c r="EC104" s="81"/>
      <c r="ED104" s="81"/>
      <c r="EE104" s="81"/>
      <c r="EF104" s="81"/>
      <c r="EG104" s="81"/>
      <c r="EH104" s="81"/>
      <c r="EI104" s="81"/>
      <c r="EJ104" s="81"/>
      <c r="EK104" s="81"/>
      <c r="EL104" s="81"/>
      <c r="EM104" s="81"/>
      <c r="EN104" s="81"/>
      <c r="EO104" s="81"/>
      <c r="EP104" s="81"/>
      <c r="EQ104" s="81"/>
      <c r="ER104" s="81"/>
      <c r="ES104" s="81"/>
      <c r="ET104" s="81"/>
      <c r="EU104" s="81"/>
      <c r="EV104" s="81"/>
      <c r="EW104" s="81"/>
      <c r="EX104" s="81"/>
      <c r="EY104" s="81"/>
      <c r="EZ104" s="81"/>
      <c r="FA104" s="81"/>
      <c r="FB104" s="81"/>
      <c r="FC104" s="88">
        <v>1.0294203267614692</v>
      </c>
      <c r="FD104" s="88">
        <v>1.0326539109922621</v>
      </c>
      <c r="FE104" s="88">
        <v>0.93678706712863835</v>
      </c>
      <c r="FF104" s="88">
        <v>0.87063384804404498</v>
      </c>
      <c r="FG104" s="88">
        <v>0.62601192314056697</v>
      </c>
      <c r="FH104" s="88">
        <v>0.18351154194934227</v>
      </c>
      <c r="FI104" s="88">
        <v>0.26599384118499003</v>
      </c>
      <c r="FJ104" s="88">
        <v>0.31397080077286732</v>
      </c>
      <c r="FK104" s="88">
        <v>0.29242200086091041</v>
      </c>
      <c r="FL104" s="88">
        <v>0.41013845766915497</v>
      </c>
      <c r="FM104" s="81"/>
      <c r="FN104" s="81"/>
      <c r="FO104" s="81"/>
      <c r="FP104" s="81"/>
      <c r="FQ104" s="81"/>
      <c r="FR104" s="81"/>
      <c r="FS104" s="81"/>
      <c r="FT104" s="81"/>
      <c r="FU104" s="81">
        <v>3.2730694121744619E-2</v>
      </c>
      <c r="FV104" s="81">
        <v>8.344995000065623</v>
      </c>
      <c r="FW104" s="81"/>
      <c r="FX104" s="86"/>
      <c r="FY104" s="81"/>
      <c r="FZ104" s="81"/>
      <c r="GA104" s="81"/>
      <c r="GB104" s="81"/>
      <c r="GC104" s="81"/>
      <c r="GD104" s="81"/>
      <c r="GE104" s="81"/>
      <c r="GF104" s="81"/>
      <c r="GG104" s="81"/>
      <c r="GH104" s="81"/>
    </row>
    <row r="105" spans="1:190" x14ac:dyDescent="0.2">
      <c r="A105" s="82" t="s">
        <v>424</v>
      </c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>
        <v>0.24055600357385906</v>
      </c>
      <c r="AC105" s="81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81"/>
      <c r="AZ105" s="81"/>
      <c r="BA105" s="81"/>
      <c r="BB105" s="81"/>
      <c r="BC105" s="81"/>
      <c r="BD105" s="81"/>
      <c r="BE105" s="81"/>
      <c r="BF105" s="81"/>
      <c r="BG105" s="81"/>
      <c r="BH105" s="81"/>
      <c r="BI105" s="81"/>
      <c r="BJ105" s="81"/>
      <c r="BK105" s="81"/>
      <c r="BL105" s="81"/>
      <c r="BM105" s="81"/>
      <c r="BN105" s="81"/>
      <c r="BO105" s="81"/>
      <c r="BP105" s="81"/>
      <c r="BQ105" s="81"/>
      <c r="BR105" s="81"/>
      <c r="BS105" s="81"/>
      <c r="BT105" s="81"/>
      <c r="BU105" s="81"/>
      <c r="BV105" s="81"/>
      <c r="BW105" s="81"/>
      <c r="BX105" s="81"/>
      <c r="BY105" s="81"/>
      <c r="BZ105" s="81"/>
      <c r="CA105" s="81"/>
      <c r="CB105" s="81"/>
      <c r="CC105" s="81"/>
      <c r="CD105" s="81"/>
      <c r="CE105" s="81"/>
      <c r="CF105" s="81"/>
      <c r="CG105" s="81"/>
      <c r="CH105" s="81"/>
      <c r="CI105" s="81"/>
      <c r="CJ105" s="81"/>
      <c r="CK105" s="81"/>
      <c r="CL105" s="81"/>
      <c r="CM105" s="81"/>
      <c r="CN105" s="81"/>
      <c r="CO105" s="81"/>
      <c r="CP105" s="81"/>
      <c r="CQ105" s="81"/>
      <c r="CR105" s="81"/>
      <c r="CS105" s="81"/>
      <c r="CT105" s="81"/>
      <c r="CU105" s="81"/>
      <c r="CV105" s="81"/>
      <c r="CW105" s="81"/>
      <c r="CX105" s="81"/>
      <c r="CY105" s="81"/>
      <c r="CZ105" s="81"/>
      <c r="DA105" s="81"/>
      <c r="DB105" s="81"/>
      <c r="DC105" s="81"/>
      <c r="DD105" s="81"/>
      <c r="DE105" s="81"/>
      <c r="DF105" s="81"/>
      <c r="DG105" s="81"/>
      <c r="DH105" s="81"/>
      <c r="DI105" s="81"/>
      <c r="DJ105" s="81"/>
      <c r="DK105" s="81"/>
      <c r="DL105" s="81"/>
      <c r="DM105" s="81"/>
      <c r="DN105" s="81"/>
      <c r="DO105" s="81"/>
      <c r="DP105" s="81"/>
      <c r="DQ105" s="81"/>
      <c r="DR105" s="81"/>
      <c r="DS105" s="81"/>
      <c r="DT105" s="81"/>
      <c r="DU105" s="81"/>
      <c r="DV105" s="81"/>
      <c r="DW105" s="81"/>
      <c r="DX105" s="81"/>
      <c r="DY105" s="81"/>
      <c r="DZ105" s="81"/>
      <c r="EA105" s="81"/>
      <c r="EB105" s="81"/>
      <c r="EC105" s="81"/>
      <c r="ED105" s="81"/>
      <c r="EE105" s="81"/>
      <c r="EF105" s="81"/>
      <c r="EG105" s="81"/>
      <c r="EH105" s="81"/>
      <c r="EI105" s="81"/>
      <c r="EJ105" s="81"/>
      <c r="EK105" s="81"/>
      <c r="EL105" s="81"/>
      <c r="EM105" s="81"/>
      <c r="EN105" s="81"/>
      <c r="EO105" s="81"/>
      <c r="EP105" s="81"/>
      <c r="EQ105" s="81"/>
      <c r="ER105" s="81"/>
      <c r="ES105" s="81"/>
      <c r="ET105" s="81"/>
      <c r="EU105" s="81"/>
      <c r="EV105" s="81"/>
      <c r="EW105" s="81"/>
      <c r="EX105" s="81"/>
      <c r="EY105" s="81"/>
      <c r="EZ105" s="81"/>
      <c r="FA105" s="81"/>
      <c r="FB105" s="81"/>
      <c r="FC105" s="88">
        <v>0.11327181788024715</v>
      </c>
      <c r="FD105" s="88">
        <v>0.11362443000707652</v>
      </c>
      <c r="FE105" s="88">
        <v>0.10307461192576386</v>
      </c>
      <c r="FF105" s="88">
        <v>9.579422470400728E-2</v>
      </c>
      <c r="FG105" s="88">
        <v>6.8877257959842689E-2</v>
      </c>
      <c r="FH105" s="88">
        <v>2.019190662620883E-2</v>
      </c>
      <c r="FI105" s="88">
        <v>2.9267368154016773E-2</v>
      </c>
      <c r="FJ105" s="88">
        <v>3.4546208384564826E-2</v>
      </c>
      <c r="FK105" s="88">
        <v>3.2175088726926683E-2</v>
      </c>
      <c r="FL105" s="88">
        <v>4.5126534465907808E-2</v>
      </c>
      <c r="FM105" s="81"/>
      <c r="FN105" s="81"/>
      <c r="FO105" s="81"/>
      <c r="FP105" s="81"/>
      <c r="FQ105" s="81"/>
      <c r="FR105" s="81"/>
      <c r="FS105" s="81"/>
      <c r="FT105" s="81"/>
      <c r="FU105" s="81"/>
      <c r="FV105" s="81">
        <v>0.89650545240842128</v>
      </c>
      <c r="FW105" s="81"/>
      <c r="FX105" s="86"/>
      <c r="FY105" s="81"/>
      <c r="FZ105" s="81"/>
      <c r="GA105" s="81"/>
      <c r="GB105" s="81"/>
      <c r="GC105" s="81"/>
      <c r="GD105" s="81"/>
      <c r="GE105" s="81"/>
      <c r="GF105" s="81"/>
      <c r="GG105" s="81"/>
      <c r="GH105" s="81"/>
    </row>
    <row r="106" spans="1:190" x14ac:dyDescent="0.2">
      <c r="A106" s="82" t="s">
        <v>425</v>
      </c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>
        <v>1.5487433213145125</v>
      </c>
      <c r="AC106" s="81"/>
      <c r="AD106" s="81"/>
      <c r="AE106" s="81"/>
      <c r="AF106" s="81"/>
      <c r="AG106" s="81"/>
      <c r="AH106" s="81"/>
      <c r="AI106" s="81"/>
      <c r="AJ106" s="81"/>
      <c r="AK106" s="81"/>
      <c r="AL106" s="81"/>
      <c r="AM106" s="81">
        <v>7.248854923988246E-3</v>
      </c>
      <c r="AN106" s="81"/>
      <c r="AO106" s="81"/>
      <c r="AP106" s="81"/>
      <c r="AQ106" s="81"/>
      <c r="AR106" s="81">
        <v>4.5576050360216537E-3</v>
      </c>
      <c r="AS106" s="81"/>
      <c r="AT106" s="81"/>
      <c r="AU106" s="81"/>
      <c r="AV106" s="81"/>
      <c r="AW106" s="81"/>
      <c r="AX106" s="81"/>
      <c r="AY106" s="81"/>
      <c r="AZ106" s="81"/>
      <c r="BA106" s="81"/>
      <c r="BB106" s="81"/>
      <c r="BC106" s="81"/>
      <c r="BD106" s="81"/>
      <c r="BE106" s="81"/>
      <c r="BF106" s="81"/>
      <c r="BG106" s="81"/>
      <c r="BH106" s="81"/>
      <c r="BI106" s="81"/>
      <c r="BJ106" s="81"/>
      <c r="BK106" s="81"/>
      <c r="BL106" s="81"/>
      <c r="BM106" s="81"/>
      <c r="BN106" s="81"/>
      <c r="BO106" s="81"/>
      <c r="BP106" s="81"/>
      <c r="BQ106" s="81"/>
      <c r="BR106" s="81"/>
      <c r="BS106" s="81"/>
      <c r="BT106" s="81"/>
      <c r="BU106" s="81"/>
      <c r="BV106" s="81"/>
      <c r="BW106" s="81"/>
      <c r="BX106" s="81"/>
      <c r="BY106" s="81"/>
      <c r="BZ106" s="81"/>
      <c r="CA106" s="81"/>
      <c r="CB106" s="81"/>
      <c r="CC106" s="81"/>
      <c r="CD106" s="81"/>
      <c r="CE106" s="81"/>
      <c r="CF106" s="81"/>
      <c r="CG106" s="81"/>
      <c r="CH106" s="81"/>
      <c r="CI106" s="81"/>
      <c r="CJ106" s="81"/>
      <c r="CK106" s="81"/>
      <c r="CL106" s="81"/>
      <c r="CM106" s="81"/>
      <c r="CN106" s="81"/>
      <c r="CO106" s="81"/>
      <c r="CP106" s="81"/>
      <c r="CQ106" s="81"/>
      <c r="CR106" s="81"/>
      <c r="CS106" s="81"/>
      <c r="CT106" s="81"/>
      <c r="CU106" s="81"/>
      <c r="CV106" s="81"/>
      <c r="CW106" s="81"/>
      <c r="CX106" s="81"/>
      <c r="CY106" s="81"/>
      <c r="CZ106" s="81"/>
      <c r="DA106" s="81"/>
      <c r="DB106" s="81"/>
      <c r="DC106" s="81"/>
      <c r="DD106" s="81"/>
      <c r="DE106" s="81"/>
      <c r="DF106" s="81"/>
      <c r="DG106" s="81"/>
      <c r="DH106" s="81"/>
      <c r="DI106" s="81"/>
      <c r="DJ106" s="81"/>
      <c r="DK106" s="81"/>
      <c r="DL106" s="81"/>
      <c r="DM106" s="81"/>
      <c r="DN106" s="81"/>
      <c r="DO106" s="81"/>
      <c r="DP106" s="81"/>
      <c r="DQ106" s="81"/>
      <c r="DR106" s="81"/>
      <c r="DS106" s="81"/>
      <c r="DT106" s="81"/>
      <c r="DU106" s="81"/>
      <c r="DV106" s="81"/>
      <c r="DW106" s="81"/>
      <c r="DX106" s="81"/>
      <c r="DY106" s="81"/>
      <c r="DZ106" s="81"/>
      <c r="EA106" s="81"/>
      <c r="EB106" s="81"/>
      <c r="EC106" s="81"/>
      <c r="ED106" s="81"/>
      <c r="EE106" s="81"/>
      <c r="EF106" s="81"/>
      <c r="EG106" s="81"/>
      <c r="EH106" s="81"/>
      <c r="EI106" s="81"/>
      <c r="EJ106" s="81"/>
      <c r="EK106" s="81"/>
      <c r="EL106" s="81"/>
      <c r="EM106" s="81"/>
      <c r="EN106" s="81"/>
      <c r="EO106" s="81"/>
      <c r="EP106" s="81"/>
      <c r="EQ106" s="81"/>
      <c r="ER106" s="81"/>
      <c r="ES106" s="81"/>
      <c r="ET106" s="81"/>
      <c r="EU106" s="81"/>
      <c r="EV106" s="81"/>
      <c r="EW106" s="81"/>
      <c r="EX106" s="81"/>
      <c r="EY106" s="81"/>
      <c r="EZ106" s="81"/>
      <c r="FA106" s="81"/>
      <c r="FB106" s="81"/>
      <c r="FC106" s="88">
        <v>1.4856288760654848</v>
      </c>
      <c r="FD106" s="88">
        <v>1.4903163482461015</v>
      </c>
      <c r="FE106" s="88">
        <v>1.3519716856083603</v>
      </c>
      <c r="FF106" s="88">
        <v>1.2565094653532354</v>
      </c>
      <c r="FG106" s="88">
        <v>0.90347901362773142</v>
      </c>
      <c r="FH106" s="88">
        <v>0.26484302477437677</v>
      </c>
      <c r="FI106" s="88">
        <v>0.38388192150182948</v>
      </c>
      <c r="FJ106" s="88">
        <v>0.45312269890635998</v>
      </c>
      <c r="FK106" s="88">
        <v>0.42202415484619671</v>
      </c>
      <c r="FL106" s="88">
        <v>0.5919184157965548</v>
      </c>
      <c r="FM106" s="81"/>
      <c r="FN106" s="81"/>
      <c r="FO106" s="81"/>
      <c r="FP106" s="81"/>
      <c r="FQ106" s="81"/>
      <c r="FR106" s="81"/>
      <c r="FS106" s="81"/>
      <c r="FT106" s="81"/>
      <c r="FU106" s="81">
        <v>8.1181862812207948E-4</v>
      </c>
      <c r="FV106" s="81">
        <v>10.165057204628877</v>
      </c>
      <c r="FW106" s="81"/>
      <c r="FX106" s="86"/>
      <c r="FY106" s="81"/>
      <c r="FZ106" s="81"/>
      <c r="GA106" s="81"/>
      <c r="GB106" s="81"/>
      <c r="GC106" s="81"/>
      <c r="GD106" s="81"/>
      <c r="GE106" s="81"/>
      <c r="GF106" s="81"/>
      <c r="GG106" s="81"/>
      <c r="GH106" s="81"/>
    </row>
    <row r="107" spans="1:190" x14ac:dyDescent="0.2">
      <c r="A107" s="82" t="s">
        <v>426</v>
      </c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>
        <v>3.3676195847795021</v>
      </c>
      <c r="AC107" s="81"/>
      <c r="AD107" s="81"/>
      <c r="AE107" s="81"/>
      <c r="AF107" s="81"/>
      <c r="AG107" s="81"/>
      <c r="AH107" s="81"/>
      <c r="AI107" s="81"/>
      <c r="AJ107" s="81"/>
      <c r="AK107" s="81"/>
      <c r="AL107" s="81"/>
      <c r="AM107" s="81">
        <v>1.6073322964288594E-2</v>
      </c>
      <c r="AN107" s="81"/>
      <c r="AO107" s="81"/>
      <c r="AP107" s="81"/>
      <c r="AQ107" s="81"/>
      <c r="AR107" s="81">
        <v>1.0105787352734303E-2</v>
      </c>
      <c r="AS107" s="81"/>
      <c r="AT107" s="81"/>
      <c r="AU107" s="81"/>
      <c r="AV107" s="81"/>
      <c r="AW107" s="81"/>
      <c r="AX107" s="81"/>
      <c r="AY107" s="81"/>
      <c r="AZ107" s="81"/>
      <c r="BA107" s="81"/>
      <c r="BB107" s="81"/>
      <c r="BC107" s="81"/>
      <c r="BD107" s="81"/>
      <c r="BE107" s="81"/>
      <c r="BF107" s="81"/>
      <c r="BG107" s="81"/>
      <c r="BH107" s="81"/>
      <c r="BI107" s="81"/>
      <c r="BJ107" s="81"/>
      <c r="BK107" s="81"/>
      <c r="BL107" s="81"/>
      <c r="BM107" s="81"/>
      <c r="BN107" s="81"/>
      <c r="BO107" s="81"/>
      <c r="BP107" s="81"/>
      <c r="BQ107" s="81">
        <v>3.6211266744613807E-2</v>
      </c>
      <c r="BR107" s="81"/>
      <c r="BS107" s="81"/>
      <c r="BT107" s="81"/>
      <c r="BU107" s="81"/>
      <c r="BV107" s="81"/>
      <c r="BW107" s="81"/>
      <c r="BX107" s="81"/>
      <c r="BY107" s="81"/>
      <c r="BZ107" s="81"/>
      <c r="CA107" s="81"/>
      <c r="CB107" s="81"/>
      <c r="CC107" s="81"/>
      <c r="CD107" s="81"/>
      <c r="CE107" s="81"/>
      <c r="CF107" s="81"/>
      <c r="CG107" s="81"/>
      <c r="CH107" s="81"/>
      <c r="CI107" s="81"/>
      <c r="CJ107" s="81"/>
      <c r="CK107" s="81"/>
      <c r="CL107" s="81"/>
      <c r="CM107" s="81"/>
      <c r="CN107" s="81"/>
      <c r="CO107" s="81"/>
      <c r="CP107" s="81"/>
      <c r="CQ107" s="81"/>
      <c r="CR107" s="81"/>
      <c r="CS107" s="81"/>
      <c r="CT107" s="81"/>
      <c r="CU107" s="81"/>
      <c r="CV107" s="81"/>
      <c r="CW107" s="81"/>
      <c r="CX107" s="81"/>
      <c r="CY107" s="81"/>
      <c r="CZ107" s="81"/>
      <c r="DA107" s="81"/>
      <c r="DB107" s="81"/>
      <c r="DC107" s="81"/>
      <c r="DD107" s="81"/>
      <c r="DE107" s="81"/>
      <c r="DF107" s="81"/>
      <c r="DG107" s="81"/>
      <c r="DH107" s="81"/>
      <c r="DI107" s="81"/>
      <c r="DJ107" s="81"/>
      <c r="DK107" s="81"/>
      <c r="DL107" s="81"/>
      <c r="DM107" s="81"/>
      <c r="DN107" s="81"/>
      <c r="DO107" s="81"/>
      <c r="DP107" s="81"/>
      <c r="DQ107" s="81"/>
      <c r="DR107" s="81"/>
      <c r="DS107" s="81"/>
      <c r="DT107" s="81"/>
      <c r="DU107" s="81"/>
      <c r="DV107" s="81"/>
      <c r="DW107" s="81"/>
      <c r="DX107" s="81"/>
      <c r="DY107" s="81"/>
      <c r="DZ107" s="81"/>
      <c r="EA107" s="81"/>
      <c r="EB107" s="81"/>
      <c r="EC107" s="81"/>
      <c r="ED107" s="81"/>
      <c r="EE107" s="81"/>
      <c r="EF107" s="81"/>
      <c r="EG107" s="81"/>
      <c r="EH107" s="81"/>
      <c r="EI107" s="81"/>
      <c r="EJ107" s="81"/>
      <c r="EK107" s="81"/>
      <c r="EL107" s="81"/>
      <c r="EM107" s="81"/>
      <c r="EN107" s="81"/>
      <c r="EO107" s="81"/>
      <c r="EP107" s="81"/>
      <c r="EQ107" s="81"/>
      <c r="ER107" s="81"/>
      <c r="ES107" s="81"/>
      <c r="ET107" s="81"/>
      <c r="EU107" s="81"/>
      <c r="EV107" s="81"/>
      <c r="EW107" s="81"/>
      <c r="EX107" s="81"/>
      <c r="EY107" s="81"/>
      <c r="EZ107" s="81"/>
      <c r="FA107" s="81"/>
      <c r="FB107" s="81"/>
      <c r="FC107" s="88">
        <v>1.914605889068427</v>
      </c>
      <c r="FD107" s="88">
        <v>1.9206721521291119</v>
      </c>
      <c r="FE107" s="88">
        <v>1.7423894287524444</v>
      </c>
      <c r="FF107" s="88">
        <v>1.6193722539598125</v>
      </c>
      <c r="FG107" s="88">
        <v>1.1644046545528235</v>
      </c>
      <c r="FH107" s="88">
        <v>0.3413223354886224</v>
      </c>
      <c r="FI107" s="88">
        <v>0.49473734951802928</v>
      </c>
      <c r="FJ107" s="88">
        <v>0.5839737246487372</v>
      </c>
      <c r="FK107" s="88">
        <v>0.5438954951305135</v>
      </c>
      <c r="FL107" s="88">
        <v>0.7628582624593141</v>
      </c>
      <c r="FM107" s="81"/>
      <c r="FN107" s="81"/>
      <c r="FO107" s="81"/>
      <c r="FP107" s="81"/>
      <c r="FQ107" s="81"/>
      <c r="FR107" s="81"/>
      <c r="FS107" s="81"/>
      <c r="FT107" s="81"/>
      <c r="FU107" s="81">
        <v>3.5073688252761936</v>
      </c>
      <c r="FV107" s="81">
        <v>18.02561033282517</v>
      </c>
      <c r="FW107" s="81"/>
      <c r="FX107" s="86"/>
      <c r="FY107" s="81"/>
      <c r="FZ107" s="81"/>
      <c r="GA107" s="81"/>
      <c r="GB107" s="81"/>
      <c r="GC107" s="81"/>
      <c r="GD107" s="81"/>
      <c r="GE107" s="81"/>
      <c r="GF107" s="81"/>
      <c r="GG107" s="81"/>
      <c r="GH107" s="81"/>
    </row>
    <row r="108" spans="1:190" x14ac:dyDescent="0.2">
      <c r="A108" s="82" t="s">
        <v>427</v>
      </c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>
        <v>3.3326657548372947E-2</v>
      </c>
      <c r="AC108" s="81"/>
      <c r="AD108" s="81"/>
      <c r="AE108" s="81"/>
      <c r="AF108" s="81"/>
      <c r="AG108" s="81"/>
      <c r="AH108" s="81"/>
      <c r="AI108" s="81"/>
      <c r="AJ108" s="81"/>
      <c r="AK108" s="81">
        <v>8.9060499580702981</v>
      </c>
      <c r="AL108" s="81"/>
      <c r="AM108" s="81"/>
      <c r="AN108" s="81"/>
      <c r="AO108" s="81"/>
      <c r="AP108" s="81">
        <v>1.0461110727517885E-2</v>
      </c>
      <c r="AQ108" s="81"/>
      <c r="AR108" s="81"/>
      <c r="AS108" s="81"/>
      <c r="AT108" s="81"/>
      <c r="AU108" s="81"/>
      <c r="AV108" s="81"/>
      <c r="AW108" s="81"/>
      <c r="AX108" s="81"/>
      <c r="AY108" s="81"/>
      <c r="AZ108" s="81"/>
      <c r="BA108" s="81"/>
      <c r="BB108" s="81"/>
      <c r="BC108" s="81"/>
      <c r="BD108" s="81"/>
      <c r="BE108" s="81"/>
      <c r="BF108" s="81"/>
      <c r="BG108" s="81"/>
      <c r="BH108" s="81"/>
      <c r="BI108" s="81"/>
      <c r="BJ108" s="81"/>
      <c r="BK108" s="81"/>
      <c r="BL108" s="81"/>
      <c r="BM108" s="81"/>
      <c r="BN108" s="81"/>
      <c r="BO108" s="81"/>
      <c r="BP108" s="81"/>
      <c r="BQ108" s="81"/>
      <c r="BR108" s="81"/>
      <c r="BS108" s="81"/>
      <c r="BT108" s="81"/>
      <c r="BU108" s="81"/>
      <c r="BV108" s="81"/>
      <c r="BW108" s="81"/>
      <c r="BX108" s="81"/>
      <c r="BY108" s="81"/>
      <c r="BZ108" s="81"/>
      <c r="CA108" s="81"/>
      <c r="CB108" s="81"/>
      <c r="CC108" s="81"/>
      <c r="CD108" s="81"/>
      <c r="CE108" s="81"/>
      <c r="CF108" s="81"/>
      <c r="CG108" s="81"/>
      <c r="CH108" s="81"/>
      <c r="CI108" s="81"/>
      <c r="CJ108" s="81"/>
      <c r="CK108" s="81"/>
      <c r="CL108" s="81"/>
      <c r="CM108" s="81"/>
      <c r="CN108" s="81"/>
      <c r="CO108" s="81"/>
      <c r="CP108" s="81"/>
      <c r="CQ108" s="81"/>
      <c r="CR108" s="81"/>
      <c r="CS108" s="81"/>
      <c r="CT108" s="81"/>
      <c r="CU108" s="81"/>
      <c r="CV108" s="81"/>
      <c r="CW108" s="81"/>
      <c r="CX108" s="81"/>
      <c r="CY108" s="81"/>
      <c r="CZ108" s="81"/>
      <c r="DA108" s="81"/>
      <c r="DB108" s="81"/>
      <c r="DC108" s="81"/>
      <c r="DD108" s="81"/>
      <c r="DE108" s="81"/>
      <c r="DF108" s="81"/>
      <c r="DG108" s="81"/>
      <c r="DH108" s="81"/>
      <c r="DI108" s="81"/>
      <c r="DJ108" s="81"/>
      <c r="DK108" s="81"/>
      <c r="DL108" s="81"/>
      <c r="DM108" s="81"/>
      <c r="DN108" s="81"/>
      <c r="DO108" s="81"/>
      <c r="DP108" s="81"/>
      <c r="DQ108" s="81"/>
      <c r="DR108" s="81"/>
      <c r="DS108" s="81"/>
      <c r="DT108" s="81"/>
      <c r="DU108" s="81"/>
      <c r="DV108" s="81"/>
      <c r="DW108" s="81"/>
      <c r="DX108" s="81"/>
      <c r="DY108" s="81"/>
      <c r="DZ108" s="81"/>
      <c r="EA108" s="81"/>
      <c r="EB108" s="81"/>
      <c r="EC108" s="81"/>
      <c r="ED108" s="81"/>
      <c r="EE108" s="81"/>
      <c r="EF108" s="81"/>
      <c r="EG108" s="81"/>
      <c r="EH108" s="81"/>
      <c r="EI108" s="81"/>
      <c r="EJ108" s="81"/>
      <c r="EK108" s="81"/>
      <c r="EL108" s="81"/>
      <c r="EM108" s="81"/>
      <c r="EN108" s="81"/>
      <c r="EO108" s="81"/>
      <c r="EP108" s="81"/>
      <c r="EQ108" s="81"/>
      <c r="ER108" s="81"/>
      <c r="ES108" s="81"/>
      <c r="ET108" s="81"/>
      <c r="EU108" s="81"/>
      <c r="EV108" s="81"/>
      <c r="EW108" s="81"/>
      <c r="EX108" s="81"/>
      <c r="EY108" s="81"/>
      <c r="EZ108" s="81"/>
      <c r="FA108" s="81"/>
      <c r="FB108" s="81"/>
      <c r="FC108" s="88">
        <v>4.3654190636519636E-3</v>
      </c>
      <c r="FD108" s="88">
        <v>4.3789938636110423E-3</v>
      </c>
      <c r="FE108" s="88">
        <v>3.9724057520551161E-3</v>
      </c>
      <c r="FF108" s="88">
        <v>3.6918188546900912E-3</v>
      </c>
      <c r="FG108" s="88">
        <v>2.6544567505847284E-3</v>
      </c>
      <c r="FH108" s="88">
        <v>7.781791568185532E-4</v>
      </c>
      <c r="FI108" s="88">
        <v>1.1279392643616726E-3</v>
      </c>
      <c r="FJ108" s="88">
        <v>1.3313808884067556E-3</v>
      </c>
      <c r="FK108" s="88">
        <v>1.2399995131330123E-3</v>
      </c>
      <c r="FL108" s="88">
        <v>1.7391328847747409E-3</v>
      </c>
      <c r="FM108" s="81"/>
      <c r="FN108" s="81"/>
      <c r="FO108" s="81"/>
      <c r="FP108" s="81"/>
      <c r="FQ108" s="81"/>
      <c r="FR108" s="81"/>
      <c r="FS108" s="81"/>
      <c r="FT108" s="81"/>
      <c r="FU108" s="81">
        <v>2.1435778852779516E-2</v>
      </c>
      <c r="FV108" s="81">
        <v>8.9965532311910561</v>
      </c>
      <c r="FW108" s="81"/>
      <c r="FX108" s="86"/>
      <c r="FY108" s="81"/>
      <c r="FZ108" s="81"/>
      <c r="GA108" s="81"/>
      <c r="GB108" s="81"/>
      <c r="GC108" s="81"/>
      <c r="GD108" s="81"/>
      <c r="GE108" s="81"/>
      <c r="GF108" s="81"/>
      <c r="GG108" s="81"/>
      <c r="GH108" s="81"/>
    </row>
    <row r="109" spans="1:190" x14ac:dyDescent="0.2">
      <c r="A109" s="82" t="s">
        <v>428</v>
      </c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81"/>
      <c r="AK109" s="81"/>
      <c r="AL109" s="81"/>
      <c r="AM109" s="81"/>
      <c r="AN109" s="81"/>
      <c r="AO109" s="81"/>
      <c r="AP109" s="81"/>
      <c r="AQ109" s="81"/>
      <c r="AR109" s="81"/>
      <c r="AS109" s="81"/>
      <c r="AT109" s="81"/>
      <c r="AU109" s="81"/>
      <c r="AV109" s="81"/>
      <c r="AW109" s="81"/>
      <c r="AX109" s="81"/>
      <c r="AY109" s="81"/>
      <c r="AZ109" s="81"/>
      <c r="BA109" s="81"/>
      <c r="BB109" s="81"/>
      <c r="BC109" s="81"/>
      <c r="BD109" s="81"/>
      <c r="BE109" s="81"/>
      <c r="BF109" s="81"/>
      <c r="BG109" s="81"/>
      <c r="BH109" s="81"/>
      <c r="BI109" s="81"/>
      <c r="BJ109" s="81"/>
      <c r="BK109" s="81"/>
      <c r="BL109" s="81"/>
      <c r="BM109" s="81"/>
      <c r="BN109" s="81"/>
      <c r="BO109" s="81"/>
      <c r="BP109" s="81"/>
      <c r="BQ109" s="81"/>
      <c r="BR109" s="81"/>
      <c r="BS109" s="81"/>
      <c r="BT109" s="81"/>
      <c r="BU109" s="81"/>
      <c r="BV109" s="81"/>
      <c r="BW109" s="81"/>
      <c r="BX109" s="81"/>
      <c r="BY109" s="81"/>
      <c r="BZ109" s="81"/>
      <c r="CA109" s="81"/>
      <c r="CB109" s="81"/>
      <c r="CC109" s="81"/>
      <c r="CD109" s="81"/>
      <c r="CE109" s="81"/>
      <c r="CF109" s="81"/>
      <c r="CG109" s="81"/>
      <c r="CH109" s="81"/>
      <c r="CI109" s="81"/>
      <c r="CJ109" s="81"/>
      <c r="CK109" s="81"/>
      <c r="CL109" s="81"/>
      <c r="CM109" s="81"/>
      <c r="CN109" s="81"/>
      <c r="CO109" s="81"/>
      <c r="CP109" s="81"/>
      <c r="CQ109" s="81"/>
      <c r="CR109" s="81"/>
      <c r="CS109" s="81"/>
      <c r="CT109" s="81"/>
      <c r="CU109" s="81"/>
      <c r="CV109" s="81"/>
      <c r="CW109" s="81"/>
      <c r="CX109" s="81"/>
      <c r="CY109" s="81"/>
      <c r="CZ109" s="81"/>
      <c r="DA109" s="81"/>
      <c r="DB109" s="81"/>
      <c r="DC109" s="81"/>
      <c r="DD109" s="81"/>
      <c r="DE109" s="81"/>
      <c r="DF109" s="81"/>
      <c r="DG109" s="81"/>
      <c r="DH109" s="81"/>
      <c r="DI109" s="81"/>
      <c r="DJ109" s="81"/>
      <c r="DK109" s="81"/>
      <c r="DL109" s="81"/>
      <c r="DM109" s="81"/>
      <c r="DN109" s="81"/>
      <c r="DO109" s="81"/>
      <c r="DP109" s="81"/>
      <c r="DQ109" s="81"/>
      <c r="DR109" s="81"/>
      <c r="DS109" s="81"/>
      <c r="DT109" s="81"/>
      <c r="DU109" s="81"/>
      <c r="DV109" s="81"/>
      <c r="DW109" s="81"/>
      <c r="DX109" s="81"/>
      <c r="DY109" s="81"/>
      <c r="DZ109" s="81"/>
      <c r="EA109" s="81"/>
      <c r="EB109" s="81"/>
      <c r="EC109" s="81"/>
      <c r="ED109" s="81"/>
      <c r="EE109" s="81"/>
      <c r="EF109" s="81"/>
      <c r="EG109" s="81"/>
      <c r="EH109" s="81"/>
      <c r="EI109" s="81"/>
      <c r="EJ109" s="81"/>
      <c r="EK109" s="81"/>
      <c r="EL109" s="81"/>
      <c r="EM109" s="81"/>
      <c r="EN109" s="81"/>
      <c r="EO109" s="81"/>
      <c r="EP109" s="81"/>
      <c r="EQ109" s="81"/>
      <c r="ER109" s="81"/>
      <c r="ES109" s="81"/>
      <c r="ET109" s="81"/>
      <c r="EU109" s="81"/>
      <c r="EV109" s="81"/>
      <c r="EW109" s="81"/>
      <c r="EX109" s="81"/>
      <c r="EY109" s="81"/>
      <c r="EZ109" s="81"/>
      <c r="FA109" s="81"/>
      <c r="FB109" s="81"/>
      <c r="FC109" s="88">
        <v>7.0059951891905126</v>
      </c>
      <c r="FD109" s="88">
        <v>7.5731387292840786</v>
      </c>
      <c r="FE109" s="88">
        <v>7.2200126075128823</v>
      </c>
      <c r="FF109" s="88">
        <v>7.6957645764637244</v>
      </c>
      <c r="FG109" s="88">
        <v>6.525726679406552</v>
      </c>
      <c r="FH109" s="88">
        <v>2.2834250730435035</v>
      </c>
      <c r="FI109" s="88">
        <v>2.8301043758954538</v>
      </c>
      <c r="FJ109" s="88">
        <v>3.6766676265955565</v>
      </c>
      <c r="FK109" s="88">
        <v>4.4544789581168382</v>
      </c>
      <c r="FL109" s="88">
        <v>6.791459638949279</v>
      </c>
      <c r="FM109" s="81"/>
      <c r="FN109" s="81"/>
      <c r="FO109" s="81"/>
      <c r="FP109" s="81"/>
      <c r="FQ109" s="81"/>
      <c r="FR109" s="81"/>
      <c r="FS109" s="81"/>
      <c r="FT109" s="81"/>
      <c r="FU109" s="81">
        <v>2.6066594192162555</v>
      </c>
      <c r="FV109" s="81">
        <v>58.663432873674637</v>
      </c>
      <c r="FW109" s="81"/>
      <c r="FX109" s="86"/>
      <c r="FY109" s="81"/>
      <c r="FZ109" s="81"/>
      <c r="GA109" s="81"/>
      <c r="GB109" s="81"/>
      <c r="GC109" s="81"/>
      <c r="GD109" s="81"/>
      <c r="GE109" s="81"/>
      <c r="GF109" s="81"/>
      <c r="GG109" s="81"/>
      <c r="GH109" s="81"/>
    </row>
    <row r="110" spans="1:190" x14ac:dyDescent="0.2">
      <c r="A110" s="82" t="s">
        <v>429</v>
      </c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>
        <v>2.2902081542995788E-2</v>
      </c>
      <c r="AC110" s="81">
        <v>1.3597204124112534E-2</v>
      </c>
      <c r="AD110" s="81">
        <v>3.6185186751893514E-2</v>
      </c>
      <c r="AE110" s="81"/>
      <c r="AF110" s="81"/>
      <c r="AG110" s="81"/>
      <c r="AH110" s="81"/>
      <c r="AI110" s="81"/>
      <c r="AJ110" s="81">
        <v>4.6064927432430042E-2</v>
      </c>
      <c r="AK110" s="81">
        <v>0.11990637941431376</v>
      </c>
      <c r="AL110" s="81"/>
      <c r="AM110" s="81">
        <v>6.4190718968412372E-2</v>
      </c>
      <c r="AN110" s="81"/>
      <c r="AO110" s="81"/>
      <c r="AP110" s="81"/>
      <c r="AQ110" s="81"/>
      <c r="AR110" s="81">
        <v>4.0347585975681721E-2</v>
      </c>
      <c r="AS110" s="81"/>
      <c r="AT110" s="81"/>
      <c r="AU110" s="81"/>
      <c r="AV110" s="81"/>
      <c r="AW110" s="81"/>
      <c r="AX110" s="81"/>
      <c r="AY110" s="81"/>
      <c r="AZ110" s="81"/>
      <c r="BA110" s="81"/>
      <c r="BB110" s="81"/>
      <c r="BC110" s="81"/>
      <c r="BD110" s="81"/>
      <c r="BE110" s="81"/>
      <c r="BF110" s="81"/>
      <c r="BG110" s="81"/>
      <c r="BH110" s="81"/>
      <c r="BI110" s="81"/>
      <c r="BJ110" s="81"/>
      <c r="BK110" s="81"/>
      <c r="BL110" s="81"/>
      <c r="BM110" s="81"/>
      <c r="BN110" s="81"/>
      <c r="BO110" s="81"/>
      <c r="BP110" s="81"/>
      <c r="BQ110" s="81">
        <v>0.14457404496816298</v>
      </c>
      <c r="BR110" s="81"/>
      <c r="BS110" s="81"/>
      <c r="BT110" s="81"/>
      <c r="BU110" s="81"/>
      <c r="BV110" s="81"/>
      <c r="BW110" s="81"/>
      <c r="BX110" s="81"/>
      <c r="BY110" s="81"/>
      <c r="BZ110" s="81"/>
      <c r="CA110" s="81"/>
      <c r="CB110" s="81"/>
      <c r="CC110" s="81"/>
      <c r="CD110" s="81"/>
      <c r="CE110" s="81"/>
      <c r="CF110" s="81"/>
      <c r="CG110" s="81"/>
      <c r="CH110" s="81"/>
      <c r="CI110" s="81"/>
      <c r="CJ110" s="81"/>
      <c r="CK110" s="81"/>
      <c r="CL110" s="81"/>
      <c r="CM110" s="81"/>
      <c r="CN110" s="81"/>
      <c r="CO110" s="81"/>
      <c r="CP110" s="81"/>
      <c r="CQ110" s="81"/>
      <c r="CR110" s="81"/>
      <c r="CS110" s="81"/>
      <c r="CT110" s="81"/>
      <c r="CU110" s="81"/>
      <c r="CV110" s="81"/>
      <c r="CW110" s="81"/>
      <c r="CX110" s="81"/>
      <c r="CY110" s="81"/>
      <c r="CZ110" s="81"/>
      <c r="DA110" s="81"/>
      <c r="DB110" s="81"/>
      <c r="DC110" s="81"/>
      <c r="DD110" s="81"/>
      <c r="DE110" s="81"/>
      <c r="DF110" s="81"/>
      <c r="DG110" s="81"/>
      <c r="DH110" s="81"/>
      <c r="DI110" s="81"/>
      <c r="DJ110" s="81"/>
      <c r="DK110" s="81"/>
      <c r="DL110" s="81"/>
      <c r="DM110" s="81"/>
      <c r="DN110" s="81"/>
      <c r="DO110" s="81"/>
      <c r="DP110" s="81"/>
      <c r="DQ110" s="81"/>
      <c r="DR110" s="81"/>
      <c r="DS110" s="81"/>
      <c r="DT110" s="81"/>
      <c r="DU110" s="81"/>
      <c r="DV110" s="81"/>
      <c r="DW110" s="81"/>
      <c r="DX110" s="81"/>
      <c r="DY110" s="81"/>
      <c r="DZ110" s="81"/>
      <c r="EA110" s="81"/>
      <c r="EB110" s="81"/>
      <c r="EC110" s="81"/>
      <c r="ED110" s="81"/>
      <c r="EE110" s="81"/>
      <c r="EF110" s="81"/>
      <c r="EG110" s="81"/>
      <c r="EH110" s="81"/>
      <c r="EI110" s="81"/>
      <c r="EJ110" s="81"/>
      <c r="EK110" s="81"/>
      <c r="EL110" s="81"/>
      <c r="EM110" s="81"/>
      <c r="EN110" s="81"/>
      <c r="EO110" s="81"/>
      <c r="EP110" s="81"/>
      <c r="EQ110" s="81"/>
      <c r="ER110" s="81"/>
      <c r="ES110" s="81"/>
      <c r="ET110" s="81"/>
      <c r="EU110" s="81"/>
      <c r="EV110" s="81"/>
      <c r="EW110" s="81"/>
      <c r="EX110" s="81"/>
      <c r="EY110" s="81"/>
      <c r="EZ110" s="81"/>
      <c r="FA110" s="81"/>
      <c r="FB110" s="81"/>
      <c r="FC110" s="88">
        <v>13.629838284405013</v>
      </c>
      <c r="FD110" s="88">
        <v>16.844829590729613</v>
      </c>
      <c r="FE110" s="88">
        <v>18.034004020626284</v>
      </c>
      <c r="FF110" s="88">
        <v>19.967502542342835</v>
      </c>
      <c r="FG110" s="88">
        <v>17.986498978270685</v>
      </c>
      <c r="FH110" s="88">
        <v>7.4509970534166579</v>
      </c>
      <c r="FI110" s="88">
        <v>10.191182034932073</v>
      </c>
      <c r="FJ110" s="88">
        <v>13.974753862020481</v>
      </c>
      <c r="FK110" s="88">
        <v>18.398224620275116</v>
      </c>
      <c r="FL110" s="88">
        <v>41.602793055247915</v>
      </c>
      <c r="FM110" s="81"/>
      <c r="FN110" s="81"/>
      <c r="FO110" s="81"/>
      <c r="FP110" s="81"/>
      <c r="FQ110" s="81"/>
      <c r="FR110" s="81"/>
      <c r="FS110" s="81"/>
      <c r="FT110" s="81">
        <v>8.1358278886315555E-2</v>
      </c>
      <c r="FU110" s="81">
        <v>12.51684082770776</v>
      </c>
      <c r="FV110" s="81">
        <v>191.16659127803874</v>
      </c>
      <c r="FW110" s="81"/>
      <c r="FX110" s="86"/>
      <c r="FY110" s="81"/>
      <c r="FZ110" s="81"/>
      <c r="GA110" s="81"/>
      <c r="GB110" s="81"/>
      <c r="GC110" s="81"/>
      <c r="GD110" s="81"/>
      <c r="GE110" s="81"/>
      <c r="GF110" s="81"/>
      <c r="GG110" s="81"/>
      <c r="GH110" s="81"/>
    </row>
    <row r="111" spans="1:190" x14ac:dyDescent="0.2">
      <c r="A111" s="82" t="s">
        <v>430</v>
      </c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>
        <v>3.7726797692968659</v>
      </c>
      <c r="Q111" s="81">
        <v>2.1082506443684115</v>
      </c>
      <c r="R111" s="81">
        <v>15.21009836385549</v>
      </c>
      <c r="S111" s="81">
        <v>0.39964352219929322</v>
      </c>
      <c r="T111" s="81"/>
      <c r="U111" s="81"/>
      <c r="V111" s="81">
        <v>2.834686622291589</v>
      </c>
      <c r="W111" s="81"/>
      <c r="X111" s="81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  <c r="AI111" s="81"/>
      <c r="AJ111" s="81"/>
      <c r="AK111" s="81"/>
      <c r="AL111" s="81"/>
      <c r="AM111" s="81"/>
      <c r="AN111" s="81"/>
      <c r="AO111" s="81"/>
      <c r="AP111" s="81"/>
      <c r="AQ111" s="81"/>
      <c r="AR111" s="81"/>
      <c r="AS111" s="81"/>
      <c r="AT111" s="81"/>
      <c r="AU111" s="81"/>
      <c r="AV111" s="81"/>
      <c r="AW111" s="81"/>
      <c r="AX111" s="81"/>
      <c r="AY111" s="81"/>
      <c r="AZ111" s="81"/>
      <c r="BA111" s="81"/>
      <c r="BB111" s="81"/>
      <c r="BC111" s="81"/>
      <c r="BD111" s="81"/>
      <c r="BE111" s="81"/>
      <c r="BF111" s="81"/>
      <c r="BG111" s="81"/>
      <c r="BH111" s="81"/>
      <c r="BI111" s="81"/>
      <c r="BJ111" s="81"/>
      <c r="BK111" s="81"/>
      <c r="BL111" s="81"/>
      <c r="BM111" s="81"/>
      <c r="BN111" s="81"/>
      <c r="BO111" s="81"/>
      <c r="BP111" s="81"/>
      <c r="BQ111" s="81"/>
      <c r="BR111" s="81"/>
      <c r="BS111" s="81"/>
      <c r="BT111" s="81"/>
      <c r="BU111" s="81"/>
      <c r="BV111" s="81"/>
      <c r="BW111" s="81"/>
      <c r="BX111" s="81"/>
      <c r="BY111" s="81"/>
      <c r="BZ111" s="81"/>
      <c r="CA111" s="81"/>
      <c r="CB111" s="81"/>
      <c r="CC111" s="81"/>
      <c r="CD111" s="81"/>
      <c r="CE111" s="81"/>
      <c r="CF111" s="81"/>
      <c r="CG111" s="81"/>
      <c r="CH111" s="81"/>
      <c r="CI111" s="81"/>
      <c r="CJ111" s="81"/>
      <c r="CK111" s="81"/>
      <c r="CL111" s="81"/>
      <c r="CM111" s="81"/>
      <c r="CN111" s="81"/>
      <c r="CO111" s="81"/>
      <c r="CP111" s="81"/>
      <c r="CQ111" s="81"/>
      <c r="CR111" s="81"/>
      <c r="CS111" s="81"/>
      <c r="CT111" s="81"/>
      <c r="CU111" s="81"/>
      <c r="CV111" s="81"/>
      <c r="CW111" s="81"/>
      <c r="CX111" s="81"/>
      <c r="CY111" s="81"/>
      <c r="CZ111" s="81"/>
      <c r="DA111" s="81"/>
      <c r="DB111" s="81"/>
      <c r="DC111" s="81"/>
      <c r="DD111" s="81"/>
      <c r="DE111" s="81"/>
      <c r="DF111" s="81"/>
      <c r="DG111" s="81"/>
      <c r="DH111" s="81"/>
      <c r="DI111" s="81"/>
      <c r="DJ111" s="81"/>
      <c r="DK111" s="81"/>
      <c r="DL111" s="81"/>
      <c r="DM111" s="81"/>
      <c r="DN111" s="81"/>
      <c r="DO111" s="81"/>
      <c r="DP111" s="81"/>
      <c r="DQ111" s="81"/>
      <c r="DR111" s="81"/>
      <c r="DS111" s="81"/>
      <c r="DT111" s="81"/>
      <c r="DU111" s="81"/>
      <c r="DV111" s="81"/>
      <c r="DW111" s="81"/>
      <c r="DX111" s="81"/>
      <c r="DY111" s="81"/>
      <c r="DZ111" s="81"/>
      <c r="EA111" s="81"/>
      <c r="EB111" s="81"/>
      <c r="EC111" s="81"/>
      <c r="ED111" s="81"/>
      <c r="EE111" s="81"/>
      <c r="EF111" s="81"/>
      <c r="EG111" s="81"/>
      <c r="EH111" s="81"/>
      <c r="EI111" s="81"/>
      <c r="EJ111" s="81"/>
      <c r="EK111" s="81"/>
      <c r="EL111" s="81"/>
      <c r="EM111" s="81"/>
      <c r="EN111" s="81"/>
      <c r="EO111" s="81"/>
      <c r="EP111" s="81"/>
      <c r="EQ111" s="81"/>
      <c r="ER111" s="81"/>
      <c r="ES111" s="81"/>
      <c r="ET111" s="81"/>
      <c r="EU111" s="81"/>
      <c r="EV111" s="81"/>
      <c r="EW111" s="81"/>
      <c r="EX111" s="81"/>
      <c r="EY111" s="81"/>
      <c r="EZ111" s="81"/>
      <c r="FA111" s="81"/>
      <c r="FB111" s="81"/>
      <c r="FC111" s="88"/>
      <c r="FD111" s="88"/>
      <c r="FE111" s="88"/>
      <c r="FF111" s="88"/>
      <c r="FG111" s="88"/>
      <c r="FH111" s="88"/>
      <c r="FI111" s="88"/>
      <c r="FJ111" s="88"/>
      <c r="FK111" s="88"/>
      <c r="FL111" s="88"/>
      <c r="FM111" s="81"/>
      <c r="FN111" s="81"/>
      <c r="FO111" s="81"/>
      <c r="FP111" s="81"/>
      <c r="FQ111" s="81"/>
      <c r="FR111" s="81"/>
      <c r="FS111" s="81"/>
      <c r="FT111" s="81">
        <v>0.4401657596614893</v>
      </c>
      <c r="FU111" s="81">
        <v>0.27089421234739691</v>
      </c>
      <c r="FV111" s="81">
        <v>25.036418894020539</v>
      </c>
      <c r="FW111" s="81"/>
      <c r="FX111" s="86"/>
      <c r="FY111" s="81"/>
      <c r="FZ111" s="81"/>
      <c r="GA111" s="81"/>
      <c r="GB111" s="81"/>
      <c r="GC111" s="81"/>
      <c r="GD111" s="81"/>
      <c r="GE111" s="81"/>
      <c r="GF111" s="81"/>
      <c r="GG111" s="81"/>
      <c r="GH111" s="81"/>
    </row>
    <row r="112" spans="1:190" x14ac:dyDescent="0.2">
      <c r="A112" s="82" t="s">
        <v>431</v>
      </c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  <c r="AI112" s="81"/>
      <c r="AJ112" s="81"/>
      <c r="AK112" s="81"/>
      <c r="AL112" s="81"/>
      <c r="AM112" s="81">
        <v>0.1223018743271075</v>
      </c>
      <c r="AN112" s="81"/>
      <c r="AO112" s="81">
        <v>3.651949757332758E-3</v>
      </c>
      <c r="AP112" s="81">
        <v>2.0009024725593006E-2</v>
      </c>
      <c r="AQ112" s="81"/>
      <c r="AR112" s="81">
        <v>0.19886119703587812</v>
      </c>
      <c r="AS112" s="81">
        <v>2.0402043676849735E-3</v>
      </c>
      <c r="AT112" s="81">
        <v>1.8441628637728035E-2</v>
      </c>
      <c r="AU112" s="81"/>
      <c r="AV112" s="81"/>
      <c r="AW112" s="81"/>
      <c r="AX112" s="81">
        <v>2.5131714255451073E-2</v>
      </c>
      <c r="AY112" s="81"/>
      <c r="AZ112" s="81">
        <v>1.4899615334768666E-2</v>
      </c>
      <c r="BA112" s="81"/>
      <c r="BB112" s="81"/>
      <c r="BC112" s="81">
        <v>1.1044856311956057E-2</v>
      </c>
      <c r="BD112" s="81"/>
      <c r="BE112" s="81"/>
      <c r="BF112" s="81"/>
      <c r="BG112" s="81"/>
      <c r="BH112" s="81"/>
      <c r="BI112" s="81">
        <v>2.291309915980519</v>
      </c>
      <c r="BJ112" s="81">
        <v>7.2107022225268809</v>
      </c>
      <c r="BK112" s="81"/>
      <c r="BL112" s="81"/>
      <c r="BM112" s="81"/>
      <c r="BN112" s="81"/>
      <c r="BO112" s="81"/>
      <c r="BP112" s="81"/>
      <c r="BQ112" s="81">
        <v>0.27300564713876418</v>
      </c>
      <c r="BR112" s="81"/>
      <c r="BS112" s="81"/>
      <c r="BT112" s="81"/>
      <c r="BU112" s="81"/>
      <c r="BV112" s="81"/>
      <c r="BW112" s="81"/>
      <c r="BX112" s="81"/>
      <c r="BY112" s="81"/>
      <c r="BZ112" s="81"/>
      <c r="CA112" s="81"/>
      <c r="CB112" s="81"/>
      <c r="CC112" s="81"/>
      <c r="CD112" s="81"/>
      <c r="CE112" s="81"/>
      <c r="CF112" s="81"/>
      <c r="CG112" s="81"/>
      <c r="CH112" s="81"/>
      <c r="CI112" s="81"/>
      <c r="CJ112" s="81"/>
      <c r="CK112" s="81"/>
      <c r="CL112" s="81"/>
      <c r="CM112" s="81"/>
      <c r="CN112" s="81"/>
      <c r="CO112" s="81"/>
      <c r="CP112" s="81"/>
      <c r="CQ112" s="81"/>
      <c r="CR112" s="81"/>
      <c r="CS112" s="81"/>
      <c r="CT112" s="81"/>
      <c r="CU112" s="81"/>
      <c r="CV112" s="81"/>
      <c r="CW112" s="81"/>
      <c r="CX112" s="81"/>
      <c r="CY112" s="81"/>
      <c r="CZ112" s="81"/>
      <c r="DA112" s="81"/>
      <c r="DB112" s="81"/>
      <c r="DC112" s="81"/>
      <c r="DD112" s="81"/>
      <c r="DE112" s="81"/>
      <c r="DF112" s="81"/>
      <c r="DG112" s="81"/>
      <c r="DH112" s="81"/>
      <c r="DI112" s="81"/>
      <c r="DJ112" s="81"/>
      <c r="DK112" s="81"/>
      <c r="DL112" s="81"/>
      <c r="DM112" s="81"/>
      <c r="DN112" s="81"/>
      <c r="DO112" s="81"/>
      <c r="DP112" s="81"/>
      <c r="DQ112" s="81"/>
      <c r="DR112" s="81"/>
      <c r="DS112" s="81"/>
      <c r="DT112" s="81"/>
      <c r="DU112" s="81"/>
      <c r="DV112" s="81"/>
      <c r="DW112" s="81"/>
      <c r="DX112" s="81"/>
      <c r="DY112" s="81"/>
      <c r="DZ112" s="81"/>
      <c r="EA112" s="81"/>
      <c r="EB112" s="81"/>
      <c r="EC112" s="81"/>
      <c r="ED112" s="81"/>
      <c r="EE112" s="81"/>
      <c r="EF112" s="81"/>
      <c r="EG112" s="81"/>
      <c r="EH112" s="81"/>
      <c r="EI112" s="81"/>
      <c r="EJ112" s="81"/>
      <c r="EK112" s="81"/>
      <c r="EL112" s="81"/>
      <c r="EM112" s="81"/>
      <c r="EN112" s="81"/>
      <c r="EO112" s="81"/>
      <c r="EP112" s="81"/>
      <c r="EQ112" s="81"/>
      <c r="ER112" s="81"/>
      <c r="ES112" s="81"/>
      <c r="ET112" s="81"/>
      <c r="EU112" s="81"/>
      <c r="EV112" s="81"/>
      <c r="EW112" s="81"/>
      <c r="EX112" s="81"/>
      <c r="EY112" s="81"/>
      <c r="EZ112" s="81"/>
      <c r="FA112" s="81"/>
      <c r="FB112" s="81"/>
      <c r="FC112" s="88">
        <v>0.40862417196005713</v>
      </c>
      <c r="FD112" s="88">
        <v>0.6559619609713393</v>
      </c>
      <c r="FE112" s="88">
        <v>0.85292490437739155</v>
      </c>
      <c r="FF112" s="88">
        <v>1.0890710875797249</v>
      </c>
      <c r="FG112" s="88">
        <v>1.377316938513935</v>
      </c>
      <c r="FH112" s="88">
        <v>0.21489839013795517</v>
      </c>
      <c r="FI112" s="88">
        <v>0.41321136608017794</v>
      </c>
      <c r="FJ112" s="88">
        <v>0.72397167229602177</v>
      </c>
      <c r="FK112" s="88">
        <v>1.1037324271093589</v>
      </c>
      <c r="FL112" s="88">
        <v>4.110702098901589</v>
      </c>
      <c r="FM112" s="81"/>
      <c r="FN112" s="81"/>
      <c r="FO112" s="81"/>
      <c r="FP112" s="81"/>
      <c r="FQ112" s="81"/>
      <c r="FR112" s="81"/>
      <c r="FS112" s="81"/>
      <c r="FT112" s="81">
        <v>0.11142753869027353</v>
      </c>
      <c r="FU112" s="81">
        <v>0.53007761500396366</v>
      </c>
      <c r="FV112" s="81">
        <v>21.783320022021453</v>
      </c>
      <c r="FW112" s="81"/>
      <c r="FX112" s="86"/>
      <c r="FY112" s="81"/>
      <c r="FZ112" s="81"/>
      <c r="GA112" s="81"/>
      <c r="GB112" s="81"/>
      <c r="GC112" s="81"/>
      <c r="GD112" s="81"/>
      <c r="GE112" s="81"/>
      <c r="GF112" s="81"/>
      <c r="GG112" s="81"/>
      <c r="GH112" s="81"/>
    </row>
    <row r="113" spans="1:190" x14ac:dyDescent="0.2">
      <c r="A113" s="82" t="s">
        <v>432</v>
      </c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  <c r="AI113" s="81"/>
      <c r="AJ113" s="81"/>
      <c r="AK113" s="81"/>
      <c r="AL113" s="81"/>
      <c r="AM113" s="81"/>
      <c r="AN113" s="81">
        <v>15.487527747346284</v>
      </c>
      <c r="AO113" s="81"/>
      <c r="AP113" s="81"/>
      <c r="AQ113" s="81"/>
      <c r="AR113" s="81"/>
      <c r="AS113" s="81"/>
      <c r="AT113" s="81"/>
      <c r="AU113" s="81"/>
      <c r="AV113" s="81"/>
      <c r="AW113" s="81"/>
      <c r="AX113" s="81"/>
      <c r="AY113" s="81"/>
      <c r="AZ113" s="81"/>
      <c r="BA113" s="81"/>
      <c r="BB113" s="81"/>
      <c r="BC113" s="81"/>
      <c r="BD113" s="81"/>
      <c r="BE113" s="81"/>
      <c r="BF113" s="81"/>
      <c r="BG113" s="81"/>
      <c r="BH113" s="81"/>
      <c r="BI113" s="81"/>
      <c r="BJ113" s="81"/>
      <c r="BK113" s="81"/>
      <c r="BL113" s="81"/>
      <c r="BM113" s="81"/>
      <c r="BN113" s="81"/>
      <c r="BO113" s="81"/>
      <c r="BP113" s="81"/>
      <c r="BQ113" s="81"/>
      <c r="BR113" s="81"/>
      <c r="BS113" s="81"/>
      <c r="BT113" s="81"/>
      <c r="BU113" s="81"/>
      <c r="BV113" s="81"/>
      <c r="BW113" s="81"/>
      <c r="BX113" s="81"/>
      <c r="BY113" s="81"/>
      <c r="BZ113" s="81"/>
      <c r="CA113" s="81"/>
      <c r="CB113" s="81"/>
      <c r="CC113" s="81"/>
      <c r="CD113" s="81"/>
      <c r="CE113" s="81"/>
      <c r="CF113" s="81"/>
      <c r="CG113" s="81"/>
      <c r="CH113" s="81"/>
      <c r="CI113" s="81"/>
      <c r="CJ113" s="81"/>
      <c r="CK113" s="81"/>
      <c r="CL113" s="81"/>
      <c r="CM113" s="81"/>
      <c r="CN113" s="81"/>
      <c r="CO113" s="81"/>
      <c r="CP113" s="81"/>
      <c r="CQ113" s="81"/>
      <c r="CR113" s="81"/>
      <c r="CS113" s="81"/>
      <c r="CT113" s="81"/>
      <c r="CU113" s="81"/>
      <c r="CV113" s="81"/>
      <c r="CW113" s="81"/>
      <c r="CX113" s="81"/>
      <c r="CY113" s="81"/>
      <c r="CZ113" s="81"/>
      <c r="DA113" s="81"/>
      <c r="DB113" s="81"/>
      <c r="DC113" s="81"/>
      <c r="DD113" s="81"/>
      <c r="DE113" s="81"/>
      <c r="DF113" s="81"/>
      <c r="DG113" s="81"/>
      <c r="DH113" s="81"/>
      <c r="DI113" s="81"/>
      <c r="DJ113" s="81"/>
      <c r="DK113" s="81"/>
      <c r="DL113" s="81"/>
      <c r="DM113" s="81"/>
      <c r="DN113" s="81"/>
      <c r="DO113" s="81"/>
      <c r="DP113" s="81"/>
      <c r="DQ113" s="81"/>
      <c r="DR113" s="81"/>
      <c r="DS113" s="81"/>
      <c r="DT113" s="81"/>
      <c r="DU113" s="81"/>
      <c r="DV113" s="81"/>
      <c r="DW113" s="81"/>
      <c r="DX113" s="81"/>
      <c r="DY113" s="81"/>
      <c r="DZ113" s="81"/>
      <c r="EA113" s="81"/>
      <c r="EB113" s="81"/>
      <c r="EC113" s="81"/>
      <c r="ED113" s="81"/>
      <c r="EE113" s="81"/>
      <c r="EF113" s="81"/>
      <c r="EG113" s="81"/>
      <c r="EH113" s="81"/>
      <c r="EI113" s="81"/>
      <c r="EJ113" s="81"/>
      <c r="EK113" s="81"/>
      <c r="EL113" s="81"/>
      <c r="EM113" s="81"/>
      <c r="EN113" s="81"/>
      <c r="EO113" s="81"/>
      <c r="EP113" s="81"/>
      <c r="EQ113" s="81"/>
      <c r="ER113" s="81"/>
      <c r="ES113" s="81"/>
      <c r="ET113" s="81"/>
      <c r="EU113" s="81"/>
      <c r="EV113" s="81"/>
      <c r="EW113" s="81"/>
      <c r="EX113" s="81"/>
      <c r="EY113" s="81"/>
      <c r="EZ113" s="81"/>
      <c r="FA113" s="81"/>
      <c r="FB113" s="81"/>
      <c r="FC113" s="88">
        <v>7.7693020891184998</v>
      </c>
      <c r="FD113" s="88">
        <v>12.50250432464011</v>
      </c>
      <c r="FE113" s="88">
        <v>14.370570209927262</v>
      </c>
      <c r="FF113" s="88">
        <v>16.352145884172199</v>
      </c>
      <c r="FG113" s="88">
        <v>15.868170232147989</v>
      </c>
      <c r="FH113" s="88">
        <v>4.4196992879794665</v>
      </c>
      <c r="FI113" s="88">
        <v>7.165402968543706</v>
      </c>
      <c r="FJ113" s="88">
        <v>10.354217234074801</v>
      </c>
      <c r="FK113" s="88">
        <v>13.569035951678993</v>
      </c>
      <c r="FL113" s="88">
        <v>24.834787849641785</v>
      </c>
      <c r="FM113" s="81"/>
      <c r="FN113" s="81"/>
      <c r="FO113" s="81"/>
      <c r="FP113" s="81"/>
      <c r="FQ113" s="81"/>
      <c r="FR113" s="81"/>
      <c r="FS113" s="81"/>
      <c r="FT113" s="81">
        <v>4.0974494503718449E-2</v>
      </c>
      <c r="FU113" s="81">
        <v>1.4708158377844758</v>
      </c>
      <c r="FV113" s="81">
        <v>144.2051541115593</v>
      </c>
      <c r="FW113" s="81"/>
      <c r="FX113" s="86"/>
      <c r="FY113" s="81"/>
      <c r="FZ113" s="81"/>
      <c r="GA113" s="81"/>
      <c r="GB113" s="81"/>
      <c r="GC113" s="81"/>
      <c r="GD113" s="81"/>
      <c r="GE113" s="81"/>
      <c r="GF113" s="81"/>
      <c r="GG113" s="81"/>
      <c r="GH113" s="81"/>
    </row>
    <row r="114" spans="1:190" x14ac:dyDescent="0.2">
      <c r="A114" s="82" t="s">
        <v>433</v>
      </c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  <c r="AI114" s="81"/>
      <c r="AJ114" s="81"/>
      <c r="AK114" s="81"/>
      <c r="AL114" s="81"/>
      <c r="AM114" s="81"/>
      <c r="AN114" s="81"/>
      <c r="AO114" s="81"/>
      <c r="AP114" s="81">
        <v>17.759909329655091</v>
      </c>
      <c r="AQ114" s="81"/>
      <c r="AR114" s="81"/>
      <c r="AS114" s="81"/>
      <c r="AT114" s="81"/>
      <c r="AU114" s="81"/>
      <c r="AV114" s="81"/>
      <c r="AW114" s="81"/>
      <c r="AX114" s="81"/>
      <c r="AY114" s="81"/>
      <c r="AZ114" s="81"/>
      <c r="BA114" s="81"/>
      <c r="BB114" s="81"/>
      <c r="BC114" s="81"/>
      <c r="BD114" s="81"/>
      <c r="BE114" s="81"/>
      <c r="BF114" s="81"/>
      <c r="BG114" s="81"/>
      <c r="BH114" s="81"/>
      <c r="BI114" s="81"/>
      <c r="BJ114" s="81"/>
      <c r="BK114" s="81"/>
      <c r="BL114" s="81"/>
      <c r="BM114" s="81"/>
      <c r="BN114" s="81"/>
      <c r="BO114" s="81"/>
      <c r="BP114" s="81"/>
      <c r="BQ114" s="81"/>
      <c r="BR114" s="81"/>
      <c r="BS114" s="81"/>
      <c r="BT114" s="81"/>
      <c r="BU114" s="81"/>
      <c r="BV114" s="81"/>
      <c r="BW114" s="81"/>
      <c r="BX114" s="81"/>
      <c r="BY114" s="81"/>
      <c r="BZ114" s="81"/>
      <c r="CA114" s="81"/>
      <c r="CB114" s="81"/>
      <c r="CC114" s="81"/>
      <c r="CD114" s="81"/>
      <c r="CE114" s="81"/>
      <c r="CF114" s="81"/>
      <c r="CG114" s="81"/>
      <c r="CH114" s="81"/>
      <c r="CI114" s="81"/>
      <c r="CJ114" s="81"/>
      <c r="CK114" s="81"/>
      <c r="CL114" s="81"/>
      <c r="CM114" s="81"/>
      <c r="CN114" s="81"/>
      <c r="CO114" s="81"/>
      <c r="CP114" s="81"/>
      <c r="CQ114" s="81"/>
      <c r="CR114" s="81"/>
      <c r="CS114" s="81"/>
      <c r="CT114" s="81"/>
      <c r="CU114" s="81"/>
      <c r="CV114" s="81"/>
      <c r="CW114" s="81"/>
      <c r="CX114" s="81"/>
      <c r="CY114" s="81"/>
      <c r="CZ114" s="81"/>
      <c r="DA114" s="81"/>
      <c r="DB114" s="81"/>
      <c r="DC114" s="81"/>
      <c r="DD114" s="81"/>
      <c r="DE114" s="81"/>
      <c r="DF114" s="81"/>
      <c r="DG114" s="81"/>
      <c r="DH114" s="81"/>
      <c r="DI114" s="81"/>
      <c r="DJ114" s="81"/>
      <c r="DK114" s="81"/>
      <c r="DL114" s="81"/>
      <c r="DM114" s="81"/>
      <c r="DN114" s="81"/>
      <c r="DO114" s="81"/>
      <c r="DP114" s="81"/>
      <c r="DQ114" s="81"/>
      <c r="DR114" s="81"/>
      <c r="DS114" s="81"/>
      <c r="DT114" s="81"/>
      <c r="DU114" s="81"/>
      <c r="DV114" s="81"/>
      <c r="DW114" s="81"/>
      <c r="DX114" s="81"/>
      <c r="DY114" s="81"/>
      <c r="DZ114" s="81"/>
      <c r="EA114" s="81"/>
      <c r="EB114" s="81"/>
      <c r="EC114" s="81"/>
      <c r="ED114" s="81"/>
      <c r="EE114" s="81"/>
      <c r="EF114" s="81"/>
      <c r="EG114" s="81"/>
      <c r="EH114" s="81"/>
      <c r="EI114" s="81"/>
      <c r="EJ114" s="81"/>
      <c r="EK114" s="81"/>
      <c r="EL114" s="81"/>
      <c r="EM114" s="81"/>
      <c r="EN114" s="81"/>
      <c r="EO114" s="81"/>
      <c r="EP114" s="81"/>
      <c r="EQ114" s="81"/>
      <c r="ER114" s="81"/>
      <c r="ES114" s="81"/>
      <c r="ET114" s="81"/>
      <c r="EU114" s="81"/>
      <c r="EV114" s="81"/>
      <c r="EW114" s="81"/>
      <c r="EX114" s="81"/>
      <c r="EY114" s="81"/>
      <c r="EZ114" s="81"/>
      <c r="FA114" s="81"/>
      <c r="FB114" s="81"/>
      <c r="FC114" s="88"/>
      <c r="FD114" s="88"/>
      <c r="FE114" s="88"/>
      <c r="FF114" s="88"/>
      <c r="FG114" s="88"/>
      <c r="FH114" s="88"/>
      <c r="FI114" s="88"/>
      <c r="FJ114" s="88"/>
      <c r="FK114" s="88"/>
      <c r="FL114" s="88"/>
      <c r="FM114" s="81"/>
      <c r="FN114" s="81"/>
      <c r="FO114" s="81"/>
      <c r="FP114" s="81"/>
      <c r="FQ114" s="81"/>
      <c r="FR114" s="81"/>
      <c r="FS114" s="81"/>
      <c r="FT114" s="81">
        <v>0.44925037105172227</v>
      </c>
      <c r="FU114" s="81"/>
      <c r="FV114" s="81">
        <v>18.209159700706813</v>
      </c>
      <c r="FW114" s="81"/>
      <c r="FX114" s="86"/>
      <c r="FY114" s="81"/>
      <c r="FZ114" s="81"/>
      <c r="GA114" s="81"/>
      <c r="GB114" s="81"/>
      <c r="GC114" s="81"/>
      <c r="GD114" s="81"/>
      <c r="GE114" s="81"/>
      <c r="GF114" s="81"/>
      <c r="GG114" s="81"/>
      <c r="GH114" s="81"/>
    </row>
    <row r="115" spans="1:190" x14ac:dyDescent="0.2">
      <c r="A115" s="82" t="s">
        <v>434</v>
      </c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>
        <v>0.62331789437297158</v>
      </c>
      <c r="AA115" s="81">
        <v>8.0168776893690452E-2</v>
      </c>
      <c r="AB115" s="81"/>
      <c r="AC115" s="81">
        <v>2.019067575482195</v>
      </c>
      <c r="AD115" s="81">
        <v>2.8891052911691482</v>
      </c>
      <c r="AE115" s="81"/>
      <c r="AF115" s="81"/>
      <c r="AG115" s="81"/>
      <c r="AH115" s="81"/>
      <c r="AI115" s="81"/>
      <c r="AJ115" s="81">
        <v>0.75008649628166679</v>
      </c>
      <c r="AK115" s="81"/>
      <c r="AL115" s="81"/>
      <c r="AM115" s="81">
        <v>2.0450551149757317E-3</v>
      </c>
      <c r="AN115" s="81"/>
      <c r="AO115" s="81"/>
      <c r="AP115" s="81">
        <v>12.496242284113869</v>
      </c>
      <c r="AQ115" s="81">
        <v>71.732298794658945</v>
      </c>
      <c r="AR115" s="81">
        <v>8.5866872809852363E-2</v>
      </c>
      <c r="AS115" s="81">
        <v>5.3282455650290744E-2</v>
      </c>
      <c r="AT115" s="81">
        <v>0.48331453158369131</v>
      </c>
      <c r="AU115" s="81">
        <v>0.2009458290097362</v>
      </c>
      <c r="AV115" s="81">
        <v>1.0036304844974877</v>
      </c>
      <c r="AW115" s="81">
        <v>2.0927327768279307</v>
      </c>
      <c r="AX115" s="81">
        <v>1.0119087616007107</v>
      </c>
      <c r="AY115" s="81">
        <v>4.1493417587749985E-2</v>
      </c>
      <c r="AZ115" s="81">
        <v>1.9527917808231838E-2</v>
      </c>
      <c r="BA115" s="81">
        <v>2.059235069032991E-2</v>
      </c>
      <c r="BB115" s="81">
        <v>5.4941403983133054E-2</v>
      </c>
      <c r="BC115" s="81">
        <v>1.3576845057261688</v>
      </c>
      <c r="BD115" s="81"/>
      <c r="BE115" s="81"/>
      <c r="BF115" s="81"/>
      <c r="BG115" s="81"/>
      <c r="BH115" s="81"/>
      <c r="BI115" s="81">
        <v>0.66300020323956621</v>
      </c>
      <c r="BJ115" s="81">
        <v>2.1690030849709663</v>
      </c>
      <c r="BK115" s="81"/>
      <c r="BL115" s="81"/>
      <c r="BM115" s="81"/>
      <c r="BN115" s="81">
        <v>0.83333698363065045</v>
      </c>
      <c r="BO115" s="81">
        <v>0.13213639566780155</v>
      </c>
      <c r="BP115" s="81">
        <v>5.915507239092499E-2</v>
      </c>
      <c r="BQ115" s="81">
        <v>1.0130156638067498</v>
      </c>
      <c r="BR115" s="81">
        <v>5.4993796475072951E-2</v>
      </c>
      <c r="BS115" s="81"/>
      <c r="BT115" s="81"/>
      <c r="BU115" s="81"/>
      <c r="BV115" s="81"/>
      <c r="BW115" s="81"/>
      <c r="BX115" s="81"/>
      <c r="BY115" s="81"/>
      <c r="BZ115" s="81"/>
      <c r="CA115" s="81"/>
      <c r="CB115" s="81"/>
      <c r="CC115" s="81"/>
      <c r="CD115" s="81"/>
      <c r="CE115" s="81"/>
      <c r="CF115" s="81"/>
      <c r="CG115" s="81"/>
      <c r="CH115" s="81"/>
      <c r="CI115" s="81"/>
      <c r="CJ115" s="81"/>
      <c r="CK115" s="81"/>
      <c r="CL115" s="81"/>
      <c r="CM115" s="81"/>
      <c r="CN115" s="81"/>
      <c r="CO115" s="81"/>
      <c r="CP115" s="81"/>
      <c r="CQ115" s="81"/>
      <c r="CR115" s="81"/>
      <c r="CS115" s="81"/>
      <c r="CT115" s="81"/>
      <c r="CU115" s="81"/>
      <c r="CV115" s="81"/>
      <c r="CW115" s="81"/>
      <c r="CX115" s="81"/>
      <c r="CY115" s="81"/>
      <c r="CZ115" s="81"/>
      <c r="DA115" s="81"/>
      <c r="DB115" s="81"/>
      <c r="DC115" s="81"/>
      <c r="DD115" s="81"/>
      <c r="DE115" s="81"/>
      <c r="DF115" s="81"/>
      <c r="DG115" s="81"/>
      <c r="DH115" s="81"/>
      <c r="DI115" s="81"/>
      <c r="DJ115" s="81"/>
      <c r="DK115" s="81"/>
      <c r="DL115" s="81"/>
      <c r="DM115" s="81"/>
      <c r="DN115" s="81"/>
      <c r="DO115" s="81"/>
      <c r="DP115" s="81"/>
      <c r="DQ115" s="81"/>
      <c r="DR115" s="81"/>
      <c r="DS115" s="81"/>
      <c r="DT115" s="81"/>
      <c r="DU115" s="81"/>
      <c r="DV115" s="81"/>
      <c r="DW115" s="81"/>
      <c r="DX115" s="81"/>
      <c r="DY115" s="81"/>
      <c r="DZ115" s="81"/>
      <c r="EA115" s="81"/>
      <c r="EB115" s="81"/>
      <c r="EC115" s="81"/>
      <c r="ED115" s="81"/>
      <c r="EE115" s="81"/>
      <c r="EF115" s="81"/>
      <c r="EG115" s="81"/>
      <c r="EH115" s="81"/>
      <c r="EI115" s="81"/>
      <c r="EJ115" s="81"/>
      <c r="EK115" s="81"/>
      <c r="EL115" s="81"/>
      <c r="EM115" s="81"/>
      <c r="EN115" s="81"/>
      <c r="EO115" s="81"/>
      <c r="EP115" s="81"/>
      <c r="EQ115" s="81"/>
      <c r="ER115" s="81"/>
      <c r="ES115" s="81"/>
      <c r="ET115" s="81"/>
      <c r="EU115" s="81"/>
      <c r="EV115" s="81"/>
      <c r="EW115" s="81"/>
      <c r="EX115" s="81"/>
      <c r="EY115" s="81"/>
      <c r="EZ115" s="81"/>
      <c r="FA115" s="81"/>
      <c r="FB115" s="81"/>
      <c r="FC115" s="88">
        <v>1.2150986718859198</v>
      </c>
      <c r="FD115" s="88">
        <v>2.0209711025507273</v>
      </c>
      <c r="FE115" s="88">
        <v>2.6742741298638069</v>
      </c>
      <c r="FF115" s="88">
        <v>3.6481575409272473</v>
      </c>
      <c r="FG115" s="88">
        <v>5.1799395529298202</v>
      </c>
      <c r="FH115" s="88">
        <v>0.21995032872197551</v>
      </c>
      <c r="FI115" s="88">
        <v>0.43093155700904429</v>
      </c>
      <c r="FJ115" s="88">
        <v>0.68528637869950437</v>
      </c>
      <c r="FK115" s="88">
        <v>1.31656939983762</v>
      </c>
      <c r="FL115" s="88">
        <v>3.7615741036173107</v>
      </c>
      <c r="FM115" s="81"/>
      <c r="FN115" s="81"/>
      <c r="FO115" s="81"/>
      <c r="FP115" s="81"/>
      <c r="FQ115" s="81"/>
      <c r="FR115" s="81"/>
      <c r="FS115" s="81"/>
      <c r="FT115" s="81">
        <v>0.2001312093879693</v>
      </c>
      <c r="FU115" s="81">
        <v>26.933493501730794</v>
      </c>
      <c r="FV115" s="81">
        <v>150.22927215320627</v>
      </c>
      <c r="FW115" s="81"/>
      <c r="FX115" s="86"/>
      <c r="FY115" s="81"/>
      <c r="FZ115" s="81"/>
      <c r="GA115" s="81"/>
      <c r="GB115" s="81"/>
      <c r="GC115" s="81"/>
      <c r="GD115" s="81"/>
      <c r="GE115" s="81"/>
      <c r="GF115" s="81"/>
      <c r="GG115" s="81"/>
      <c r="GH115" s="81"/>
    </row>
    <row r="116" spans="1:190" x14ac:dyDescent="0.2">
      <c r="A116" s="82" t="s">
        <v>435</v>
      </c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>
        <v>0.19878139092371333</v>
      </c>
      <c r="Z116" s="81"/>
      <c r="AA116" s="81"/>
      <c r="AB116" s="81"/>
      <c r="AC116" s="81"/>
      <c r="AD116" s="81"/>
      <c r="AE116" s="81"/>
      <c r="AF116" s="81"/>
      <c r="AG116" s="81"/>
      <c r="AH116" s="81"/>
      <c r="AI116" s="81"/>
      <c r="AJ116" s="81"/>
      <c r="AK116" s="81"/>
      <c r="AL116" s="81"/>
      <c r="AM116" s="81"/>
      <c r="AN116" s="81"/>
      <c r="AO116" s="81">
        <v>2.4783327007232153E-2</v>
      </c>
      <c r="AP116" s="81">
        <v>0.13581351767782238</v>
      </c>
      <c r="AQ116" s="81">
        <v>2.5472349945477375</v>
      </c>
      <c r="AR116" s="81">
        <v>4.0202915031899598E-3</v>
      </c>
      <c r="AS116" s="81">
        <v>6.3293646042369284E-3</v>
      </c>
      <c r="AT116" s="81">
        <v>5.7223906440951114E-2</v>
      </c>
      <c r="AU116" s="81"/>
      <c r="AV116" s="81"/>
      <c r="AW116" s="81"/>
      <c r="AX116" s="81">
        <v>0.11206802087121631</v>
      </c>
      <c r="AY116" s="81">
        <v>0.20945184547460924</v>
      </c>
      <c r="AZ116" s="81">
        <v>3.7546813366302403E-2</v>
      </c>
      <c r="BA116" s="81">
        <v>4.7088206058595615E-2</v>
      </c>
      <c r="BB116" s="81">
        <v>6.4596092493292411E-3</v>
      </c>
      <c r="BC116" s="81">
        <v>5.173389665207094E-2</v>
      </c>
      <c r="BD116" s="81"/>
      <c r="BE116" s="81"/>
      <c r="BF116" s="81"/>
      <c r="BG116" s="81"/>
      <c r="BH116" s="81"/>
      <c r="BI116" s="81">
        <v>4.3992372557169632E-2</v>
      </c>
      <c r="BJ116" s="81">
        <v>0.15424520774067166</v>
      </c>
      <c r="BK116" s="81"/>
      <c r="BL116" s="81"/>
      <c r="BM116" s="81"/>
      <c r="BN116" s="81">
        <v>0.12267815254559902</v>
      </c>
      <c r="BO116" s="81">
        <v>0.19811824103622327</v>
      </c>
      <c r="BP116" s="81">
        <v>8.5667716929456642E-2</v>
      </c>
      <c r="BQ116" s="81">
        <v>0.3203325797010263</v>
      </c>
      <c r="BR116" s="81">
        <v>0.18166872350274205</v>
      </c>
      <c r="BS116" s="81"/>
      <c r="BT116" s="81"/>
      <c r="BU116" s="81"/>
      <c r="BV116" s="81"/>
      <c r="BW116" s="81"/>
      <c r="BX116" s="81"/>
      <c r="BY116" s="81"/>
      <c r="BZ116" s="81"/>
      <c r="CA116" s="81"/>
      <c r="CB116" s="81"/>
      <c r="CC116" s="81"/>
      <c r="CD116" s="81"/>
      <c r="CE116" s="81"/>
      <c r="CF116" s="81"/>
      <c r="CG116" s="81"/>
      <c r="CH116" s="81"/>
      <c r="CI116" s="81"/>
      <c r="CJ116" s="81"/>
      <c r="CK116" s="81"/>
      <c r="CL116" s="81"/>
      <c r="CM116" s="81"/>
      <c r="CN116" s="81"/>
      <c r="CO116" s="81"/>
      <c r="CP116" s="81"/>
      <c r="CQ116" s="81"/>
      <c r="CR116" s="81"/>
      <c r="CS116" s="81"/>
      <c r="CT116" s="81"/>
      <c r="CU116" s="81"/>
      <c r="CV116" s="81"/>
      <c r="CW116" s="81"/>
      <c r="CX116" s="81"/>
      <c r="CY116" s="81"/>
      <c r="CZ116" s="81"/>
      <c r="DA116" s="81"/>
      <c r="DB116" s="81"/>
      <c r="DC116" s="81"/>
      <c r="DD116" s="81"/>
      <c r="DE116" s="81"/>
      <c r="DF116" s="81"/>
      <c r="DG116" s="81"/>
      <c r="DH116" s="81"/>
      <c r="DI116" s="81"/>
      <c r="DJ116" s="81"/>
      <c r="DK116" s="81"/>
      <c r="DL116" s="81"/>
      <c r="DM116" s="81"/>
      <c r="DN116" s="81"/>
      <c r="DO116" s="81"/>
      <c r="DP116" s="81"/>
      <c r="DQ116" s="81"/>
      <c r="DR116" s="81"/>
      <c r="DS116" s="81"/>
      <c r="DT116" s="81"/>
      <c r="DU116" s="81"/>
      <c r="DV116" s="81"/>
      <c r="DW116" s="81"/>
      <c r="DX116" s="81"/>
      <c r="DY116" s="81"/>
      <c r="DZ116" s="81"/>
      <c r="EA116" s="81"/>
      <c r="EB116" s="81"/>
      <c r="EC116" s="81"/>
      <c r="ED116" s="81"/>
      <c r="EE116" s="81"/>
      <c r="EF116" s="81"/>
      <c r="EG116" s="81"/>
      <c r="EH116" s="81"/>
      <c r="EI116" s="81"/>
      <c r="EJ116" s="81"/>
      <c r="EK116" s="81"/>
      <c r="EL116" s="81"/>
      <c r="EM116" s="81"/>
      <c r="EN116" s="81"/>
      <c r="EO116" s="81"/>
      <c r="EP116" s="81"/>
      <c r="EQ116" s="81"/>
      <c r="ER116" s="81"/>
      <c r="ES116" s="81"/>
      <c r="ET116" s="81"/>
      <c r="EU116" s="81"/>
      <c r="EV116" s="81"/>
      <c r="EW116" s="81"/>
      <c r="EX116" s="81"/>
      <c r="EY116" s="81"/>
      <c r="EZ116" s="81"/>
      <c r="FA116" s="81"/>
      <c r="FB116" s="81"/>
      <c r="FC116" s="88">
        <v>9.1880555091557081</v>
      </c>
      <c r="FD116" s="88">
        <v>14.383049412215513</v>
      </c>
      <c r="FE116" s="88">
        <v>16.837208213565326</v>
      </c>
      <c r="FF116" s="88">
        <v>19.439915891876712</v>
      </c>
      <c r="FG116" s="88">
        <v>18.853000445444394</v>
      </c>
      <c r="FH116" s="88">
        <v>4.2666880037953367</v>
      </c>
      <c r="FI116" s="88">
        <v>6.8322639892711985</v>
      </c>
      <c r="FJ116" s="88">
        <v>10.229744218993222</v>
      </c>
      <c r="FK116" s="88">
        <v>14.393877257526281</v>
      </c>
      <c r="FL116" s="88">
        <v>34.79252170217368</v>
      </c>
      <c r="FM116" s="81"/>
      <c r="FN116" s="81"/>
      <c r="FO116" s="81"/>
      <c r="FP116" s="81"/>
      <c r="FQ116" s="81"/>
      <c r="FR116" s="81"/>
      <c r="FS116" s="81"/>
      <c r="FT116" s="81">
        <v>1.9545498451546208</v>
      </c>
      <c r="FU116" s="81">
        <v>20.766845927659769</v>
      </c>
      <c r="FV116" s="81">
        <v>176.48295859522165</v>
      </c>
      <c r="FW116" s="81"/>
      <c r="FX116" s="86"/>
      <c r="FY116" s="81"/>
      <c r="FZ116" s="81"/>
      <c r="GA116" s="81"/>
      <c r="GB116" s="81"/>
      <c r="GC116" s="81"/>
      <c r="GD116" s="81"/>
      <c r="GE116" s="81"/>
      <c r="GF116" s="81"/>
      <c r="GG116" s="81"/>
      <c r="GH116" s="81"/>
    </row>
    <row r="117" spans="1:190" x14ac:dyDescent="0.2">
      <c r="A117" s="82" t="s">
        <v>436</v>
      </c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  <c r="AI117" s="81"/>
      <c r="AJ117" s="81"/>
      <c r="AK117" s="81"/>
      <c r="AL117" s="81"/>
      <c r="AM117" s="81"/>
      <c r="AN117" s="81"/>
      <c r="AO117" s="81">
        <v>5.1383580439507519E-3</v>
      </c>
      <c r="AP117" s="81">
        <v>2.8152164534413403E-2</v>
      </c>
      <c r="AQ117" s="81">
        <v>0.34565638856621522</v>
      </c>
      <c r="AR117" s="81">
        <v>1.0730579897674288</v>
      </c>
      <c r="AS117" s="81">
        <v>5.7873764481230156E-3</v>
      </c>
      <c r="AT117" s="81">
        <v>5.2299456804813266E-2</v>
      </c>
      <c r="AU117" s="81"/>
      <c r="AV117" s="81"/>
      <c r="AW117" s="81"/>
      <c r="AX117" s="81">
        <v>2.1652391434009474E-2</v>
      </c>
      <c r="AY117" s="81"/>
      <c r="AZ117" s="81"/>
      <c r="BA117" s="81">
        <v>9.0006750276436908E-3</v>
      </c>
      <c r="BB117" s="81"/>
      <c r="BC117" s="81">
        <v>2.9282506944795283E-2</v>
      </c>
      <c r="BD117" s="81"/>
      <c r="BE117" s="81"/>
      <c r="BF117" s="81"/>
      <c r="BG117" s="81"/>
      <c r="BH117" s="81"/>
      <c r="BI117" s="81"/>
      <c r="BJ117" s="81"/>
      <c r="BK117" s="81"/>
      <c r="BL117" s="81"/>
      <c r="BM117" s="81"/>
      <c r="BN117" s="81"/>
      <c r="BO117" s="81"/>
      <c r="BP117" s="81"/>
      <c r="BQ117" s="81"/>
      <c r="BR117" s="81"/>
      <c r="BS117" s="81"/>
      <c r="BT117" s="81"/>
      <c r="BU117" s="81"/>
      <c r="BV117" s="81"/>
      <c r="BW117" s="81"/>
      <c r="BX117" s="81"/>
      <c r="BY117" s="81"/>
      <c r="BZ117" s="81"/>
      <c r="CA117" s="81"/>
      <c r="CB117" s="81"/>
      <c r="CC117" s="81"/>
      <c r="CD117" s="81"/>
      <c r="CE117" s="81"/>
      <c r="CF117" s="81"/>
      <c r="CG117" s="81"/>
      <c r="CH117" s="81"/>
      <c r="CI117" s="81"/>
      <c r="CJ117" s="81"/>
      <c r="CK117" s="81"/>
      <c r="CL117" s="81"/>
      <c r="CM117" s="81"/>
      <c r="CN117" s="81"/>
      <c r="CO117" s="81"/>
      <c r="CP117" s="81"/>
      <c r="CQ117" s="81"/>
      <c r="CR117" s="81"/>
      <c r="CS117" s="81"/>
      <c r="CT117" s="81"/>
      <c r="CU117" s="81"/>
      <c r="CV117" s="81"/>
      <c r="CW117" s="81"/>
      <c r="CX117" s="81"/>
      <c r="CY117" s="81"/>
      <c r="CZ117" s="81"/>
      <c r="DA117" s="81"/>
      <c r="DB117" s="81"/>
      <c r="DC117" s="81"/>
      <c r="DD117" s="81"/>
      <c r="DE117" s="81"/>
      <c r="DF117" s="81"/>
      <c r="DG117" s="81"/>
      <c r="DH117" s="81"/>
      <c r="DI117" s="81"/>
      <c r="DJ117" s="81"/>
      <c r="DK117" s="81"/>
      <c r="DL117" s="81"/>
      <c r="DM117" s="81"/>
      <c r="DN117" s="81"/>
      <c r="DO117" s="81"/>
      <c r="DP117" s="81"/>
      <c r="DQ117" s="81"/>
      <c r="DR117" s="81"/>
      <c r="DS117" s="81"/>
      <c r="DT117" s="81"/>
      <c r="DU117" s="81"/>
      <c r="DV117" s="81"/>
      <c r="DW117" s="81"/>
      <c r="DX117" s="81"/>
      <c r="DY117" s="81"/>
      <c r="DZ117" s="81"/>
      <c r="EA117" s="81"/>
      <c r="EB117" s="81"/>
      <c r="EC117" s="81"/>
      <c r="ED117" s="81"/>
      <c r="EE117" s="81"/>
      <c r="EF117" s="81"/>
      <c r="EG117" s="81"/>
      <c r="EH117" s="81"/>
      <c r="EI117" s="81"/>
      <c r="EJ117" s="81"/>
      <c r="EK117" s="81"/>
      <c r="EL117" s="81"/>
      <c r="EM117" s="81"/>
      <c r="EN117" s="81"/>
      <c r="EO117" s="81"/>
      <c r="EP117" s="81"/>
      <c r="EQ117" s="81"/>
      <c r="ER117" s="81"/>
      <c r="ES117" s="81"/>
      <c r="ET117" s="81"/>
      <c r="EU117" s="81"/>
      <c r="EV117" s="81"/>
      <c r="EW117" s="81"/>
      <c r="EX117" s="81"/>
      <c r="EY117" s="81"/>
      <c r="EZ117" s="81"/>
      <c r="FA117" s="81"/>
      <c r="FB117" s="81"/>
      <c r="FC117" s="88">
        <v>0.82138046227882622</v>
      </c>
      <c r="FD117" s="88">
        <v>1.2569865520272274</v>
      </c>
      <c r="FE117" s="88">
        <v>1.4436168093472785</v>
      </c>
      <c r="FF117" s="88">
        <v>1.6230564380243429</v>
      </c>
      <c r="FG117" s="88">
        <v>1.5064017454292067</v>
      </c>
      <c r="FH117" s="88">
        <v>0.35727030008482819</v>
      </c>
      <c r="FI117" s="88">
        <v>0.63085033211274955</v>
      </c>
      <c r="FJ117" s="88">
        <v>0.93888928160172236</v>
      </c>
      <c r="FK117" s="88">
        <v>1.3003828717996126</v>
      </c>
      <c r="FL117" s="88">
        <v>3.1796047442804425</v>
      </c>
      <c r="FM117" s="81"/>
      <c r="FN117" s="81"/>
      <c r="FO117" s="81"/>
      <c r="FP117" s="81"/>
      <c r="FQ117" s="81"/>
      <c r="FR117" s="81"/>
      <c r="FS117" s="81"/>
      <c r="FT117" s="81">
        <v>2.0957448725931527E-2</v>
      </c>
      <c r="FU117" s="81">
        <v>1.2605675589437477</v>
      </c>
      <c r="FV117" s="81">
        <v>15.909991852227311</v>
      </c>
      <c r="FW117" s="81"/>
      <c r="FX117" s="86"/>
      <c r="FY117" s="81"/>
      <c r="FZ117" s="81"/>
      <c r="GA117" s="81"/>
      <c r="GB117" s="81"/>
      <c r="GC117" s="81"/>
      <c r="GD117" s="81"/>
      <c r="GE117" s="81"/>
      <c r="GF117" s="81"/>
      <c r="GG117" s="81"/>
      <c r="GH117" s="81"/>
    </row>
    <row r="118" spans="1:190" x14ac:dyDescent="0.2">
      <c r="A118" s="82" t="s">
        <v>437</v>
      </c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>
        <v>3.6236517554046194E-2</v>
      </c>
      <c r="X118" s="81">
        <v>7.7191707087455985E-2</v>
      </c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  <c r="AI118" s="81"/>
      <c r="AJ118" s="81"/>
      <c r="AK118" s="81"/>
      <c r="AL118" s="81"/>
      <c r="AM118" s="81"/>
      <c r="AN118" s="81"/>
      <c r="AO118" s="81"/>
      <c r="AP118" s="81"/>
      <c r="AQ118" s="81"/>
      <c r="AR118" s="81"/>
      <c r="AS118" s="81">
        <v>1.4897477665818748</v>
      </c>
      <c r="AT118" s="81">
        <v>13.536395899814949</v>
      </c>
      <c r="AU118" s="81"/>
      <c r="AV118" s="81"/>
      <c r="AW118" s="81"/>
      <c r="AX118" s="81">
        <v>0.1807627098711892</v>
      </c>
      <c r="AY118" s="81">
        <v>0.35970765752129141</v>
      </c>
      <c r="AZ118" s="81">
        <v>7.2456701149995931E-2</v>
      </c>
      <c r="BA118" s="81">
        <v>0.10518194528373048</v>
      </c>
      <c r="BB118" s="81">
        <v>9.433975958082836E-3</v>
      </c>
      <c r="BC118" s="81">
        <v>11.532109115783275</v>
      </c>
      <c r="BD118" s="81"/>
      <c r="BE118" s="81"/>
      <c r="BF118" s="81">
        <v>5.5059813615760662</v>
      </c>
      <c r="BG118" s="81"/>
      <c r="BH118" s="81"/>
      <c r="BI118" s="81"/>
      <c r="BJ118" s="81"/>
      <c r="BK118" s="81"/>
      <c r="BL118" s="81"/>
      <c r="BM118" s="81"/>
      <c r="BN118" s="81"/>
      <c r="BO118" s="81">
        <v>5.9495642720441909E-2</v>
      </c>
      <c r="BP118" s="81">
        <v>5.4611871232479826E-2</v>
      </c>
      <c r="BQ118" s="81">
        <v>0.1229303087789449</v>
      </c>
      <c r="BR118" s="81"/>
      <c r="BS118" s="81"/>
      <c r="BT118" s="81"/>
      <c r="BU118" s="81"/>
      <c r="BV118" s="81"/>
      <c r="BW118" s="81"/>
      <c r="BX118" s="81"/>
      <c r="BY118" s="81"/>
      <c r="BZ118" s="81"/>
      <c r="CA118" s="81"/>
      <c r="CB118" s="81"/>
      <c r="CC118" s="81"/>
      <c r="CD118" s="81"/>
      <c r="CE118" s="81"/>
      <c r="CF118" s="81"/>
      <c r="CG118" s="81"/>
      <c r="CH118" s="81"/>
      <c r="CI118" s="81"/>
      <c r="CJ118" s="81"/>
      <c r="CK118" s="81"/>
      <c r="CL118" s="81"/>
      <c r="CM118" s="81"/>
      <c r="CN118" s="81"/>
      <c r="CO118" s="81"/>
      <c r="CP118" s="81"/>
      <c r="CQ118" s="81"/>
      <c r="CR118" s="81"/>
      <c r="CS118" s="81"/>
      <c r="CT118" s="81"/>
      <c r="CU118" s="81"/>
      <c r="CV118" s="81"/>
      <c r="CW118" s="81"/>
      <c r="CX118" s="81"/>
      <c r="CY118" s="81"/>
      <c r="CZ118" s="81"/>
      <c r="DA118" s="81"/>
      <c r="DB118" s="81"/>
      <c r="DC118" s="81"/>
      <c r="DD118" s="81"/>
      <c r="DE118" s="81"/>
      <c r="DF118" s="81"/>
      <c r="DG118" s="81"/>
      <c r="DH118" s="81"/>
      <c r="DI118" s="81"/>
      <c r="DJ118" s="81"/>
      <c r="DK118" s="81"/>
      <c r="DL118" s="81"/>
      <c r="DM118" s="81"/>
      <c r="DN118" s="81"/>
      <c r="DO118" s="81"/>
      <c r="DP118" s="81"/>
      <c r="DQ118" s="81"/>
      <c r="DR118" s="81"/>
      <c r="DS118" s="81"/>
      <c r="DT118" s="81"/>
      <c r="DU118" s="81"/>
      <c r="DV118" s="81"/>
      <c r="DW118" s="81"/>
      <c r="DX118" s="81"/>
      <c r="DY118" s="81"/>
      <c r="DZ118" s="81"/>
      <c r="EA118" s="81"/>
      <c r="EB118" s="81"/>
      <c r="EC118" s="81"/>
      <c r="ED118" s="81"/>
      <c r="EE118" s="81"/>
      <c r="EF118" s="81"/>
      <c r="EG118" s="81"/>
      <c r="EH118" s="81"/>
      <c r="EI118" s="81"/>
      <c r="EJ118" s="81"/>
      <c r="EK118" s="81"/>
      <c r="EL118" s="81"/>
      <c r="EM118" s="81"/>
      <c r="EN118" s="81"/>
      <c r="EO118" s="81"/>
      <c r="EP118" s="81"/>
      <c r="EQ118" s="81"/>
      <c r="ER118" s="81"/>
      <c r="ES118" s="81"/>
      <c r="ET118" s="81"/>
      <c r="EU118" s="81"/>
      <c r="EV118" s="81"/>
      <c r="EW118" s="81"/>
      <c r="EX118" s="81"/>
      <c r="EY118" s="81"/>
      <c r="EZ118" s="81"/>
      <c r="FA118" s="81"/>
      <c r="FB118" s="81"/>
      <c r="FC118" s="88">
        <v>3.1819940862324962E-4</v>
      </c>
      <c r="FD118" s="88">
        <v>1.2041824239312877E-3</v>
      </c>
      <c r="FE118" s="88">
        <v>3.4283375630493097E-5</v>
      </c>
      <c r="FF118" s="88">
        <v>5.5876217969769485E-4</v>
      </c>
      <c r="FG118" s="88">
        <v>6.0907048760623205E-4</v>
      </c>
      <c r="FH118" s="88"/>
      <c r="FI118" s="88"/>
      <c r="FJ118" s="88"/>
      <c r="FK118" s="88">
        <v>5.8124986989373444E-5</v>
      </c>
      <c r="FL118" s="88">
        <v>8.5532720044097417E-4</v>
      </c>
      <c r="FM118" s="81"/>
      <c r="FN118" s="81"/>
      <c r="FO118" s="81"/>
      <c r="FP118" s="81"/>
      <c r="FQ118" s="81"/>
      <c r="FR118" s="81"/>
      <c r="FS118" s="81"/>
      <c r="FT118" s="81">
        <v>9.4130290123243629E-2</v>
      </c>
      <c r="FU118" s="81">
        <v>0.44833157460238576</v>
      </c>
      <c r="FV118" s="81">
        <v>33.688342995702392</v>
      </c>
      <c r="FW118" s="81"/>
      <c r="FX118" s="86"/>
      <c r="FY118" s="81"/>
      <c r="FZ118" s="81"/>
      <c r="GA118" s="81"/>
      <c r="GB118" s="81"/>
      <c r="GC118" s="81"/>
      <c r="GD118" s="81"/>
      <c r="GE118" s="81"/>
      <c r="GF118" s="81"/>
      <c r="GG118" s="81"/>
      <c r="GH118" s="81"/>
    </row>
    <row r="119" spans="1:190" x14ac:dyDescent="0.2">
      <c r="A119" s="82" t="s">
        <v>438</v>
      </c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>
        <v>2.6797582632810072E-2</v>
      </c>
      <c r="Z119" s="81"/>
      <c r="AA119" s="81"/>
      <c r="AB119" s="81"/>
      <c r="AC119" s="81"/>
      <c r="AD119" s="81"/>
      <c r="AE119" s="81"/>
      <c r="AF119" s="81"/>
      <c r="AG119" s="81"/>
      <c r="AH119" s="81"/>
      <c r="AI119" s="81"/>
      <c r="AJ119" s="81"/>
      <c r="AK119" s="81"/>
      <c r="AL119" s="81"/>
      <c r="AM119" s="81">
        <v>3.0432830105739508E-2</v>
      </c>
      <c r="AN119" s="81">
        <v>9.1871223305425853E-2</v>
      </c>
      <c r="AO119" s="81">
        <v>0.13466075112492493</v>
      </c>
      <c r="AP119" s="81">
        <v>5.0422382647505821E-2</v>
      </c>
      <c r="AQ119" s="81">
        <v>9.0522813926325593E-2</v>
      </c>
      <c r="AR119" s="81">
        <v>3.918550384449525E-3</v>
      </c>
      <c r="AS119" s="81">
        <v>3.5931224833887125E-3</v>
      </c>
      <c r="AT119" s="81"/>
      <c r="AU119" s="81"/>
      <c r="AV119" s="81"/>
      <c r="AW119" s="81">
        <v>0.5408914023338065</v>
      </c>
      <c r="AX119" s="81">
        <v>0.10672868052315668</v>
      </c>
      <c r="AY119" s="81">
        <v>0.11207145788417165</v>
      </c>
      <c r="AZ119" s="81">
        <v>4.5009102362414698E-2</v>
      </c>
      <c r="BA119" s="81">
        <v>3.0921035795897375E-2</v>
      </c>
      <c r="BB119" s="81"/>
      <c r="BC119" s="81">
        <v>2.4858598158691538E-2</v>
      </c>
      <c r="BD119" s="81">
        <v>0.10061880333350179</v>
      </c>
      <c r="BE119" s="81">
        <v>0.1293857338126885</v>
      </c>
      <c r="BF119" s="81">
        <v>0.74418066425279839</v>
      </c>
      <c r="BG119" s="81">
        <v>0.14429978715559061</v>
      </c>
      <c r="BH119" s="81">
        <v>0.64375924010449725</v>
      </c>
      <c r="BI119" s="81">
        <v>2.1508505395222284</v>
      </c>
      <c r="BJ119" s="81"/>
      <c r="BK119" s="81">
        <v>5.1844834777018374</v>
      </c>
      <c r="BL119" s="81"/>
      <c r="BM119" s="81">
        <v>1.6825575321064448</v>
      </c>
      <c r="BN119" s="81">
        <v>3.5745614286106071</v>
      </c>
      <c r="BO119" s="81">
        <v>0.24163108947870438</v>
      </c>
      <c r="BP119" s="81">
        <v>1.5917525412049327</v>
      </c>
      <c r="BQ119" s="81">
        <v>2.173654236621327</v>
      </c>
      <c r="BR119" s="81">
        <v>0.88795515013463244</v>
      </c>
      <c r="BS119" s="81"/>
      <c r="BT119" s="81"/>
      <c r="BU119" s="81"/>
      <c r="BV119" s="81"/>
      <c r="BW119" s="81"/>
      <c r="BX119" s="81"/>
      <c r="BY119" s="81"/>
      <c r="BZ119" s="81"/>
      <c r="CA119" s="81"/>
      <c r="CB119" s="81"/>
      <c r="CC119" s="81"/>
      <c r="CD119" s="81"/>
      <c r="CE119" s="81"/>
      <c r="CF119" s="81"/>
      <c r="CG119" s="81"/>
      <c r="CH119" s="81"/>
      <c r="CI119" s="81"/>
      <c r="CJ119" s="81"/>
      <c r="CK119" s="81"/>
      <c r="CL119" s="81"/>
      <c r="CM119" s="81"/>
      <c r="CN119" s="81"/>
      <c r="CO119" s="81"/>
      <c r="CP119" s="81"/>
      <c r="CQ119" s="81"/>
      <c r="CR119" s="81"/>
      <c r="CS119" s="81"/>
      <c r="CT119" s="81"/>
      <c r="CU119" s="81"/>
      <c r="CV119" s="81"/>
      <c r="CW119" s="81"/>
      <c r="CX119" s="81"/>
      <c r="CY119" s="81"/>
      <c r="CZ119" s="81"/>
      <c r="DA119" s="81"/>
      <c r="DB119" s="81"/>
      <c r="DC119" s="81"/>
      <c r="DD119" s="81"/>
      <c r="DE119" s="81"/>
      <c r="DF119" s="81"/>
      <c r="DG119" s="81"/>
      <c r="DH119" s="81"/>
      <c r="DI119" s="81"/>
      <c r="DJ119" s="81"/>
      <c r="DK119" s="81"/>
      <c r="DL119" s="81"/>
      <c r="DM119" s="81"/>
      <c r="DN119" s="81"/>
      <c r="DO119" s="81"/>
      <c r="DP119" s="81"/>
      <c r="DQ119" s="81"/>
      <c r="DR119" s="81"/>
      <c r="DS119" s="81"/>
      <c r="DT119" s="81"/>
      <c r="DU119" s="81"/>
      <c r="DV119" s="81"/>
      <c r="DW119" s="81"/>
      <c r="DX119" s="81"/>
      <c r="DY119" s="81"/>
      <c r="DZ119" s="81"/>
      <c r="EA119" s="81"/>
      <c r="EB119" s="81"/>
      <c r="EC119" s="81"/>
      <c r="ED119" s="81"/>
      <c r="EE119" s="81"/>
      <c r="EF119" s="81"/>
      <c r="EG119" s="81"/>
      <c r="EH119" s="81"/>
      <c r="EI119" s="81"/>
      <c r="EJ119" s="81"/>
      <c r="EK119" s="81"/>
      <c r="EL119" s="81"/>
      <c r="EM119" s="81"/>
      <c r="EN119" s="81"/>
      <c r="EO119" s="81"/>
      <c r="EP119" s="81"/>
      <c r="EQ119" s="81"/>
      <c r="ER119" s="81"/>
      <c r="ES119" s="81"/>
      <c r="ET119" s="81"/>
      <c r="EU119" s="81"/>
      <c r="EV119" s="81"/>
      <c r="EW119" s="81"/>
      <c r="EX119" s="81"/>
      <c r="EY119" s="81"/>
      <c r="EZ119" s="81"/>
      <c r="FA119" s="81"/>
      <c r="FB119" s="81"/>
      <c r="FC119" s="88">
        <v>3.9899881980601442</v>
      </c>
      <c r="FD119" s="88">
        <v>5.8832287948401669</v>
      </c>
      <c r="FE119" s="88">
        <v>6.7264404345427122</v>
      </c>
      <c r="FF119" s="88">
        <v>6.9607562015174933</v>
      </c>
      <c r="FG119" s="88">
        <v>5.7987354397751547</v>
      </c>
      <c r="FH119" s="88">
        <v>2.2136990890569965</v>
      </c>
      <c r="FI119" s="88">
        <v>3.3019014477770594</v>
      </c>
      <c r="FJ119" s="88">
        <v>4.8071705765593977</v>
      </c>
      <c r="FK119" s="88">
        <v>6.0256143019484609</v>
      </c>
      <c r="FL119" s="88">
        <v>12.268366210912665</v>
      </c>
      <c r="FM119" s="81"/>
      <c r="FN119" s="81"/>
      <c r="FO119" s="81"/>
      <c r="FP119" s="81"/>
      <c r="FQ119" s="81"/>
      <c r="FR119" s="81"/>
      <c r="FS119" s="81"/>
      <c r="FT119" s="81">
        <v>1.2888062808932308</v>
      </c>
      <c r="FU119" s="81">
        <v>8.5948387283759846</v>
      </c>
      <c r="FV119" s="81">
        <v>88.401935461967966</v>
      </c>
      <c r="FW119" s="81"/>
      <c r="FX119" s="86"/>
      <c r="FY119" s="81"/>
      <c r="FZ119" s="81"/>
      <c r="GA119" s="81"/>
      <c r="GB119" s="81"/>
      <c r="GC119" s="81"/>
      <c r="GD119" s="81"/>
      <c r="GE119" s="81"/>
      <c r="GF119" s="81"/>
      <c r="GG119" s="81"/>
      <c r="GH119" s="81"/>
    </row>
    <row r="120" spans="1:190" x14ac:dyDescent="0.2">
      <c r="A120" s="82" t="s">
        <v>439</v>
      </c>
      <c r="B120" s="81">
        <v>1.0266322948767461</v>
      </c>
      <c r="C120" s="81">
        <v>0.32352150917860828</v>
      </c>
      <c r="D120" s="81">
        <v>1.043411541478616</v>
      </c>
      <c r="E120" s="81">
        <v>1.2224266437064533</v>
      </c>
      <c r="F120" s="81">
        <v>1.9647762532824228E-2</v>
      </c>
      <c r="G120" s="81">
        <v>0.46398227973581663</v>
      </c>
      <c r="H120" s="81">
        <v>0.33012680080097834</v>
      </c>
      <c r="I120" s="81">
        <v>0.61670347219612953</v>
      </c>
      <c r="J120" s="81">
        <v>0.41723835949512433</v>
      </c>
      <c r="K120" s="81">
        <v>7.2138114129479805</v>
      </c>
      <c r="L120" s="81">
        <v>1.8862944095241903</v>
      </c>
      <c r="M120" s="81">
        <v>3.3647007985388104E-2</v>
      </c>
      <c r="N120" s="81">
        <v>7.8255635026741883</v>
      </c>
      <c r="O120" s="81">
        <v>3.1644667057449644E-2</v>
      </c>
      <c r="P120" s="81"/>
      <c r="Q120" s="81"/>
      <c r="R120" s="81"/>
      <c r="S120" s="81"/>
      <c r="T120" s="81"/>
      <c r="U120" s="81">
        <v>6.5075237828635821E-2</v>
      </c>
      <c r="V120" s="81">
        <v>9.5685918195188275</v>
      </c>
      <c r="W120" s="81">
        <v>4.3981072281272251</v>
      </c>
      <c r="X120" s="81">
        <v>4.4112009776646124</v>
      </c>
      <c r="Y120" s="81">
        <v>3.7351005373713133</v>
      </c>
      <c r="Z120" s="81">
        <v>0.31036628780750108</v>
      </c>
      <c r="AA120" s="81">
        <v>1.4948613892383904E-2</v>
      </c>
      <c r="AB120" s="81">
        <v>2.7452192683977086</v>
      </c>
      <c r="AC120" s="81">
        <v>0.38365382530793307</v>
      </c>
      <c r="AD120" s="81">
        <v>0.86382212586924534</v>
      </c>
      <c r="AE120" s="81">
        <v>0.28246501724304673</v>
      </c>
      <c r="AF120" s="81">
        <v>3.0006077314951432E-2</v>
      </c>
      <c r="AG120" s="81">
        <v>0.25290992640442461</v>
      </c>
      <c r="AH120" s="81">
        <v>0.45631840371188936</v>
      </c>
      <c r="AI120" s="81">
        <v>3.1639574440097268E-2</v>
      </c>
      <c r="AJ120" s="81">
        <v>5.2226386562270637</v>
      </c>
      <c r="AK120" s="81">
        <v>9.1041614254076215</v>
      </c>
      <c r="AL120" s="81">
        <v>0.24045051729271913</v>
      </c>
      <c r="AM120" s="81">
        <v>0.19733225081558262</v>
      </c>
      <c r="AN120" s="81">
        <v>1.056543323114294</v>
      </c>
      <c r="AO120" s="81">
        <v>0.71222659830520196</v>
      </c>
      <c r="AP120" s="81">
        <v>1.4413351666326251</v>
      </c>
      <c r="AQ120" s="81">
        <v>1.0945956510269637</v>
      </c>
      <c r="AR120" s="81">
        <v>2.052549223238467E-2</v>
      </c>
      <c r="AS120" s="81">
        <v>5.0353728106038893E-2</v>
      </c>
      <c r="AT120" s="81">
        <v>1.2981634970009117</v>
      </c>
      <c r="AU120" s="81">
        <v>7.5357239233544266</v>
      </c>
      <c r="AV120" s="81">
        <v>7.2205729318056591</v>
      </c>
      <c r="AW120" s="81">
        <v>18.627424607147287</v>
      </c>
      <c r="AX120" s="81">
        <v>12.616847010649495</v>
      </c>
      <c r="AY120" s="81">
        <v>18.97229292362023</v>
      </c>
      <c r="AZ120" s="81">
        <v>0.4364918423703853</v>
      </c>
      <c r="BA120" s="81">
        <v>0.26513336716478042</v>
      </c>
      <c r="BB120" s="81">
        <v>2.1541634155844275E-2</v>
      </c>
      <c r="BC120" s="81">
        <v>0.29190409956511415</v>
      </c>
      <c r="BD120" s="81">
        <v>76.811944266606531</v>
      </c>
      <c r="BE120" s="81">
        <v>13.776047456468493</v>
      </c>
      <c r="BF120" s="81">
        <v>4.5830829494987055</v>
      </c>
      <c r="BG120" s="81">
        <v>5.1930999251476759</v>
      </c>
      <c r="BH120" s="81">
        <v>68.705815435668143</v>
      </c>
      <c r="BI120" s="81">
        <v>6.284771708044123</v>
      </c>
      <c r="BJ120" s="81">
        <v>8.8323020142926278</v>
      </c>
      <c r="BK120" s="81">
        <v>1.463063108908317</v>
      </c>
      <c r="BL120" s="81">
        <v>0.20272042787192326</v>
      </c>
      <c r="BM120" s="81">
        <v>1.7992003375963128</v>
      </c>
      <c r="BN120" s="81">
        <v>5.8938975269243414</v>
      </c>
      <c r="BO120" s="81">
        <v>2.7081233776681284</v>
      </c>
      <c r="BP120" s="81">
        <v>0.76363428826573077</v>
      </c>
      <c r="BQ120" s="81">
        <v>1.7831033565173557</v>
      </c>
      <c r="BR120" s="81">
        <v>3.546813538580099</v>
      </c>
      <c r="BS120" s="81"/>
      <c r="BT120" s="81"/>
      <c r="BU120" s="81"/>
      <c r="BV120" s="81"/>
      <c r="BW120" s="81"/>
      <c r="BX120" s="81"/>
      <c r="BY120" s="81"/>
      <c r="BZ120" s="81"/>
      <c r="CA120" s="81"/>
      <c r="CB120" s="81"/>
      <c r="CC120" s="81"/>
      <c r="CD120" s="81"/>
      <c r="CE120" s="81"/>
      <c r="CF120" s="81"/>
      <c r="CG120" s="81"/>
      <c r="CH120" s="81"/>
      <c r="CI120" s="81"/>
      <c r="CJ120" s="81"/>
      <c r="CK120" s="81"/>
      <c r="CL120" s="81"/>
      <c r="CM120" s="81"/>
      <c r="CN120" s="81"/>
      <c r="CO120" s="81"/>
      <c r="CP120" s="81"/>
      <c r="CQ120" s="81"/>
      <c r="CR120" s="81"/>
      <c r="CS120" s="81"/>
      <c r="CT120" s="81"/>
      <c r="CU120" s="81"/>
      <c r="CV120" s="81"/>
      <c r="CW120" s="81"/>
      <c r="CX120" s="81"/>
      <c r="CY120" s="81"/>
      <c r="CZ120" s="81"/>
      <c r="DA120" s="81"/>
      <c r="DB120" s="81"/>
      <c r="DC120" s="81"/>
      <c r="DD120" s="81"/>
      <c r="DE120" s="81"/>
      <c r="DF120" s="81"/>
      <c r="DG120" s="81"/>
      <c r="DH120" s="81"/>
      <c r="DI120" s="81"/>
      <c r="DJ120" s="81"/>
      <c r="DK120" s="81"/>
      <c r="DL120" s="81"/>
      <c r="DM120" s="81"/>
      <c r="DN120" s="81"/>
      <c r="DO120" s="81"/>
      <c r="DP120" s="81"/>
      <c r="DQ120" s="81"/>
      <c r="DR120" s="81"/>
      <c r="DS120" s="81"/>
      <c r="DT120" s="81"/>
      <c r="DU120" s="81"/>
      <c r="DV120" s="81"/>
      <c r="DW120" s="81"/>
      <c r="DX120" s="81"/>
      <c r="DY120" s="81"/>
      <c r="DZ120" s="81"/>
      <c r="EA120" s="81"/>
      <c r="EB120" s="81"/>
      <c r="EC120" s="81"/>
      <c r="ED120" s="81"/>
      <c r="EE120" s="81"/>
      <c r="EF120" s="81"/>
      <c r="EG120" s="81"/>
      <c r="EH120" s="81"/>
      <c r="EI120" s="81"/>
      <c r="EJ120" s="81"/>
      <c r="EK120" s="81"/>
      <c r="EL120" s="81"/>
      <c r="EM120" s="81"/>
      <c r="EN120" s="81"/>
      <c r="EO120" s="81"/>
      <c r="EP120" s="81"/>
      <c r="EQ120" s="81"/>
      <c r="ER120" s="81"/>
      <c r="ES120" s="81"/>
      <c r="ET120" s="81"/>
      <c r="EU120" s="81"/>
      <c r="EV120" s="81"/>
      <c r="EW120" s="81"/>
      <c r="EX120" s="81"/>
      <c r="EY120" s="81"/>
      <c r="EZ120" s="81"/>
      <c r="FA120" s="81"/>
      <c r="FB120" s="81"/>
      <c r="FC120" s="88">
        <v>24.098538799559549</v>
      </c>
      <c r="FD120" s="88">
        <v>29.961328234865903</v>
      </c>
      <c r="FE120" s="88">
        <v>32.283116691433428</v>
      </c>
      <c r="FF120" s="88">
        <v>39.514974511384722</v>
      </c>
      <c r="FG120" s="88">
        <v>45.214817702000737</v>
      </c>
      <c r="FH120" s="88">
        <v>7.4090276359821088</v>
      </c>
      <c r="FI120" s="88">
        <v>9.5634742871074447</v>
      </c>
      <c r="FJ120" s="88">
        <v>12.383686870097115</v>
      </c>
      <c r="FK120" s="88">
        <v>17.47358485720499</v>
      </c>
      <c r="FL120" s="88">
        <v>85.215546844166838</v>
      </c>
      <c r="FM120" s="81"/>
      <c r="FN120" s="81"/>
      <c r="FO120" s="81"/>
      <c r="FP120" s="81"/>
      <c r="FQ120" s="81"/>
      <c r="FR120" s="81"/>
      <c r="FS120" s="81"/>
      <c r="FT120" s="81">
        <v>2.7099003114459865</v>
      </c>
      <c r="FU120" s="81">
        <v>78.502218436318145</v>
      </c>
      <c r="FV120" s="81">
        <v>723.10817013071016</v>
      </c>
      <c r="FW120" s="81"/>
      <c r="FX120" s="86"/>
      <c r="FY120" s="81"/>
      <c r="FZ120" s="81"/>
      <c r="GA120" s="81"/>
      <c r="GB120" s="81"/>
      <c r="GC120" s="81"/>
      <c r="GD120" s="81"/>
      <c r="GE120" s="81"/>
      <c r="GF120" s="81"/>
      <c r="GG120" s="81"/>
      <c r="GH120" s="81"/>
    </row>
    <row r="121" spans="1:190" x14ac:dyDescent="0.2">
      <c r="A121" s="82" t="s">
        <v>440</v>
      </c>
      <c r="B121" s="81">
        <v>1.3837236579026175</v>
      </c>
      <c r="C121" s="81">
        <v>0.30555700016894993</v>
      </c>
      <c r="D121" s="81">
        <v>1.0796022615700214</v>
      </c>
      <c r="E121" s="81">
        <v>2.0713611304358643</v>
      </c>
      <c r="F121" s="81">
        <v>2.1147941675710626E-2</v>
      </c>
      <c r="G121" s="81">
        <v>0.91041095122894156</v>
      </c>
      <c r="H121" s="81">
        <v>0.3162759059802086</v>
      </c>
      <c r="I121" s="81">
        <v>0.58757111826486752</v>
      </c>
      <c r="J121" s="81">
        <v>1.4609813338131914</v>
      </c>
      <c r="K121" s="81">
        <v>15.017597809721217</v>
      </c>
      <c r="L121" s="81">
        <v>4.6186504746759178</v>
      </c>
      <c r="M121" s="81">
        <v>5.5437297906422343E-2</v>
      </c>
      <c r="N121" s="81">
        <v>0.22800110883351368</v>
      </c>
      <c r="O121" s="81">
        <v>2.1422252203105265E-2</v>
      </c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  <c r="AI121" s="81"/>
      <c r="AJ121" s="81"/>
      <c r="AK121" s="81"/>
      <c r="AL121" s="81"/>
      <c r="AM121" s="81"/>
      <c r="AN121" s="81"/>
      <c r="AO121" s="81"/>
      <c r="AP121" s="81"/>
      <c r="AQ121" s="81"/>
      <c r="AR121" s="81"/>
      <c r="AS121" s="81"/>
      <c r="AT121" s="81"/>
      <c r="AU121" s="81"/>
      <c r="AV121" s="81"/>
      <c r="AW121" s="81">
        <v>23.285516338954888</v>
      </c>
      <c r="AX121" s="81"/>
      <c r="AY121" s="81"/>
      <c r="AZ121" s="81"/>
      <c r="BA121" s="81"/>
      <c r="BB121" s="81">
        <v>5.3030576016992174E-2</v>
      </c>
      <c r="BC121" s="81"/>
      <c r="BD121" s="81"/>
      <c r="BE121" s="81"/>
      <c r="BF121" s="81"/>
      <c r="BG121" s="81"/>
      <c r="BH121" s="81"/>
      <c r="BI121" s="81"/>
      <c r="BJ121" s="81"/>
      <c r="BK121" s="81"/>
      <c r="BL121" s="81"/>
      <c r="BM121" s="81"/>
      <c r="BN121" s="81"/>
      <c r="BO121" s="81"/>
      <c r="BP121" s="81"/>
      <c r="BQ121" s="81"/>
      <c r="BR121" s="81"/>
      <c r="BS121" s="81"/>
      <c r="BT121" s="81"/>
      <c r="BU121" s="81"/>
      <c r="BV121" s="81"/>
      <c r="BW121" s="81"/>
      <c r="BX121" s="81"/>
      <c r="BY121" s="81"/>
      <c r="BZ121" s="81"/>
      <c r="CA121" s="81"/>
      <c r="CB121" s="81"/>
      <c r="CC121" s="81"/>
      <c r="CD121" s="81"/>
      <c r="CE121" s="81"/>
      <c r="CF121" s="81"/>
      <c r="CG121" s="81"/>
      <c r="CH121" s="81"/>
      <c r="CI121" s="81"/>
      <c r="CJ121" s="81"/>
      <c r="CK121" s="81"/>
      <c r="CL121" s="81"/>
      <c r="CM121" s="81"/>
      <c r="CN121" s="81"/>
      <c r="CO121" s="81"/>
      <c r="CP121" s="81"/>
      <c r="CQ121" s="81"/>
      <c r="CR121" s="81"/>
      <c r="CS121" s="81"/>
      <c r="CT121" s="81"/>
      <c r="CU121" s="81"/>
      <c r="CV121" s="81"/>
      <c r="CW121" s="81"/>
      <c r="CX121" s="81"/>
      <c r="CY121" s="81"/>
      <c r="CZ121" s="81"/>
      <c r="DA121" s="81"/>
      <c r="DB121" s="81"/>
      <c r="DC121" s="81"/>
      <c r="DD121" s="81"/>
      <c r="DE121" s="81"/>
      <c r="DF121" s="81"/>
      <c r="DG121" s="81"/>
      <c r="DH121" s="81"/>
      <c r="DI121" s="81"/>
      <c r="DJ121" s="81"/>
      <c r="DK121" s="81"/>
      <c r="DL121" s="81"/>
      <c r="DM121" s="81"/>
      <c r="DN121" s="81"/>
      <c r="DO121" s="81"/>
      <c r="DP121" s="81"/>
      <c r="DQ121" s="81"/>
      <c r="DR121" s="81"/>
      <c r="DS121" s="81"/>
      <c r="DT121" s="81"/>
      <c r="DU121" s="81"/>
      <c r="DV121" s="81"/>
      <c r="DW121" s="81"/>
      <c r="DX121" s="81"/>
      <c r="DY121" s="81"/>
      <c r="DZ121" s="81"/>
      <c r="EA121" s="81"/>
      <c r="EB121" s="81"/>
      <c r="EC121" s="81"/>
      <c r="ED121" s="81"/>
      <c r="EE121" s="81"/>
      <c r="EF121" s="81"/>
      <c r="EG121" s="81"/>
      <c r="EH121" s="81"/>
      <c r="EI121" s="81"/>
      <c r="EJ121" s="81"/>
      <c r="EK121" s="81"/>
      <c r="EL121" s="81"/>
      <c r="EM121" s="81"/>
      <c r="EN121" s="81"/>
      <c r="EO121" s="81"/>
      <c r="EP121" s="81"/>
      <c r="EQ121" s="81"/>
      <c r="ER121" s="81"/>
      <c r="ES121" s="81"/>
      <c r="ET121" s="81"/>
      <c r="EU121" s="81"/>
      <c r="EV121" s="81"/>
      <c r="EW121" s="81"/>
      <c r="EX121" s="81"/>
      <c r="EY121" s="81"/>
      <c r="EZ121" s="81"/>
      <c r="FA121" s="81"/>
      <c r="FB121" s="81"/>
      <c r="FC121" s="88"/>
      <c r="FD121" s="88"/>
      <c r="FE121" s="88"/>
      <c r="FF121" s="88"/>
      <c r="FG121" s="88"/>
      <c r="FH121" s="88"/>
      <c r="FI121" s="88"/>
      <c r="FJ121" s="88"/>
      <c r="FK121" s="88"/>
      <c r="FL121" s="88"/>
      <c r="FM121" s="81"/>
      <c r="FN121" s="81"/>
      <c r="FO121" s="81"/>
      <c r="FP121" s="81"/>
      <c r="FQ121" s="81"/>
      <c r="FR121" s="81"/>
      <c r="FS121" s="81"/>
      <c r="FT121" s="81"/>
      <c r="FU121" s="81">
        <v>21.318495970006271</v>
      </c>
      <c r="FV121" s="81">
        <v>72.734783129358703</v>
      </c>
      <c r="FW121" s="81"/>
      <c r="FX121" s="86"/>
      <c r="FY121" s="81"/>
      <c r="FZ121" s="81"/>
      <c r="GA121" s="81"/>
      <c r="GB121" s="81"/>
      <c r="GC121" s="81"/>
      <c r="GD121" s="81"/>
      <c r="GE121" s="81"/>
      <c r="GF121" s="81"/>
      <c r="GG121" s="81"/>
      <c r="GH121" s="81"/>
    </row>
    <row r="122" spans="1:190" x14ac:dyDescent="0.2">
      <c r="A122" s="82" t="s">
        <v>441</v>
      </c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>
        <v>0.22534712086299377</v>
      </c>
      <c r="S122" s="81"/>
      <c r="T122" s="81"/>
      <c r="U122" s="81">
        <v>4.4825961587251981E-2</v>
      </c>
      <c r="V122" s="81"/>
      <c r="W122" s="81">
        <v>0.23117351735730163</v>
      </c>
      <c r="X122" s="81">
        <v>0.27980023695349687</v>
      </c>
      <c r="Y122" s="81">
        <v>1.5735106007136113</v>
      </c>
      <c r="Z122" s="81"/>
      <c r="AA122" s="81"/>
      <c r="AB122" s="81"/>
      <c r="AC122" s="81"/>
      <c r="AD122" s="81"/>
      <c r="AE122" s="81"/>
      <c r="AF122" s="81"/>
      <c r="AG122" s="81"/>
      <c r="AH122" s="81"/>
      <c r="AI122" s="81"/>
      <c r="AJ122" s="81"/>
      <c r="AK122" s="81"/>
      <c r="AL122" s="81"/>
      <c r="AM122" s="81">
        <v>0.96411018707411089</v>
      </c>
      <c r="AN122" s="81">
        <v>12.98740989634037</v>
      </c>
      <c r="AO122" s="81">
        <v>1.1702268988548277</v>
      </c>
      <c r="AP122" s="81">
        <v>10.153288948084169</v>
      </c>
      <c r="AQ122" s="81">
        <v>1.8544488977924174</v>
      </c>
      <c r="AR122" s="81">
        <v>0.58562395335030826</v>
      </c>
      <c r="AS122" s="81">
        <v>1.824798444385463</v>
      </c>
      <c r="AT122" s="81">
        <v>16.783260620706063</v>
      </c>
      <c r="AU122" s="81">
        <v>23.760309111734067</v>
      </c>
      <c r="AV122" s="81">
        <v>2.066807042689788</v>
      </c>
      <c r="AW122" s="81">
        <v>172.50121155972971</v>
      </c>
      <c r="AX122" s="81">
        <v>88.498291933352661</v>
      </c>
      <c r="AY122" s="81">
        <v>4.4005558437470986</v>
      </c>
      <c r="AZ122" s="81">
        <v>2.0130198892370119</v>
      </c>
      <c r="BA122" s="81">
        <v>4.1568534754744322</v>
      </c>
      <c r="BB122" s="81">
        <v>0.24073467830685169</v>
      </c>
      <c r="BC122" s="81">
        <v>1.3549273577100658</v>
      </c>
      <c r="BD122" s="81"/>
      <c r="BE122" s="81">
        <v>8.3475749125611724E-3</v>
      </c>
      <c r="BF122" s="81"/>
      <c r="BG122" s="81">
        <v>9.1970332304697186E-2</v>
      </c>
      <c r="BH122" s="81"/>
      <c r="BI122" s="81">
        <v>0.47444676204843156</v>
      </c>
      <c r="BJ122" s="81">
        <v>1.6643555613651251</v>
      </c>
      <c r="BK122" s="81"/>
      <c r="BL122" s="81"/>
      <c r="BM122" s="81">
        <v>1.1954983227168394</v>
      </c>
      <c r="BN122" s="81">
        <v>0.72460053584202433</v>
      </c>
      <c r="BO122" s="81">
        <v>2.2585926390861619</v>
      </c>
      <c r="BP122" s="81">
        <v>1.836421370920577</v>
      </c>
      <c r="BQ122" s="81">
        <v>33.798335227340011</v>
      </c>
      <c r="BR122" s="81">
        <v>2.2373253809456335</v>
      </c>
      <c r="BS122" s="81"/>
      <c r="BT122" s="81"/>
      <c r="BU122" s="81"/>
      <c r="BV122" s="81"/>
      <c r="BW122" s="81"/>
      <c r="BX122" s="81"/>
      <c r="BY122" s="81"/>
      <c r="BZ122" s="81"/>
      <c r="CA122" s="81"/>
      <c r="CB122" s="81"/>
      <c r="CC122" s="81"/>
      <c r="CD122" s="81"/>
      <c r="CE122" s="81"/>
      <c r="CF122" s="81"/>
      <c r="CG122" s="81"/>
      <c r="CH122" s="81"/>
      <c r="CI122" s="81"/>
      <c r="CJ122" s="81"/>
      <c r="CK122" s="81"/>
      <c r="CL122" s="81"/>
      <c r="CM122" s="81"/>
      <c r="CN122" s="81"/>
      <c r="CO122" s="81"/>
      <c r="CP122" s="81"/>
      <c r="CQ122" s="81"/>
      <c r="CR122" s="81"/>
      <c r="CS122" s="81"/>
      <c r="CT122" s="81"/>
      <c r="CU122" s="81"/>
      <c r="CV122" s="81"/>
      <c r="CW122" s="81"/>
      <c r="CX122" s="81"/>
      <c r="CY122" s="81"/>
      <c r="CZ122" s="81"/>
      <c r="DA122" s="81"/>
      <c r="DB122" s="81"/>
      <c r="DC122" s="81"/>
      <c r="DD122" s="81"/>
      <c r="DE122" s="81"/>
      <c r="DF122" s="81"/>
      <c r="DG122" s="81"/>
      <c r="DH122" s="81"/>
      <c r="DI122" s="81"/>
      <c r="DJ122" s="81"/>
      <c r="DK122" s="81"/>
      <c r="DL122" s="81"/>
      <c r="DM122" s="81"/>
      <c r="DN122" s="81"/>
      <c r="DO122" s="81"/>
      <c r="DP122" s="81"/>
      <c r="DQ122" s="81"/>
      <c r="DR122" s="81"/>
      <c r="DS122" s="81"/>
      <c r="DT122" s="81"/>
      <c r="DU122" s="81"/>
      <c r="DV122" s="81"/>
      <c r="DW122" s="81"/>
      <c r="DX122" s="81"/>
      <c r="DY122" s="81"/>
      <c r="DZ122" s="81"/>
      <c r="EA122" s="81"/>
      <c r="EB122" s="81"/>
      <c r="EC122" s="81"/>
      <c r="ED122" s="81"/>
      <c r="EE122" s="81"/>
      <c r="EF122" s="81"/>
      <c r="EG122" s="81"/>
      <c r="EH122" s="81"/>
      <c r="EI122" s="81"/>
      <c r="EJ122" s="81"/>
      <c r="EK122" s="81"/>
      <c r="EL122" s="81"/>
      <c r="EM122" s="81"/>
      <c r="EN122" s="81"/>
      <c r="EO122" s="81"/>
      <c r="EP122" s="81"/>
      <c r="EQ122" s="81"/>
      <c r="ER122" s="81"/>
      <c r="ES122" s="81"/>
      <c r="ET122" s="81"/>
      <c r="EU122" s="81"/>
      <c r="EV122" s="81"/>
      <c r="EW122" s="81"/>
      <c r="EX122" s="81"/>
      <c r="EY122" s="81"/>
      <c r="EZ122" s="81"/>
      <c r="FA122" s="81"/>
      <c r="FB122" s="81"/>
      <c r="FC122" s="88">
        <v>20.366679241430759</v>
      </c>
      <c r="FD122" s="88">
        <v>28.176259386763562</v>
      </c>
      <c r="FE122" s="88">
        <v>33.969314030075225</v>
      </c>
      <c r="FF122" s="88">
        <v>43.275176074229087</v>
      </c>
      <c r="FG122" s="88">
        <v>54.838456677075278</v>
      </c>
      <c r="FH122" s="88">
        <v>9.7134443844544087</v>
      </c>
      <c r="FI122" s="88">
        <v>15.816417509381548</v>
      </c>
      <c r="FJ122" s="88">
        <v>23.360291495233902</v>
      </c>
      <c r="FK122" s="88">
        <v>35.980145373722422</v>
      </c>
      <c r="FL122" s="88">
        <v>97.9389186819743</v>
      </c>
      <c r="FM122" s="81"/>
      <c r="FN122" s="81"/>
      <c r="FO122" s="81"/>
      <c r="FP122" s="81"/>
      <c r="FQ122" s="81"/>
      <c r="FR122" s="81"/>
      <c r="FS122" s="81"/>
      <c r="FT122" s="81">
        <v>2.1187215598310436</v>
      </c>
      <c r="FU122" s="81">
        <v>68.854706133631595</v>
      </c>
      <c r="FV122" s="81">
        <v>826.36896043132913</v>
      </c>
      <c r="FW122" s="81"/>
      <c r="FX122" s="86"/>
      <c r="FY122" s="81"/>
      <c r="FZ122" s="81"/>
      <c r="GA122" s="81"/>
      <c r="GB122" s="81"/>
      <c r="GC122" s="81"/>
      <c r="GD122" s="81"/>
      <c r="GE122" s="81"/>
      <c r="GF122" s="81"/>
      <c r="GG122" s="81"/>
      <c r="GH122" s="81"/>
    </row>
    <row r="123" spans="1:190" x14ac:dyDescent="0.2">
      <c r="A123" s="82" t="s">
        <v>442</v>
      </c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>
        <v>3.2009754788583256E-2</v>
      </c>
      <c r="V123" s="81"/>
      <c r="W123" s="81">
        <v>0.11320070236382355</v>
      </c>
      <c r="X123" s="81">
        <v>0.11137388786141134</v>
      </c>
      <c r="Y123" s="81">
        <v>4.3123383430257558</v>
      </c>
      <c r="Z123" s="81"/>
      <c r="AA123" s="81"/>
      <c r="AB123" s="81"/>
      <c r="AC123" s="81"/>
      <c r="AD123" s="81"/>
      <c r="AE123" s="81"/>
      <c r="AF123" s="81"/>
      <c r="AG123" s="81"/>
      <c r="AH123" s="81"/>
      <c r="AI123" s="81"/>
      <c r="AJ123" s="81"/>
      <c r="AK123" s="81"/>
      <c r="AL123" s="81"/>
      <c r="AM123" s="81">
        <v>3.7730460742615761E-2</v>
      </c>
      <c r="AN123" s="81"/>
      <c r="AO123" s="81">
        <v>0.15854108948507248</v>
      </c>
      <c r="AP123" s="81">
        <v>7.2804337429776629</v>
      </c>
      <c r="AQ123" s="81">
        <v>2.4889599155372917</v>
      </c>
      <c r="AR123" s="81">
        <v>7.7251465844649592E-2</v>
      </c>
      <c r="AS123" s="81">
        <v>0.10863174601185789</v>
      </c>
      <c r="AT123" s="81">
        <v>0.98323419152984759</v>
      </c>
      <c r="AU123" s="81">
        <v>1.9418067324758781</v>
      </c>
      <c r="AV123" s="81">
        <v>0.16855472862501328</v>
      </c>
      <c r="AW123" s="81">
        <v>22.313630721130888</v>
      </c>
      <c r="AX123" s="81">
        <v>6.6214228039521439</v>
      </c>
      <c r="AY123" s="81">
        <v>19.342821644270675</v>
      </c>
      <c r="AZ123" s="81">
        <v>2.0575335606088716</v>
      </c>
      <c r="BA123" s="81">
        <v>3.2363322241871701</v>
      </c>
      <c r="BB123" s="81">
        <v>0.31557388398730668</v>
      </c>
      <c r="BC123" s="81">
        <v>0.6677807763837631</v>
      </c>
      <c r="BD123" s="81"/>
      <c r="BE123" s="81">
        <v>0.1046320785905871</v>
      </c>
      <c r="BF123" s="81">
        <v>122.86539025814234</v>
      </c>
      <c r="BG123" s="81">
        <v>5.1273621103050617</v>
      </c>
      <c r="BH123" s="81">
        <v>0.30067729144653532</v>
      </c>
      <c r="BI123" s="81">
        <v>0.38922892812029386</v>
      </c>
      <c r="BJ123" s="81">
        <v>1.3654604084660995</v>
      </c>
      <c r="BK123" s="81">
        <v>0.16923938733437971</v>
      </c>
      <c r="BL123" s="81"/>
      <c r="BM123" s="81">
        <v>9.1179425978727835</v>
      </c>
      <c r="BN123" s="81">
        <v>1.8270751745441469</v>
      </c>
      <c r="BO123" s="81">
        <v>1.0409966285346559</v>
      </c>
      <c r="BP123" s="81">
        <v>0.46791576385095252</v>
      </c>
      <c r="BQ123" s="81">
        <v>4.5439952014251714</v>
      </c>
      <c r="BR123" s="81">
        <v>1.323604573861028</v>
      </c>
      <c r="BS123" s="81"/>
      <c r="BT123" s="81"/>
      <c r="BU123" s="81"/>
      <c r="BV123" s="81"/>
      <c r="BW123" s="81"/>
      <c r="BX123" s="81"/>
      <c r="BY123" s="81"/>
      <c r="BZ123" s="81"/>
      <c r="CA123" s="81"/>
      <c r="CB123" s="81"/>
      <c r="CC123" s="81"/>
      <c r="CD123" s="81"/>
      <c r="CE123" s="81"/>
      <c r="CF123" s="81"/>
      <c r="CG123" s="81"/>
      <c r="CH123" s="81"/>
      <c r="CI123" s="81"/>
      <c r="CJ123" s="81"/>
      <c r="CK123" s="81"/>
      <c r="CL123" s="81"/>
      <c r="CM123" s="81"/>
      <c r="CN123" s="81"/>
      <c r="CO123" s="81"/>
      <c r="CP123" s="81"/>
      <c r="CQ123" s="81"/>
      <c r="CR123" s="81"/>
      <c r="CS123" s="81"/>
      <c r="CT123" s="81"/>
      <c r="CU123" s="81"/>
      <c r="CV123" s="81"/>
      <c r="CW123" s="81"/>
      <c r="CX123" s="81"/>
      <c r="CY123" s="81"/>
      <c r="CZ123" s="81"/>
      <c r="DA123" s="81"/>
      <c r="DB123" s="81"/>
      <c r="DC123" s="81"/>
      <c r="DD123" s="81"/>
      <c r="DE123" s="81"/>
      <c r="DF123" s="81"/>
      <c r="DG123" s="81"/>
      <c r="DH123" s="81"/>
      <c r="DI123" s="81"/>
      <c r="DJ123" s="81"/>
      <c r="DK123" s="81"/>
      <c r="DL123" s="81"/>
      <c r="DM123" s="81"/>
      <c r="DN123" s="81"/>
      <c r="DO123" s="81"/>
      <c r="DP123" s="81"/>
      <c r="DQ123" s="81"/>
      <c r="DR123" s="81"/>
      <c r="DS123" s="81"/>
      <c r="DT123" s="81"/>
      <c r="DU123" s="81"/>
      <c r="DV123" s="81"/>
      <c r="DW123" s="81"/>
      <c r="DX123" s="81"/>
      <c r="DY123" s="81"/>
      <c r="DZ123" s="81"/>
      <c r="EA123" s="81"/>
      <c r="EB123" s="81"/>
      <c r="EC123" s="81"/>
      <c r="ED123" s="81"/>
      <c r="EE123" s="81"/>
      <c r="EF123" s="81"/>
      <c r="EG123" s="81"/>
      <c r="EH123" s="81"/>
      <c r="EI123" s="81"/>
      <c r="EJ123" s="81"/>
      <c r="EK123" s="81"/>
      <c r="EL123" s="81"/>
      <c r="EM123" s="81"/>
      <c r="EN123" s="81"/>
      <c r="EO123" s="81"/>
      <c r="EP123" s="81"/>
      <c r="EQ123" s="81"/>
      <c r="ER123" s="81"/>
      <c r="ES123" s="81"/>
      <c r="ET123" s="81"/>
      <c r="EU123" s="81"/>
      <c r="EV123" s="81"/>
      <c r="EW123" s="81"/>
      <c r="EX123" s="81"/>
      <c r="EY123" s="81"/>
      <c r="EZ123" s="81"/>
      <c r="FA123" s="81"/>
      <c r="FB123" s="81"/>
      <c r="FC123" s="88">
        <v>0.24365272598040327</v>
      </c>
      <c r="FD123" s="88">
        <v>0.3630440686113201</v>
      </c>
      <c r="FE123" s="88">
        <v>0.44867719202129697</v>
      </c>
      <c r="FF123" s="88">
        <v>0.50799694110721716</v>
      </c>
      <c r="FG123" s="88">
        <v>0.679078010219339</v>
      </c>
      <c r="FH123" s="88">
        <v>6.1089201308611667E-2</v>
      </c>
      <c r="FI123" s="88">
        <v>9.9265027259437144E-2</v>
      </c>
      <c r="FJ123" s="88">
        <v>0.18853716208871132</v>
      </c>
      <c r="FK123" s="88">
        <v>0.26865049351489279</v>
      </c>
      <c r="FL123" s="88">
        <v>0.79478070552404612</v>
      </c>
      <c r="FM123" s="81"/>
      <c r="FN123" s="81"/>
      <c r="FO123" s="81"/>
      <c r="FP123" s="81"/>
      <c r="FQ123" s="81"/>
      <c r="FR123" s="81"/>
      <c r="FS123" s="81"/>
      <c r="FT123" s="81">
        <v>1.73728093601345</v>
      </c>
      <c r="FU123" s="81">
        <v>19.541356645799912</v>
      </c>
      <c r="FV123" s="81">
        <v>245.94609188773299</v>
      </c>
      <c r="FW123" s="81"/>
      <c r="FX123" s="86"/>
      <c r="FY123" s="81"/>
      <c r="FZ123" s="81"/>
      <c r="GA123" s="81"/>
      <c r="GB123" s="81"/>
      <c r="GC123" s="81"/>
      <c r="GD123" s="81"/>
      <c r="GE123" s="81"/>
      <c r="GF123" s="81"/>
      <c r="GG123" s="81"/>
      <c r="GH123" s="81"/>
    </row>
    <row r="124" spans="1:190" x14ac:dyDescent="0.2">
      <c r="A124" s="82" t="s">
        <v>443</v>
      </c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>
        <v>1.0598168441078575</v>
      </c>
      <c r="X124" s="81">
        <v>0.82063293805330884</v>
      </c>
      <c r="Y124" s="81">
        <v>3.8819097811405379</v>
      </c>
      <c r="Z124" s="81"/>
      <c r="AA124" s="81"/>
      <c r="AB124" s="81"/>
      <c r="AC124" s="81"/>
      <c r="AD124" s="81"/>
      <c r="AE124" s="81"/>
      <c r="AF124" s="81"/>
      <c r="AG124" s="81"/>
      <c r="AH124" s="81"/>
      <c r="AI124" s="81"/>
      <c r="AJ124" s="81"/>
      <c r="AK124" s="81"/>
      <c r="AL124" s="81"/>
      <c r="AM124" s="81">
        <v>3.3824376217013945E-2</v>
      </c>
      <c r="AN124" s="81">
        <v>0.8098086551853293</v>
      </c>
      <c r="AO124" s="81">
        <v>0.13804241572536019</v>
      </c>
      <c r="AP124" s="81">
        <v>0.75687893568655917</v>
      </c>
      <c r="AQ124" s="81">
        <v>0.19387306363886156</v>
      </c>
      <c r="AR124" s="81">
        <v>6.188055496567163E-2</v>
      </c>
      <c r="AS124" s="81">
        <v>0.28979216226475712</v>
      </c>
      <c r="AT124" s="81">
        <v>2.627915006030781</v>
      </c>
      <c r="AU124" s="81">
        <v>8.6893323869672709</v>
      </c>
      <c r="AV124" s="81">
        <v>0.75408709534635654</v>
      </c>
      <c r="AW124" s="81">
        <v>7.9521110665900734</v>
      </c>
      <c r="AX124" s="81">
        <v>12.375551381858417</v>
      </c>
      <c r="AY124" s="81">
        <v>63.688683625517122</v>
      </c>
      <c r="AZ124" s="81">
        <v>42.632706902091208</v>
      </c>
      <c r="BA124" s="81">
        <v>36.946943103146893</v>
      </c>
      <c r="BB124" s="81">
        <v>4.3370729708581512</v>
      </c>
      <c r="BC124" s="81">
        <v>9.0319390244769409</v>
      </c>
      <c r="BD124" s="81"/>
      <c r="BE124" s="81"/>
      <c r="BF124" s="81">
        <v>78.194849938781886</v>
      </c>
      <c r="BG124" s="81">
        <v>3.6520711732202567</v>
      </c>
      <c r="BH124" s="81">
        <v>0.300491867205881</v>
      </c>
      <c r="BI124" s="81">
        <v>0.18665994902337721</v>
      </c>
      <c r="BJ124" s="81">
        <v>0.65465443804065915</v>
      </c>
      <c r="BK124" s="81">
        <v>0.52109235772356377</v>
      </c>
      <c r="BL124" s="81">
        <v>0.13553772839727654</v>
      </c>
      <c r="BM124" s="81">
        <v>2.1063800570977333</v>
      </c>
      <c r="BN124" s="81">
        <v>16.573529137074466</v>
      </c>
      <c r="BO124" s="81">
        <v>1.1506524435592036</v>
      </c>
      <c r="BP124" s="81">
        <v>0.93414179669053832</v>
      </c>
      <c r="BQ124" s="81">
        <v>2.5670768599955358</v>
      </c>
      <c r="BR124" s="81">
        <v>3.4246598687431828</v>
      </c>
      <c r="BS124" s="81"/>
      <c r="BT124" s="81"/>
      <c r="BU124" s="81"/>
      <c r="BV124" s="81"/>
      <c r="BW124" s="81"/>
      <c r="BX124" s="81"/>
      <c r="BY124" s="81"/>
      <c r="BZ124" s="81"/>
      <c r="CA124" s="81"/>
      <c r="CB124" s="81"/>
      <c r="CC124" s="81"/>
      <c r="CD124" s="81"/>
      <c r="CE124" s="81"/>
      <c r="CF124" s="81"/>
      <c r="CG124" s="81"/>
      <c r="CH124" s="81"/>
      <c r="CI124" s="81"/>
      <c r="CJ124" s="81"/>
      <c r="CK124" s="81"/>
      <c r="CL124" s="81"/>
      <c r="CM124" s="81"/>
      <c r="CN124" s="81"/>
      <c r="CO124" s="81"/>
      <c r="CP124" s="81"/>
      <c r="CQ124" s="81"/>
      <c r="CR124" s="81"/>
      <c r="CS124" s="81"/>
      <c r="CT124" s="81"/>
      <c r="CU124" s="81"/>
      <c r="CV124" s="81"/>
      <c r="CW124" s="81"/>
      <c r="CX124" s="81"/>
      <c r="CY124" s="81"/>
      <c r="CZ124" s="81"/>
      <c r="DA124" s="81"/>
      <c r="DB124" s="81"/>
      <c r="DC124" s="81"/>
      <c r="DD124" s="81"/>
      <c r="DE124" s="81"/>
      <c r="DF124" s="81"/>
      <c r="DG124" s="81"/>
      <c r="DH124" s="81"/>
      <c r="DI124" s="81"/>
      <c r="DJ124" s="81"/>
      <c r="DK124" s="81"/>
      <c r="DL124" s="81"/>
      <c r="DM124" s="81"/>
      <c r="DN124" s="81"/>
      <c r="DO124" s="81"/>
      <c r="DP124" s="81"/>
      <c r="DQ124" s="81"/>
      <c r="DR124" s="81"/>
      <c r="DS124" s="81"/>
      <c r="DT124" s="81"/>
      <c r="DU124" s="81"/>
      <c r="DV124" s="81"/>
      <c r="DW124" s="81"/>
      <c r="DX124" s="81"/>
      <c r="DY124" s="81"/>
      <c r="DZ124" s="81"/>
      <c r="EA124" s="81"/>
      <c r="EB124" s="81"/>
      <c r="EC124" s="81"/>
      <c r="ED124" s="81"/>
      <c r="EE124" s="81"/>
      <c r="EF124" s="81"/>
      <c r="EG124" s="81"/>
      <c r="EH124" s="81"/>
      <c r="EI124" s="81"/>
      <c r="EJ124" s="81"/>
      <c r="EK124" s="81"/>
      <c r="EL124" s="81"/>
      <c r="EM124" s="81"/>
      <c r="EN124" s="81"/>
      <c r="EO124" s="81"/>
      <c r="EP124" s="81"/>
      <c r="EQ124" s="81"/>
      <c r="ER124" s="81"/>
      <c r="ES124" s="81"/>
      <c r="ET124" s="81"/>
      <c r="EU124" s="81"/>
      <c r="EV124" s="81"/>
      <c r="EW124" s="81"/>
      <c r="EX124" s="81"/>
      <c r="EY124" s="81"/>
      <c r="EZ124" s="81"/>
      <c r="FA124" s="81"/>
      <c r="FB124" s="81"/>
      <c r="FC124" s="88">
        <v>0.6182374978222539</v>
      </c>
      <c r="FD124" s="88">
        <v>0.87567856645749453</v>
      </c>
      <c r="FE124" s="88">
        <v>1.0148847309403628</v>
      </c>
      <c r="FF124" s="88">
        <v>1.2200224271571085</v>
      </c>
      <c r="FG124" s="88">
        <v>1.1807359872406846</v>
      </c>
      <c r="FH124" s="88">
        <v>0.31718080143282573</v>
      </c>
      <c r="FI124" s="88">
        <v>0.51694975760656925</v>
      </c>
      <c r="FJ124" s="88">
        <v>0.79596803132906069</v>
      </c>
      <c r="FK124" s="88">
        <v>1.1482498325705657</v>
      </c>
      <c r="FL124" s="88">
        <v>2.7505518271396325</v>
      </c>
      <c r="FM124" s="81"/>
      <c r="FN124" s="81"/>
      <c r="FO124" s="81"/>
      <c r="FP124" s="81"/>
      <c r="FQ124" s="81"/>
      <c r="FR124" s="81"/>
      <c r="FS124" s="81">
        <v>41.937814133479677</v>
      </c>
      <c r="FT124" s="81">
        <v>0.51737200418214002</v>
      </c>
      <c r="FU124" s="81">
        <v>26.112207162222354</v>
      </c>
      <c r="FV124" s="81">
        <v>386.49045266500269</v>
      </c>
      <c r="FW124" s="81"/>
      <c r="FX124" s="86"/>
      <c r="FY124" s="81"/>
      <c r="FZ124" s="81"/>
      <c r="GA124" s="81"/>
      <c r="GB124" s="81"/>
      <c r="GC124" s="81"/>
      <c r="GD124" s="81"/>
      <c r="GE124" s="81"/>
      <c r="GF124" s="81"/>
      <c r="GG124" s="81"/>
      <c r="GH124" s="81"/>
    </row>
    <row r="125" spans="1:190" x14ac:dyDescent="0.2">
      <c r="A125" s="82" t="s">
        <v>444</v>
      </c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>
        <v>4.8502197159713107</v>
      </c>
      <c r="X125" s="81">
        <v>0.33137567043406252</v>
      </c>
      <c r="Y125" s="81">
        <v>3.8471657825707335</v>
      </c>
      <c r="Z125" s="81"/>
      <c r="AA125" s="81"/>
      <c r="AB125" s="81"/>
      <c r="AC125" s="81"/>
      <c r="AD125" s="81"/>
      <c r="AE125" s="81"/>
      <c r="AF125" s="81"/>
      <c r="AG125" s="81"/>
      <c r="AH125" s="81"/>
      <c r="AI125" s="81"/>
      <c r="AJ125" s="81"/>
      <c r="AK125" s="81"/>
      <c r="AL125" s="81"/>
      <c r="AM125" s="81">
        <v>7.3033450891951276E-2</v>
      </c>
      <c r="AN125" s="81">
        <v>1.2277848273837071</v>
      </c>
      <c r="AO125" s="81">
        <v>0.33547792132265447</v>
      </c>
      <c r="AP125" s="81">
        <v>0.89258686377695795</v>
      </c>
      <c r="AQ125" s="81">
        <v>1.3432912163410751</v>
      </c>
      <c r="AR125" s="81">
        <v>2.0809981084843318E-2</v>
      </c>
      <c r="AS125" s="81">
        <v>5.1944039836491526E-2</v>
      </c>
      <c r="AT125" s="81">
        <v>0.46973005990842293</v>
      </c>
      <c r="AU125" s="81">
        <v>0.9712737546206498</v>
      </c>
      <c r="AV125" s="81">
        <v>8.4365933282549682E-2</v>
      </c>
      <c r="AW125" s="81">
        <v>5.1928592974958159</v>
      </c>
      <c r="AX125" s="81">
        <v>1.2780365243190004</v>
      </c>
      <c r="AY125" s="81">
        <v>2.7495224728976129</v>
      </c>
      <c r="AZ125" s="81">
        <v>1.6186538165501905</v>
      </c>
      <c r="BA125" s="81">
        <v>1.2724334902133267</v>
      </c>
      <c r="BB125" s="81">
        <v>0.12336099805337403</v>
      </c>
      <c r="BC125" s="81">
        <v>1.0384242202595915</v>
      </c>
      <c r="BD125" s="81">
        <v>6.5667559664732114</v>
      </c>
      <c r="BE125" s="81">
        <v>1.2379435238757872</v>
      </c>
      <c r="BF125" s="81">
        <v>31.956286778515686</v>
      </c>
      <c r="BG125" s="81">
        <v>6.6689304696966725E-2</v>
      </c>
      <c r="BH125" s="81">
        <v>15.204248253632944</v>
      </c>
      <c r="BI125" s="81">
        <v>7.3624778803481954</v>
      </c>
      <c r="BJ125" s="81">
        <v>25.717087360925692</v>
      </c>
      <c r="BK125" s="81">
        <v>3.8335865820924186E-2</v>
      </c>
      <c r="BL125" s="81"/>
      <c r="BM125" s="81">
        <v>0.61523968543602503</v>
      </c>
      <c r="BN125" s="81">
        <v>0.20112189868966068</v>
      </c>
      <c r="BO125" s="81">
        <v>1.9890061524765339</v>
      </c>
      <c r="BP125" s="81">
        <v>0.30898236148646308</v>
      </c>
      <c r="BQ125" s="81">
        <v>1.9523051410776986</v>
      </c>
      <c r="BR125" s="81">
        <v>0.82251526592439184</v>
      </c>
      <c r="BS125" s="81"/>
      <c r="BT125" s="81"/>
      <c r="BU125" s="81"/>
      <c r="BV125" s="81"/>
      <c r="BW125" s="81"/>
      <c r="BX125" s="81"/>
      <c r="BY125" s="81"/>
      <c r="BZ125" s="81"/>
      <c r="CA125" s="81"/>
      <c r="CB125" s="81"/>
      <c r="CC125" s="81"/>
      <c r="CD125" s="81"/>
      <c r="CE125" s="81"/>
      <c r="CF125" s="81"/>
      <c r="CG125" s="81"/>
      <c r="CH125" s="81"/>
      <c r="CI125" s="81"/>
      <c r="CJ125" s="81"/>
      <c r="CK125" s="81"/>
      <c r="CL125" s="81"/>
      <c r="CM125" s="81"/>
      <c r="CN125" s="81"/>
      <c r="CO125" s="81"/>
      <c r="CP125" s="81"/>
      <c r="CQ125" s="81"/>
      <c r="CR125" s="81"/>
      <c r="CS125" s="81"/>
      <c r="CT125" s="81"/>
      <c r="CU125" s="81"/>
      <c r="CV125" s="81"/>
      <c r="CW125" s="81"/>
      <c r="CX125" s="81"/>
      <c r="CY125" s="81"/>
      <c r="CZ125" s="81"/>
      <c r="DA125" s="81"/>
      <c r="DB125" s="81"/>
      <c r="DC125" s="81"/>
      <c r="DD125" s="81"/>
      <c r="DE125" s="81"/>
      <c r="DF125" s="81"/>
      <c r="DG125" s="81"/>
      <c r="DH125" s="81"/>
      <c r="DI125" s="81"/>
      <c r="DJ125" s="81"/>
      <c r="DK125" s="81"/>
      <c r="DL125" s="81"/>
      <c r="DM125" s="81"/>
      <c r="DN125" s="81"/>
      <c r="DO125" s="81"/>
      <c r="DP125" s="81"/>
      <c r="DQ125" s="81"/>
      <c r="DR125" s="81"/>
      <c r="DS125" s="81"/>
      <c r="DT125" s="81"/>
      <c r="DU125" s="81"/>
      <c r="DV125" s="81"/>
      <c r="DW125" s="81"/>
      <c r="DX125" s="81"/>
      <c r="DY125" s="81"/>
      <c r="DZ125" s="81"/>
      <c r="EA125" s="81"/>
      <c r="EB125" s="81"/>
      <c r="EC125" s="81"/>
      <c r="ED125" s="81"/>
      <c r="EE125" s="81"/>
      <c r="EF125" s="81"/>
      <c r="EG125" s="81"/>
      <c r="EH125" s="81"/>
      <c r="EI125" s="81"/>
      <c r="EJ125" s="81"/>
      <c r="EK125" s="81"/>
      <c r="EL125" s="81"/>
      <c r="EM125" s="81"/>
      <c r="EN125" s="81"/>
      <c r="EO125" s="81"/>
      <c r="EP125" s="81"/>
      <c r="EQ125" s="81"/>
      <c r="ER125" s="81"/>
      <c r="ES125" s="81"/>
      <c r="ET125" s="81"/>
      <c r="EU125" s="81"/>
      <c r="EV125" s="81"/>
      <c r="EW125" s="81"/>
      <c r="EX125" s="81"/>
      <c r="EY125" s="81"/>
      <c r="EZ125" s="81"/>
      <c r="FA125" s="81"/>
      <c r="FB125" s="81"/>
      <c r="FC125" s="88">
        <v>1.9375071492351754E-3</v>
      </c>
      <c r="FD125" s="88">
        <v>7.0558222795470372E-3</v>
      </c>
      <c r="FE125" s="88">
        <v>2.2859021567845942E-3</v>
      </c>
      <c r="FF125" s="88">
        <v>3.7266052581419913E-2</v>
      </c>
      <c r="FG125" s="88">
        <v>1.7985213231677458E-2</v>
      </c>
      <c r="FH125" s="88">
        <v>8.997971773253749E-4</v>
      </c>
      <c r="FI125" s="88">
        <v>2.8021828082690279E-4</v>
      </c>
      <c r="FJ125" s="88">
        <v>8.8491501771609353E-3</v>
      </c>
      <c r="FK125" s="88">
        <v>9.6777476924793104E-3</v>
      </c>
      <c r="FL125" s="88">
        <v>3.4304849772289897E-2</v>
      </c>
      <c r="FM125" s="81"/>
      <c r="FN125" s="81"/>
      <c r="FO125" s="81"/>
      <c r="FP125" s="81"/>
      <c r="FQ125" s="81"/>
      <c r="FR125" s="81"/>
      <c r="FS125" s="81">
        <v>69.884441973491633</v>
      </c>
      <c r="FT125" s="81">
        <v>1.4419634844615716</v>
      </c>
      <c r="FU125" s="81">
        <v>1.4093819072605551</v>
      </c>
      <c r="FV125" s="81">
        <v>194.66767510230699</v>
      </c>
      <c r="FW125" s="81"/>
      <c r="FX125" s="86"/>
      <c r="FY125" s="81"/>
      <c r="FZ125" s="81"/>
      <c r="GA125" s="81"/>
      <c r="GB125" s="81"/>
      <c r="GC125" s="81"/>
      <c r="GD125" s="81"/>
      <c r="GE125" s="81"/>
      <c r="GF125" s="81"/>
      <c r="GG125" s="81"/>
      <c r="GH125" s="81"/>
    </row>
    <row r="126" spans="1:190" x14ac:dyDescent="0.2">
      <c r="A126" s="82" t="s">
        <v>445</v>
      </c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>
        <v>0.13866454100379302</v>
      </c>
      <c r="X126" s="81"/>
      <c r="Y126" s="81">
        <v>0.38856929983454647</v>
      </c>
      <c r="Z126" s="81"/>
      <c r="AA126" s="81"/>
      <c r="AB126" s="81"/>
      <c r="AC126" s="81"/>
      <c r="AD126" s="81"/>
      <c r="AE126" s="81"/>
      <c r="AF126" s="81"/>
      <c r="AG126" s="81"/>
      <c r="AH126" s="81"/>
      <c r="AI126" s="81"/>
      <c r="AJ126" s="81"/>
      <c r="AK126" s="81"/>
      <c r="AL126" s="81"/>
      <c r="AM126" s="81"/>
      <c r="AN126" s="81"/>
      <c r="AO126" s="81"/>
      <c r="AP126" s="81"/>
      <c r="AQ126" s="81"/>
      <c r="AR126" s="81"/>
      <c r="AS126" s="81"/>
      <c r="AT126" s="81"/>
      <c r="AU126" s="81">
        <v>0.18378582078250469</v>
      </c>
      <c r="AV126" s="81">
        <v>1.595483351766205E-2</v>
      </c>
      <c r="AW126" s="81">
        <v>0.11053727279899676</v>
      </c>
      <c r="AX126" s="81">
        <v>0.10778089154626595</v>
      </c>
      <c r="AY126" s="81">
        <v>7.7970801000729437E-2</v>
      </c>
      <c r="AZ126" s="81">
        <v>1.6088096278695234</v>
      </c>
      <c r="BA126" s="81">
        <v>7.6879615863438406</v>
      </c>
      <c r="BB126" s="81">
        <v>6.666028709730093E-2</v>
      </c>
      <c r="BC126" s="81">
        <v>0.15505266680419716</v>
      </c>
      <c r="BD126" s="81"/>
      <c r="BE126" s="81"/>
      <c r="BF126" s="81"/>
      <c r="BG126" s="81"/>
      <c r="BH126" s="81"/>
      <c r="BI126" s="81"/>
      <c r="BJ126" s="81">
        <v>2.7761017708966825E-2</v>
      </c>
      <c r="BK126" s="81">
        <v>7.7627068029737539E-2</v>
      </c>
      <c r="BL126" s="81"/>
      <c r="BM126" s="81"/>
      <c r="BN126" s="81">
        <v>1.0876255667637142</v>
      </c>
      <c r="BO126" s="81">
        <v>0.46567358194239544</v>
      </c>
      <c r="BP126" s="81">
        <v>0.13927725879153327</v>
      </c>
      <c r="BQ126" s="81">
        <v>1.35063624533288</v>
      </c>
      <c r="BR126" s="81">
        <v>1.9698634848397254</v>
      </c>
      <c r="BS126" s="81"/>
      <c r="BT126" s="81"/>
      <c r="BU126" s="81"/>
      <c r="BV126" s="81"/>
      <c r="BW126" s="81"/>
      <c r="BX126" s="81"/>
      <c r="BY126" s="81"/>
      <c r="BZ126" s="81"/>
      <c r="CA126" s="81"/>
      <c r="CB126" s="81"/>
      <c r="CC126" s="81"/>
      <c r="CD126" s="81"/>
      <c r="CE126" s="81"/>
      <c r="CF126" s="81"/>
      <c r="CG126" s="81"/>
      <c r="CH126" s="81"/>
      <c r="CI126" s="81"/>
      <c r="CJ126" s="81"/>
      <c r="CK126" s="81"/>
      <c r="CL126" s="81"/>
      <c r="CM126" s="81"/>
      <c r="CN126" s="81"/>
      <c r="CO126" s="81"/>
      <c r="CP126" s="81"/>
      <c r="CQ126" s="81"/>
      <c r="CR126" s="81"/>
      <c r="CS126" s="81"/>
      <c r="CT126" s="81"/>
      <c r="CU126" s="81"/>
      <c r="CV126" s="81"/>
      <c r="CW126" s="81"/>
      <c r="CX126" s="81"/>
      <c r="CY126" s="81"/>
      <c r="CZ126" s="81"/>
      <c r="DA126" s="81"/>
      <c r="DB126" s="81"/>
      <c r="DC126" s="81"/>
      <c r="DD126" s="81"/>
      <c r="DE126" s="81"/>
      <c r="DF126" s="81"/>
      <c r="DG126" s="81"/>
      <c r="DH126" s="81"/>
      <c r="DI126" s="81"/>
      <c r="DJ126" s="81"/>
      <c r="DK126" s="81"/>
      <c r="DL126" s="81"/>
      <c r="DM126" s="81"/>
      <c r="DN126" s="81"/>
      <c r="DO126" s="81"/>
      <c r="DP126" s="81"/>
      <c r="DQ126" s="81"/>
      <c r="DR126" s="81"/>
      <c r="DS126" s="81"/>
      <c r="DT126" s="81"/>
      <c r="DU126" s="81"/>
      <c r="DV126" s="81"/>
      <c r="DW126" s="81"/>
      <c r="DX126" s="81"/>
      <c r="DY126" s="81"/>
      <c r="DZ126" s="81"/>
      <c r="EA126" s="81"/>
      <c r="EB126" s="81"/>
      <c r="EC126" s="81"/>
      <c r="ED126" s="81"/>
      <c r="EE126" s="81"/>
      <c r="EF126" s="81"/>
      <c r="EG126" s="81"/>
      <c r="EH126" s="81"/>
      <c r="EI126" s="81"/>
      <c r="EJ126" s="81"/>
      <c r="EK126" s="81"/>
      <c r="EL126" s="81"/>
      <c r="EM126" s="81"/>
      <c r="EN126" s="81"/>
      <c r="EO126" s="81"/>
      <c r="EP126" s="81"/>
      <c r="EQ126" s="81"/>
      <c r="ER126" s="81"/>
      <c r="ES126" s="81"/>
      <c r="ET126" s="81"/>
      <c r="EU126" s="81"/>
      <c r="EV126" s="81"/>
      <c r="EW126" s="81"/>
      <c r="EX126" s="81"/>
      <c r="EY126" s="81"/>
      <c r="EZ126" s="81"/>
      <c r="FA126" s="81"/>
      <c r="FB126" s="81"/>
      <c r="FC126" s="88">
        <v>2.7133249425716515</v>
      </c>
      <c r="FD126" s="88">
        <v>4.5850074666976628</v>
      </c>
      <c r="FE126" s="88">
        <v>5.6758488054119915</v>
      </c>
      <c r="FF126" s="88">
        <v>7.8830273425809558</v>
      </c>
      <c r="FG126" s="88">
        <v>10.591641905004396</v>
      </c>
      <c r="FH126" s="88">
        <v>0.78589747179254943</v>
      </c>
      <c r="FI126" s="88">
        <v>1.6763613839130802</v>
      </c>
      <c r="FJ126" s="88">
        <v>2.5990509866359193</v>
      </c>
      <c r="FK126" s="88">
        <v>3.9538948344460558</v>
      </c>
      <c r="FL126" s="88">
        <v>13.892389801355227</v>
      </c>
      <c r="FM126" s="81"/>
      <c r="FN126" s="81"/>
      <c r="FO126" s="81"/>
      <c r="FP126" s="81"/>
      <c r="FQ126" s="81"/>
      <c r="FR126" s="81"/>
      <c r="FS126" s="81">
        <v>107.1659309334551</v>
      </c>
      <c r="FT126" s="81">
        <v>0.69109417561822706</v>
      </c>
      <c r="FU126" s="81">
        <v>32.331061006736391</v>
      </c>
      <c r="FV126" s="81">
        <v>210.2047429082275</v>
      </c>
      <c r="FW126" s="81"/>
      <c r="FX126" s="86"/>
      <c r="FY126" s="81"/>
      <c r="FZ126" s="81"/>
      <c r="GA126" s="81"/>
      <c r="GB126" s="81"/>
      <c r="GC126" s="81"/>
      <c r="GD126" s="81"/>
      <c r="GE126" s="81"/>
      <c r="GF126" s="81"/>
      <c r="GG126" s="81"/>
      <c r="GH126" s="81"/>
    </row>
    <row r="127" spans="1:190" x14ac:dyDescent="0.2">
      <c r="A127" s="82" t="s">
        <v>446</v>
      </c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>
        <v>0.17726032176138887</v>
      </c>
      <c r="X127" s="81"/>
      <c r="Y127" s="81">
        <v>0.1852308756059006</v>
      </c>
      <c r="Z127" s="81"/>
      <c r="AA127" s="81"/>
      <c r="AB127" s="81"/>
      <c r="AC127" s="81"/>
      <c r="AD127" s="81"/>
      <c r="AE127" s="81"/>
      <c r="AF127" s="81"/>
      <c r="AG127" s="81"/>
      <c r="AH127" s="81"/>
      <c r="AI127" s="81"/>
      <c r="AJ127" s="81"/>
      <c r="AK127" s="81"/>
      <c r="AL127" s="81"/>
      <c r="AM127" s="81"/>
      <c r="AN127" s="81"/>
      <c r="AO127" s="81">
        <v>6.0136240705553528E-3</v>
      </c>
      <c r="AP127" s="81">
        <v>3.295587269478064E-2</v>
      </c>
      <c r="AQ127" s="81"/>
      <c r="AR127" s="81">
        <v>1.1273836803145441E-3</v>
      </c>
      <c r="AS127" s="81">
        <v>1.1457723739769353E-2</v>
      </c>
      <c r="AT127" s="81">
        <v>0.10359899854362616</v>
      </c>
      <c r="AU127" s="81">
        <v>0.16524429037934132</v>
      </c>
      <c r="AV127" s="81">
        <v>1.4344579064761956E-2</v>
      </c>
      <c r="AW127" s="81"/>
      <c r="AX127" s="81">
        <v>0.1400250457500849</v>
      </c>
      <c r="AY127" s="81">
        <v>0.13790989502135648</v>
      </c>
      <c r="AZ127" s="81">
        <v>0.20226208131370491</v>
      </c>
      <c r="BA127" s="81">
        <v>2.9379412499958329E-2</v>
      </c>
      <c r="BB127" s="81">
        <v>3.089895540043166</v>
      </c>
      <c r="BC127" s="81">
        <v>0.79913682814797926</v>
      </c>
      <c r="BD127" s="81"/>
      <c r="BE127" s="81"/>
      <c r="BF127" s="81"/>
      <c r="BG127" s="81">
        <v>8.6596734663394515E-2</v>
      </c>
      <c r="BH127" s="81">
        <v>0.44456030711564692</v>
      </c>
      <c r="BI127" s="81"/>
      <c r="BJ127" s="81">
        <v>8.49642684915905E-2</v>
      </c>
      <c r="BK127" s="81"/>
      <c r="BL127" s="81"/>
      <c r="BM127" s="81"/>
      <c r="BN127" s="81"/>
      <c r="BO127" s="81"/>
      <c r="BP127" s="81"/>
      <c r="BQ127" s="81">
        <v>4.8926399147547053E-2</v>
      </c>
      <c r="BR127" s="81">
        <v>0.34460811481693365</v>
      </c>
      <c r="BS127" s="81"/>
      <c r="BT127" s="81"/>
      <c r="BU127" s="81"/>
      <c r="BV127" s="81"/>
      <c r="BW127" s="81"/>
      <c r="BX127" s="81"/>
      <c r="BY127" s="81"/>
      <c r="BZ127" s="81"/>
      <c r="CA127" s="81"/>
      <c r="CB127" s="81"/>
      <c r="CC127" s="81"/>
      <c r="CD127" s="81"/>
      <c r="CE127" s="81"/>
      <c r="CF127" s="81"/>
      <c r="CG127" s="81"/>
      <c r="CH127" s="81"/>
      <c r="CI127" s="81"/>
      <c r="CJ127" s="81"/>
      <c r="CK127" s="81"/>
      <c r="CL127" s="81"/>
      <c r="CM127" s="81"/>
      <c r="CN127" s="81"/>
      <c r="CO127" s="81"/>
      <c r="CP127" s="81"/>
      <c r="CQ127" s="81"/>
      <c r="CR127" s="81"/>
      <c r="CS127" s="81"/>
      <c r="CT127" s="81"/>
      <c r="CU127" s="81"/>
      <c r="CV127" s="81"/>
      <c r="CW127" s="81"/>
      <c r="CX127" s="81"/>
      <c r="CY127" s="81"/>
      <c r="CZ127" s="81"/>
      <c r="DA127" s="81"/>
      <c r="DB127" s="81"/>
      <c r="DC127" s="81"/>
      <c r="DD127" s="81"/>
      <c r="DE127" s="81"/>
      <c r="DF127" s="81"/>
      <c r="DG127" s="81"/>
      <c r="DH127" s="81"/>
      <c r="DI127" s="81"/>
      <c r="DJ127" s="81"/>
      <c r="DK127" s="81"/>
      <c r="DL127" s="81"/>
      <c r="DM127" s="81"/>
      <c r="DN127" s="81"/>
      <c r="DO127" s="81"/>
      <c r="DP127" s="81"/>
      <c r="DQ127" s="81"/>
      <c r="DR127" s="81"/>
      <c r="DS127" s="81"/>
      <c r="DT127" s="81"/>
      <c r="DU127" s="81"/>
      <c r="DV127" s="81"/>
      <c r="DW127" s="81"/>
      <c r="DX127" s="81"/>
      <c r="DY127" s="81"/>
      <c r="DZ127" s="81"/>
      <c r="EA127" s="81"/>
      <c r="EB127" s="81"/>
      <c r="EC127" s="81"/>
      <c r="ED127" s="81"/>
      <c r="EE127" s="81"/>
      <c r="EF127" s="81"/>
      <c r="EG127" s="81"/>
      <c r="EH127" s="81"/>
      <c r="EI127" s="81"/>
      <c r="EJ127" s="81"/>
      <c r="EK127" s="81"/>
      <c r="EL127" s="81"/>
      <c r="EM127" s="81"/>
      <c r="EN127" s="81"/>
      <c r="EO127" s="81"/>
      <c r="EP127" s="81"/>
      <c r="EQ127" s="81"/>
      <c r="ER127" s="81"/>
      <c r="ES127" s="81"/>
      <c r="ET127" s="81"/>
      <c r="EU127" s="81"/>
      <c r="EV127" s="81"/>
      <c r="EW127" s="81"/>
      <c r="EX127" s="81"/>
      <c r="EY127" s="81"/>
      <c r="EZ127" s="81"/>
      <c r="FA127" s="81"/>
      <c r="FB127" s="81"/>
      <c r="FC127" s="88">
        <v>1.3197960759330656E-2</v>
      </c>
      <c r="FD127" s="88">
        <v>4.170150527045708E-2</v>
      </c>
      <c r="FE127" s="88">
        <v>4.7926624099336609E-2</v>
      </c>
      <c r="FF127" s="88">
        <v>7.0913205556540806E-2</v>
      </c>
      <c r="FG127" s="88">
        <v>0.26423492728204073</v>
      </c>
      <c r="FH127" s="88">
        <v>5.8460511079350304E-3</v>
      </c>
      <c r="FI127" s="88">
        <v>1.3700016063990388E-2</v>
      </c>
      <c r="FJ127" s="88">
        <v>3.5086781177983646E-2</v>
      </c>
      <c r="FK127" s="88">
        <v>8.5914755080668828E-2</v>
      </c>
      <c r="FL127" s="88">
        <v>0.65394390337057595</v>
      </c>
      <c r="FM127" s="81"/>
      <c r="FN127" s="81"/>
      <c r="FO127" s="81"/>
      <c r="FP127" s="81"/>
      <c r="FQ127" s="81"/>
      <c r="FR127" s="81"/>
      <c r="FS127" s="81">
        <v>107.322878691832</v>
      </c>
      <c r="FT127" s="81">
        <v>-0.31010111543290853</v>
      </c>
      <c r="FU127" s="81">
        <v>1.2270030629120938</v>
      </c>
      <c r="FV127" s="81">
        <v>115.57774466563184</v>
      </c>
      <c r="FW127" s="81"/>
      <c r="FX127" s="86"/>
      <c r="FY127" s="81"/>
      <c r="FZ127" s="81"/>
      <c r="GA127" s="81"/>
      <c r="GB127" s="81"/>
      <c r="GC127" s="81"/>
      <c r="GD127" s="81"/>
      <c r="GE127" s="81"/>
      <c r="GF127" s="81"/>
      <c r="GG127" s="81"/>
      <c r="GH127" s="81"/>
    </row>
    <row r="128" spans="1:190" x14ac:dyDescent="0.2">
      <c r="A128" s="82" t="s">
        <v>447</v>
      </c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>
        <v>1.5018884681861314E-3</v>
      </c>
      <c r="V128" s="81"/>
      <c r="W128" s="81"/>
      <c r="X128" s="81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  <c r="AI128" s="81"/>
      <c r="AJ128" s="81"/>
      <c r="AK128" s="81"/>
      <c r="AL128" s="81"/>
      <c r="AM128" s="81">
        <v>3.202586934199511E-3</v>
      </c>
      <c r="AN128" s="81"/>
      <c r="AO128" s="81">
        <v>1.9345058149794842E-2</v>
      </c>
      <c r="AP128" s="81">
        <v>0.1059831364288925</v>
      </c>
      <c r="AQ128" s="81">
        <v>1.7947539361341341E-2</v>
      </c>
      <c r="AR128" s="81">
        <v>5.3630321543459121E-3</v>
      </c>
      <c r="AS128" s="81">
        <v>1.4514290870029908E-2</v>
      </c>
      <c r="AT128" s="81">
        <v>0.13117923730981865</v>
      </c>
      <c r="AU128" s="81"/>
      <c r="AV128" s="81"/>
      <c r="AW128" s="81"/>
      <c r="AX128" s="81">
        <v>6.2250699671972082E-2</v>
      </c>
      <c r="AY128" s="81">
        <v>11.10970460712524</v>
      </c>
      <c r="AZ128" s="81">
        <v>5.9520260257017741</v>
      </c>
      <c r="BA128" s="81">
        <v>4.5501760886175434E-2</v>
      </c>
      <c r="BB128" s="81">
        <v>2.5000197058511089E-3</v>
      </c>
      <c r="BC128" s="81">
        <v>0.28632535114756702</v>
      </c>
      <c r="BD128" s="81"/>
      <c r="BE128" s="81"/>
      <c r="BF128" s="81"/>
      <c r="BG128" s="81">
        <v>0.69432861452900907</v>
      </c>
      <c r="BH128" s="81"/>
      <c r="BI128" s="81">
        <v>0.24467833695007987</v>
      </c>
      <c r="BJ128" s="81">
        <v>0.85606026182352835</v>
      </c>
      <c r="BK128" s="81"/>
      <c r="BL128" s="81">
        <v>0.61967210968900743</v>
      </c>
      <c r="BM128" s="81"/>
      <c r="BN128" s="81"/>
      <c r="BO128" s="81">
        <v>6.9833240153355861E-2</v>
      </c>
      <c r="BP128" s="81"/>
      <c r="BQ128" s="81">
        <v>6.1291485911864861E-2</v>
      </c>
      <c r="BR128" s="81">
        <v>5.0441788422259166E-2</v>
      </c>
      <c r="BS128" s="81"/>
      <c r="BT128" s="81"/>
      <c r="BU128" s="81"/>
      <c r="BV128" s="81"/>
      <c r="BW128" s="81"/>
      <c r="BX128" s="81"/>
      <c r="BY128" s="81"/>
      <c r="BZ128" s="81"/>
      <c r="CA128" s="81"/>
      <c r="CB128" s="81"/>
      <c r="CC128" s="81"/>
      <c r="CD128" s="81"/>
      <c r="CE128" s="81"/>
      <c r="CF128" s="81"/>
      <c r="CG128" s="81"/>
      <c r="CH128" s="81"/>
      <c r="CI128" s="81"/>
      <c r="CJ128" s="81"/>
      <c r="CK128" s="81"/>
      <c r="CL128" s="81"/>
      <c r="CM128" s="81"/>
      <c r="CN128" s="81"/>
      <c r="CO128" s="81"/>
      <c r="CP128" s="81"/>
      <c r="CQ128" s="81"/>
      <c r="CR128" s="81"/>
      <c r="CS128" s="81"/>
      <c r="CT128" s="81"/>
      <c r="CU128" s="81"/>
      <c r="CV128" s="81"/>
      <c r="CW128" s="81"/>
      <c r="CX128" s="81"/>
      <c r="CY128" s="81"/>
      <c r="CZ128" s="81"/>
      <c r="DA128" s="81"/>
      <c r="DB128" s="81"/>
      <c r="DC128" s="81"/>
      <c r="DD128" s="81"/>
      <c r="DE128" s="81"/>
      <c r="DF128" s="81"/>
      <c r="DG128" s="81"/>
      <c r="DH128" s="81"/>
      <c r="DI128" s="81"/>
      <c r="DJ128" s="81"/>
      <c r="DK128" s="81"/>
      <c r="DL128" s="81"/>
      <c r="DM128" s="81"/>
      <c r="DN128" s="81"/>
      <c r="DO128" s="81"/>
      <c r="DP128" s="81"/>
      <c r="DQ128" s="81"/>
      <c r="DR128" s="81"/>
      <c r="DS128" s="81"/>
      <c r="DT128" s="81"/>
      <c r="DU128" s="81"/>
      <c r="DV128" s="81"/>
      <c r="DW128" s="81"/>
      <c r="DX128" s="81"/>
      <c r="DY128" s="81"/>
      <c r="DZ128" s="81"/>
      <c r="EA128" s="81"/>
      <c r="EB128" s="81"/>
      <c r="EC128" s="81"/>
      <c r="ED128" s="81"/>
      <c r="EE128" s="81"/>
      <c r="EF128" s="81"/>
      <c r="EG128" s="81"/>
      <c r="EH128" s="81"/>
      <c r="EI128" s="81"/>
      <c r="EJ128" s="81"/>
      <c r="EK128" s="81"/>
      <c r="EL128" s="81"/>
      <c r="EM128" s="81"/>
      <c r="EN128" s="81"/>
      <c r="EO128" s="81"/>
      <c r="EP128" s="81"/>
      <c r="EQ128" s="81"/>
      <c r="ER128" s="81"/>
      <c r="ES128" s="81"/>
      <c r="ET128" s="81"/>
      <c r="EU128" s="81"/>
      <c r="EV128" s="81"/>
      <c r="EW128" s="81"/>
      <c r="EX128" s="81"/>
      <c r="EY128" s="81"/>
      <c r="EZ128" s="81"/>
      <c r="FA128" s="81"/>
      <c r="FB128" s="81"/>
      <c r="FC128" s="88">
        <v>2.3314597596307425</v>
      </c>
      <c r="FD128" s="88">
        <v>2.9938260218566883</v>
      </c>
      <c r="FE128" s="88">
        <v>3.410150803986109</v>
      </c>
      <c r="FF128" s="88">
        <v>4.0264263599133212</v>
      </c>
      <c r="FG128" s="88">
        <v>6.440306964591298</v>
      </c>
      <c r="FH128" s="88">
        <v>0.7686593177362302</v>
      </c>
      <c r="FI128" s="88">
        <v>1.2553439447707977</v>
      </c>
      <c r="FJ128" s="88">
        <v>1.838151184060709</v>
      </c>
      <c r="FK128" s="88">
        <v>3.150272479456484</v>
      </c>
      <c r="FL128" s="88">
        <v>8.1444093862990545</v>
      </c>
      <c r="FM128" s="81"/>
      <c r="FN128" s="81"/>
      <c r="FO128" s="81"/>
      <c r="FP128" s="81"/>
      <c r="FQ128" s="81"/>
      <c r="FR128" s="81"/>
      <c r="FS128" s="81">
        <v>26.157978650382052</v>
      </c>
      <c r="FT128" s="81">
        <v>0.1734407140783992</v>
      </c>
      <c r="FU128" s="81">
        <v>5.9241494183505337</v>
      </c>
      <c r="FV128" s="81">
        <v>86.96822607650671</v>
      </c>
      <c r="FW128" s="81"/>
      <c r="FX128" s="86"/>
      <c r="FY128" s="81"/>
      <c r="FZ128" s="81"/>
      <c r="GA128" s="81"/>
      <c r="GB128" s="81"/>
      <c r="GC128" s="81"/>
      <c r="GD128" s="81"/>
      <c r="GE128" s="81"/>
      <c r="GF128" s="81"/>
      <c r="GG128" s="81"/>
      <c r="GH128" s="81"/>
    </row>
    <row r="129" spans="1:190" x14ac:dyDescent="0.2">
      <c r="A129" s="82" t="s">
        <v>448</v>
      </c>
      <c r="B129" s="81">
        <v>0.51336458942160046</v>
      </c>
      <c r="C129" s="81">
        <v>0.13880901876519006</v>
      </c>
      <c r="D129" s="81">
        <v>0.44148212224750971</v>
      </c>
      <c r="E129" s="81">
        <v>0.63097966714178144</v>
      </c>
      <c r="F129" s="81">
        <v>2.0121900140246747E-3</v>
      </c>
      <c r="G129" s="81">
        <v>5.7591797103042658E-2</v>
      </c>
      <c r="H129" s="81">
        <v>0.32217746877700632</v>
      </c>
      <c r="I129" s="81">
        <v>0.11838539563794877</v>
      </c>
      <c r="J129" s="81">
        <v>0.59685200226098034</v>
      </c>
      <c r="K129" s="81">
        <v>1.9294408723848373</v>
      </c>
      <c r="L129" s="81">
        <v>1.6968817230618058</v>
      </c>
      <c r="M129" s="81">
        <v>2.6733336504317133E-2</v>
      </c>
      <c r="N129" s="81">
        <v>1.5817642240614722</v>
      </c>
      <c r="O129" s="81">
        <v>1.4686957962419336E-2</v>
      </c>
      <c r="P129" s="81">
        <v>2.4246961494574237</v>
      </c>
      <c r="Q129" s="81">
        <v>0.68945703514726098</v>
      </c>
      <c r="R129" s="81">
        <v>2.8537611270008982</v>
      </c>
      <c r="S129" s="81">
        <v>0.10690227005063813</v>
      </c>
      <c r="T129" s="81">
        <v>0.34947572875880784</v>
      </c>
      <c r="U129" s="81">
        <v>7.5281851535455493E-3</v>
      </c>
      <c r="V129" s="81"/>
      <c r="W129" s="81">
        <v>0.10786984764221928</v>
      </c>
      <c r="X129" s="81">
        <v>0.10106683581853754</v>
      </c>
      <c r="Y129" s="81">
        <v>0.19635528668574317</v>
      </c>
      <c r="Z129" s="81">
        <v>0.2734968411923252</v>
      </c>
      <c r="AA129" s="81">
        <v>4.7661478873225617E-2</v>
      </c>
      <c r="AB129" s="81">
        <v>0.41574394070336901</v>
      </c>
      <c r="AC129" s="81">
        <v>0.29163022029129815</v>
      </c>
      <c r="AD129" s="81">
        <v>0.27627876217208652</v>
      </c>
      <c r="AE129" s="81">
        <v>4.2736269497468816E-2</v>
      </c>
      <c r="AF129" s="81">
        <v>4.5429452245461218E-3</v>
      </c>
      <c r="AG129" s="81">
        <v>3.8359551979703012E-2</v>
      </c>
      <c r="AH129" s="81">
        <v>6.9485853285975396E-2</v>
      </c>
      <c r="AI129" s="81">
        <v>4.7912278767169745E-3</v>
      </c>
      <c r="AJ129" s="81">
        <v>0.17737488886256933</v>
      </c>
      <c r="AK129" s="81">
        <v>1.3717621688358481</v>
      </c>
      <c r="AL129" s="81">
        <v>3.6175689659456674E-2</v>
      </c>
      <c r="AM129" s="81">
        <v>2.7273630029979304E-2</v>
      </c>
      <c r="AN129" s="81">
        <v>0.44980148232286998</v>
      </c>
      <c r="AO129" s="81">
        <v>0.91322335106163832</v>
      </c>
      <c r="AP129" s="81">
        <v>0.55582573443403216</v>
      </c>
      <c r="AQ129" s="81">
        <v>0.59606820097930568</v>
      </c>
      <c r="AR129" s="81">
        <v>1.7089132167215731E-2</v>
      </c>
      <c r="AS129" s="81">
        <v>2.7282180196046807E-2</v>
      </c>
      <c r="AT129" s="81">
        <v>0.85132695304264305</v>
      </c>
      <c r="AU129" s="81">
        <v>1.6811272496405314</v>
      </c>
      <c r="AV129" s="81">
        <v>1.7224403869219969</v>
      </c>
      <c r="AW129" s="81">
        <v>5.4432834455879018</v>
      </c>
      <c r="AX129" s="81">
        <v>0.963547547805368</v>
      </c>
      <c r="AY129" s="81">
        <v>4.5615255792570171</v>
      </c>
      <c r="AZ129" s="81">
        <v>0.20126415969926123</v>
      </c>
      <c r="BA129" s="81">
        <v>8.7071363524848622E-2</v>
      </c>
      <c r="BB129" s="81">
        <v>2.6980143132677156E-2</v>
      </c>
      <c r="BC129" s="81">
        <v>0.18433490901073021</v>
      </c>
      <c r="BD129" s="81">
        <v>26.740129169503092</v>
      </c>
      <c r="BE129" s="81">
        <v>3.2636476910912116</v>
      </c>
      <c r="BF129" s="81">
        <v>0.27247878314894752</v>
      </c>
      <c r="BG129" s="81">
        <v>1.5996112070055375</v>
      </c>
      <c r="BH129" s="81">
        <v>1.2711615347601906</v>
      </c>
      <c r="BI129" s="81">
        <v>16.724367043475556</v>
      </c>
      <c r="BJ129" s="81">
        <v>4.0075734576029749</v>
      </c>
      <c r="BK129" s="81">
        <v>0.75868875872537134</v>
      </c>
      <c r="BL129" s="81">
        <v>0.65807610143349449</v>
      </c>
      <c r="BM129" s="81">
        <v>1.2846955133651141</v>
      </c>
      <c r="BN129" s="81">
        <v>0.97745548113865699</v>
      </c>
      <c r="BO129" s="81">
        <v>1.5382649948475675</v>
      </c>
      <c r="BP129" s="81">
        <v>0.5295753088294799</v>
      </c>
      <c r="BQ129" s="81">
        <v>1.5962006814653267</v>
      </c>
      <c r="BR129" s="81">
        <v>2.3162603633710233</v>
      </c>
      <c r="BS129" s="81"/>
      <c r="BT129" s="81"/>
      <c r="BU129" s="81"/>
      <c r="BV129" s="81"/>
      <c r="BW129" s="81"/>
      <c r="BX129" s="81"/>
      <c r="BY129" s="81"/>
      <c r="BZ129" s="81"/>
      <c r="CA129" s="81"/>
      <c r="CB129" s="81"/>
      <c r="CC129" s="81"/>
      <c r="CD129" s="81"/>
      <c r="CE129" s="81"/>
      <c r="CF129" s="81"/>
      <c r="CG129" s="81"/>
      <c r="CH129" s="81"/>
      <c r="CI129" s="81"/>
      <c r="CJ129" s="81"/>
      <c r="CK129" s="81"/>
      <c r="CL129" s="81"/>
      <c r="CM129" s="81"/>
      <c r="CN129" s="81"/>
      <c r="CO129" s="81"/>
      <c r="CP129" s="81"/>
      <c r="CQ129" s="81"/>
      <c r="CR129" s="81"/>
      <c r="CS129" s="81"/>
      <c r="CT129" s="81"/>
      <c r="CU129" s="81"/>
      <c r="CV129" s="81"/>
      <c r="CW129" s="81"/>
      <c r="CX129" s="81"/>
      <c r="CY129" s="81"/>
      <c r="CZ129" s="81"/>
      <c r="DA129" s="81"/>
      <c r="DB129" s="81"/>
      <c r="DC129" s="81"/>
      <c r="DD129" s="81"/>
      <c r="DE129" s="81"/>
      <c r="DF129" s="81"/>
      <c r="DG129" s="81"/>
      <c r="DH129" s="81"/>
      <c r="DI129" s="81"/>
      <c r="DJ129" s="81"/>
      <c r="DK129" s="81"/>
      <c r="DL129" s="81"/>
      <c r="DM129" s="81"/>
      <c r="DN129" s="81"/>
      <c r="DO129" s="81"/>
      <c r="DP129" s="81"/>
      <c r="DQ129" s="81"/>
      <c r="DR129" s="81"/>
      <c r="DS129" s="81"/>
      <c r="DT129" s="81"/>
      <c r="DU129" s="81"/>
      <c r="DV129" s="81"/>
      <c r="DW129" s="81"/>
      <c r="DX129" s="81"/>
      <c r="DY129" s="81"/>
      <c r="DZ129" s="81"/>
      <c r="EA129" s="81"/>
      <c r="EB129" s="81"/>
      <c r="EC129" s="81"/>
      <c r="ED129" s="81"/>
      <c r="EE129" s="81"/>
      <c r="EF129" s="81"/>
      <c r="EG129" s="81"/>
      <c r="EH129" s="81"/>
      <c r="EI129" s="81"/>
      <c r="EJ129" s="81"/>
      <c r="EK129" s="81"/>
      <c r="EL129" s="81"/>
      <c r="EM129" s="81"/>
      <c r="EN129" s="81"/>
      <c r="EO129" s="81"/>
      <c r="EP129" s="81"/>
      <c r="EQ129" s="81"/>
      <c r="ER129" s="81"/>
      <c r="ES129" s="81"/>
      <c r="ET129" s="81"/>
      <c r="EU129" s="81"/>
      <c r="EV129" s="81"/>
      <c r="EW129" s="81"/>
      <c r="EX129" s="81"/>
      <c r="EY129" s="81"/>
      <c r="EZ129" s="81"/>
      <c r="FA129" s="81"/>
      <c r="FB129" s="81"/>
      <c r="FC129" s="88">
        <v>8.4603818214554263</v>
      </c>
      <c r="FD129" s="88">
        <v>10.959356590339894</v>
      </c>
      <c r="FE129" s="88">
        <v>12.072173278090924</v>
      </c>
      <c r="FF129" s="88">
        <v>14.40569576955726</v>
      </c>
      <c r="FG129" s="88">
        <v>14.792322482242286</v>
      </c>
      <c r="FH129" s="88">
        <v>4.6069631710638284</v>
      </c>
      <c r="FI129" s="88">
        <v>6.6813293084449494</v>
      </c>
      <c r="FJ129" s="88">
        <v>9.7232942530228215</v>
      </c>
      <c r="FK129" s="88">
        <v>14.040341555866579</v>
      </c>
      <c r="FL129" s="88">
        <v>36.854279894847146</v>
      </c>
      <c r="FM129" s="81"/>
      <c r="FN129" s="81"/>
      <c r="FO129" s="81"/>
      <c r="FP129" s="81"/>
      <c r="FQ129" s="81"/>
      <c r="FR129" s="81"/>
      <c r="FS129" s="81"/>
      <c r="FT129" s="81">
        <v>1.8226730766270902</v>
      </c>
      <c r="FU129" s="81">
        <v>0.860343957845907</v>
      </c>
      <c r="FV129" s="81">
        <v>235.08512036749534</v>
      </c>
      <c r="FW129" s="81"/>
      <c r="FX129" s="86"/>
      <c r="FY129" s="81"/>
      <c r="FZ129" s="81"/>
      <c r="GA129" s="81"/>
      <c r="GB129" s="81"/>
      <c r="GC129" s="81"/>
      <c r="GD129" s="81"/>
      <c r="GE129" s="81"/>
      <c r="GF129" s="81"/>
      <c r="GG129" s="81"/>
      <c r="GH129" s="81"/>
    </row>
    <row r="130" spans="1:190" x14ac:dyDescent="0.2">
      <c r="A130" s="82" t="s">
        <v>449</v>
      </c>
      <c r="B130" s="81">
        <v>0.5116724091346635</v>
      </c>
      <c r="C130" s="81">
        <v>0.1623028773836403</v>
      </c>
      <c r="D130" s="81">
        <v>0.52158247181750239</v>
      </c>
      <c r="E130" s="81">
        <v>0.62659084856879688</v>
      </c>
      <c r="F130" s="81"/>
      <c r="G130" s="81">
        <v>0.2313013833910606</v>
      </c>
      <c r="H130" s="81">
        <v>0.16477830399537913</v>
      </c>
      <c r="I130" s="81">
        <v>0.30777130101826622</v>
      </c>
      <c r="J130" s="81">
        <v>0.20829050000195484</v>
      </c>
      <c r="K130" s="81">
        <v>3.5458314373086202</v>
      </c>
      <c r="L130" s="81">
        <v>1.8728526306505453</v>
      </c>
      <c r="M130" s="81">
        <v>1.6815226804097312E-2</v>
      </c>
      <c r="N130" s="81">
        <v>3.8416139327448526</v>
      </c>
      <c r="O130" s="81">
        <v>1.6013960429580643E-2</v>
      </c>
      <c r="P130" s="81"/>
      <c r="Q130" s="81"/>
      <c r="R130" s="81"/>
      <c r="S130" s="81"/>
      <c r="T130" s="81"/>
      <c r="U130" s="81">
        <v>5.0428605230981347E-2</v>
      </c>
      <c r="V130" s="81"/>
      <c r="W130" s="81"/>
      <c r="X130" s="81">
        <v>6.2515537329722065E-2</v>
      </c>
      <c r="Y130" s="81">
        <v>0.1116956319977354</v>
      </c>
      <c r="Z130" s="81">
        <v>3.3887926140670641E-2</v>
      </c>
      <c r="AA130" s="81">
        <v>1.4847913091480557E-2</v>
      </c>
      <c r="AB130" s="81">
        <v>0.13846368974136966</v>
      </c>
      <c r="AC130" s="81">
        <v>2.4484293141313344E-2</v>
      </c>
      <c r="AD130" s="81">
        <v>4.8856419416297148E-2</v>
      </c>
      <c r="AE130" s="81">
        <v>1.4238188960937818E-2</v>
      </c>
      <c r="AF130" s="81">
        <v>1.5137403090802683E-3</v>
      </c>
      <c r="AG130" s="81">
        <v>1.2783879273523403E-2</v>
      </c>
      <c r="AH130" s="81">
        <v>2.3167234855664912E-2</v>
      </c>
      <c r="AI130" s="81">
        <v>1.5965079671077284E-3</v>
      </c>
      <c r="AJ130" s="81"/>
      <c r="AK130" s="81">
        <v>0.4560548355948143</v>
      </c>
      <c r="AL130" s="81">
        <v>1.2044437793630484E-2</v>
      </c>
      <c r="AM130" s="81"/>
      <c r="AN130" s="81"/>
      <c r="AO130" s="81"/>
      <c r="AP130" s="81">
        <v>0.17627724631666508</v>
      </c>
      <c r="AQ130" s="81">
        <v>0.11039888935784826</v>
      </c>
      <c r="AR130" s="81">
        <v>6.4428558558592211E-3</v>
      </c>
      <c r="AS130" s="81">
        <v>4.911358493962438E-3</v>
      </c>
      <c r="AT130" s="81">
        <v>9.5497037011788244E-2</v>
      </c>
      <c r="AU130" s="81"/>
      <c r="AV130" s="81">
        <v>9.597480732722162E-2</v>
      </c>
      <c r="AW130" s="81">
        <v>0.44671284087631413</v>
      </c>
      <c r="AX130" s="81">
        <v>0.10599249090589301</v>
      </c>
      <c r="AY130" s="81">
        <v>0.68093611122227049</v>
      </c>
      <c r="AZ130" s="81">
        <v>5.7972669084828489E-2</v>
      </c>
      <c r="BA130" s="81">
        <v>2.2284047993185428E-2</v>
      </c>
      <c r="BB130" s="81">
        <v>6.5050516121582403E-3</v>
      </c>
      <c r="BC130" s="81">
        <v>2.5167342736399527E-2</v>
      </c>
      <c r="BD130" s="81">
        <v>6.5082221823042408E-2</v>
      </c>
      <c r="BE130" s="81">
        <v>7.4422646305206619E-2</v>
      </c>
      <c r="BF130" s="81"/>
      <c r="BG130" s="81">
        <v>0.50507426292236424</v>
      </c>
      <c r="BH130" s="81">
        <v>0.82510040080156533</v>
      </c>
      <c r="BI130" s="81"/>
      <c r="BJ130" s="81"/>
      <c r="BK130" s="81">
        <v>5.2553846534736319E-2</v>
      </c>
      <c r="BL130" s="81">
        <v>0.15544106537721381</v>
      </c>
      <c r="BM130" s="81">
        <v>0.59242433542602624</v>
      </c>
      <c r="BN130" s="81">
        <v>0.54191199694608816</v>
      </c>
      <c r="BO130" s="81">
        <v>1.2245613543822838</v>
      </c>
      <c r="BP130" s="81">
        <v>0.34229881486934349</v>
      </c>
      <c r="BQ130" s="81">
        <v>0.78995335704263758</v>
      </c>
      <c r="BR130" s="81">
        <v>1.2586726082461648</v>
      </c>
      <c r="BS130" s="81"/>
      <c r="BT130" s="81"/>
      <c r="BU130" s="81"/>
      <c r="BV130" s="81"/>
      <c r="BW130" s="81"/>
      <c r="BX130" s="81"/>
      <c r="BY130" s="81"/>
      <c r="BZ130" s="81"/>
      <c r="CA130" s="81"/>
      <c r="CB130" s="81"/>
      <c r="CC130" s="81"/>
      <c r="CD130" s="81"/>
      <c r="CE130" s="81"/>
      <c r="CF130" s="81"/>
      <c r="CG130" s="81"/>
      <c r="CH130" s="81"/>
      <c r="CI130" s="81"/>
      <c r="CJ130" s="81"/>
      <c r="CK130" s="81"/>
      <c r="CL130" s="81"/>
      <c r="CM130" s="81"/>
      <c r="CN130" s="81"/>
      <c r="CO130" s="81"/>
      <c r="CP130" s="81"/>
      <c r="CQ130" s="81"/>
      <c r="CR130" s="81"/>
      <c r="CS130" s="81"/>
      <c r="CT130" s="81"/>
      <c r="CU130" s="81"/>
      <c r="CV130" s="81"/>
      <c r="CW130" s="81"/>
      <c r="CX130" s="81"/>
      <c r="CY130" s="81"/>
      <c r="CZ130" s="81"/>
      <c r="DA130" s="81"/>
      <c r="DB130" s="81"/>
      <c r="DC130" s="81"/>
      <c r="DD130" s="81"/>
      <c r="DE130" s="81"/>
      <c r="DF130" s="81"/>
      <c r="DG130" s="81"/>
      <c r="DH130" s="81"/>
      <c r="DI130" s="81"/>
      <c r="DJ130" s="81"/>
      <c r="DK130" s="81"/>
      <c r="DL130" s="81"/>
      <c r="DM130" s="81"/>
      <c r="DN130" s="81"/>
      <c r="DO130" s="81"/>
      <c r="DP130" s="81"/>
      <c r="DQ130" s="81"/>
      <c r="DR130" s="81"/>
      <c r="DS130" s="81"/>
      <c r="DT130" s="81"/>
      <c r="DU130" s="81"/>
      <c r="DV130" s="81"/>
      <c r="DW130" s="81"/>
      <c r="DX130" s="81"/>
      <c r="DY130" s="81"/>
      <c r="DZ130" s="81"/>
      <c r="EA130" s="81"/>
      <c r="EB130" s="81"/>
      <c r="EC130" s="81"/>
      <c r="ED130" s="81"/>
      <c r="EE130" s="81"/>
      <c r="EF130" s="81"/>
      <c r="EG130" s="81"/>
      <c r="EH130" s="81"/>
      <c r="EI130" s="81"/>
      <c r="EJ130" s="81"/>
      <c r="EK130" s="81"/>
      <c r="EL130" s="81"/>
      <c r="EM130" s="81"/>
      <c r="EN130" s="81"/>
      <c r="EO130" s="81"/>
      <c r="EP130" s="81"/>
      <c r="EQ130" s="81"/>
      <c r="ER130" s="81"/>
      <c r="ES130" s="81"/>
      <c r="ET130" s="81"/>
      <c r="EU130" s="81"/>
      <c r="EV130" s="81"/>
      <c r="EW130" s="81"/>
      <c r="EX130" s="81"/>
      <c r="EY130" s="81"/>
      <c r="EZ130" s="81"/>
      <c r="FA130" s="81"/>
      <c r="FB130" s="81"/>
      <c r="FC130" s="88">
        <v>2.5811315385301681</v>
      </c>
      <c r="FD130" s="88">
        <v>3.4225721925600556</v>
      </c>
      <c r="FE130" s="88">
        <v>3.693059668688814</v>
      </c>
      <c r="FF130" s="88">
        <v>4.3977058241871143</v>
      </c>
      <c r="FG130" s="88">
        <v>4.5015011954688537</v>
      </c>
      <c r="FH130" s="88">
        <v>1.3526790059472651</v>
      </c>
      <c r="FI130" s="88">
        <v>1.8876343559841016</v>
      </c>
      <c r="FJ130" s="88">
        <v>2.5495446543642091</v>
      </c>
      <c r="FK130" s="88">
        <v>3.4366845374091728</v>
      </c>
      <c r="FL130" s="88">
        <v>7.1370446357407644</v>
      </c>
      <c r="FM130" s="81"/>
      <c r="FN130" s="81"/>
      <c r="FO130" s="81"/>
      <c r="FP130" s="81"/>
      <c r="FQ130" s="81"/>
      <c r="FR130" s="81"/>
      <c r="FS130" s="81"/>
      <c r="FT130" s="81"/>
      <c r="FU130" s="81"/>
      <c r="FV130" s="81">
        <v>56.256123392444884</v>
      </c>
      <c r="FW130" s="81"/>
      <c r="FX130" s="86"/>
      <c r="FY130" s="81"/>
      <c r="FZ130" s="81"/>
      <c r="GA130" s="81"/>
      <c r="GB130" s="81"/>
      <c r="GC130" s="81"/>
      <c r="GD130" s="81"/>
      <c r="GE130" s="81"/>
      <c r="GF130" s="81"/>
      <c r="GG130" s="81"/>
      <c r="GH130" s="81"/>
    </row>
    <row r="131" spans="1:190" x14ac:dyDescent="0.2">
      <c r="A131" s="82" t="s">
        <v>450</v>
      </c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  <c r="AI131" s="81"/>
      <c r="AJ131" s="81"/>
      <c r="AK131" s="81"/>
      <c r="AL131" s="81"/>
      <c r="AM131" s="81">
        <v>5.7751820671265294E-3</v>
      </c>
      <c r="AN131" s="81">
        <v>0.14861216330698454</v>
      </c>
      <c r="AO131" s="81">
        <v>1.1919841702558458E-2</v>
      </c>
      <c r="AP131" s="81"/>
      <c r="AQ131" s="81"/>
      <c r="AR131" s="81"/>
      <c r="AS131" s="81"/>
      <c r="AT131" s="81"/>
      <c r="AU131" s="81"/>
      <c r="AV131" s="81"/>
      <c r="AW131" s="81"/>
      <c r="AX131" s="81"/>
      <c r="AY131" s="81"/>
      <c r="AZ131" s="81"/>
      <c r="BA131" s="81"/>
      <c r="BB131" s="81"/>
      <c r="BC131" s="81"/>
      <c r="BD131" s="81"/>
      <c r="BE131" s="81"/>
      <c r="BF131" s="81">
        <v>40.159083057425775</v>
      </c>
      <c r="BG131" s="81"/>
      <c r="BH131" s="81">
        <v>0.16115149185243924</v>
      </c>
      <c r="BI131" s="81">
        <v>0.20840032033970668</v>
      </c>
      <c r="BJ131" s="81">
        <v>0.731304301898142</v>
      </c>
      <c r="BK131" s="81"/>
      <c r="BL131" s="81"/>
      <c r="BM131" s="81"/>
      <c r="BN131" s="81"/>
      <c r="BO131" s="81"/>
      <c r="BP131" s="81"/>
      <c r="BQ131" s="81"/>
      <c r="BR131" s="81"/>
      <c r="BS131" s="81"/>
      <c r="BT131" s="81"/>
      <c r="BU131" s="81"/>
      <c r="BV131" s="81"/>
      <c r="BW131" s="81"/>
      <c r="BX131" s="81"/>
      <c r="BY131" s="81"/>
      <c r="BZ131" s="81"/>
      <c r="CA131" s="81"/>
      <c r="CB131" s="81"/>
      <c r="CC131" s="81"/>
      <c r="CD131" s="81"/>
      <c r="CE131" s="81"/>
      <c r="CF131" s="81"/>
      <c r="CG131" s="81"/>
      <c r="CH131" s="81"/>
      <c r="CI131" s="81"/>
      <c r="CJ131" s="81"/>
      <c r="CK131" s="81"/>
      <c r="CL131" s="81"/>
      <c r="CM131" s="81"/>
      <c r="CN131" s="81"/>
      <c r="CO131" s="81"/>
      <c r="CP131" s="81"/>
      <c r="CQ131" s="81"/>
      <c r="CR131" s="81"/>
      <c r="CS131" s="81"/>
      <c r="CT131" s="81"/>
      <c r="CU131" s="81"/>
      <c r="CV131" s="81"/>
      <c r="CW131" s="81"/>
      <c r="CX131" s="81"/>
      <c r="CY131" s="81"/>
      <c r="CZ131" s="81"/>
      <c r="DA131" s="81"/>
      <c r="DB131" s="81"/>
      <c r="DC131" s="81"/>
      <c r="DD131" s="81"/>
      <c r="DE131" s="81"/>
      <c r="DF131" s="81"/>
      <c r="DG131" s="81"/>
      <c r="DH131" s="81"/>
      <c r="DI131" s="81"/>
      <c r="DJ131" s="81"/>
      <c r="DK131" s="81"/>
      <c r="DL131" s="81"/>
      <c r="DM131" s="81"/>
      <c r="DN131" s="81"/>
      <c r="DO131" s="81"/>
      <c r="DP131" s="81"/>
      <c r="DQ131" s="81"/>
      <c r="DR131" s="81"/>
      <c r="DS131" s="81"/>
      <c r="DT131" s="81"/>
      <c r="DU131" s="81"/>
      <c r="DV131" s="81"/>
      <c r="DW131" s="81"/>
      <c r="DX131" s="81"/>
      <c r="DY131" s="81"/>
      <c r="DZ131" s="81"/>
      <c r="EA131" s="81"/>
      <c r="EB131" s="81"/>
      <c r="EC131" s="81"/>
      <c r="ED131" s="81"/>
      <c r="EE131" s="81"/>
      <c r="EF131" s="81"/>
      <c r="EG131" s="81"/>
      <c r="EH131" s="81"/>
      <c r="EI131" s="81"/>
      <c r="EJ131" s="81"/>
      <c r="EK131" s="81"/>
      <c r="EL131" s="81"/>
      <c r="EM131" s="81"/>
      <c r="EN131" s="81"/>
      <c r="EO131" s="81"/>
      <c r="EP131" s="81"/>
      <c r="EQ131" s="81"/>
      <c r="ER131" s="81"/>
      <c r="ES131" s="81"/>
      <c r="ET131" s="81"/>
      <c r="EU131" s="81"/>
      <c r="EV131" s="81"/>
      <c r="EW131" s="81"/>
      <c r="EX131" s="81"/>
      <c r="EY131" s="81"/>
      <c r="EZ131" s="81"/>
      <c r="FA131" s="81"/>
      <c r="FB131" s="81"/>
      <c r="FC131" s="88">
        <v>0.25400160549881529</v>
      </c>
      <c r="FD131" s="88">
        <v>0.36822212373352281</v>
      </c>
      <c r="FE131" s="88">
        <v>0.69029511878857752</v>
      </c>
      <c r="FF131" s="88">
        <v>1.2492950118869275</v>
      </c>
      <c r="FG131" s="88">
        <v>2.6143864669581292</v>
      </c>
      <c r="FH131" s="88">
        <v>0.13441848329359962</v>
      </c>
      <c r="FI131" s="88">
        <v>0.15449983471657594</v>
      </c>
      <c r="FJ131" s="88">
        <v>0.1735385470341754</v>
      </c>
      <c r="FK131" s="88">
        <v>0.39112327995665602</v>
      </c>
      <c r="FL131" s="88">
        <v>2.8342176870977709</v>
      </c>
      <c r="FM131" s="81"/>
      <c r="FN131" s="81"/>
      <c r="FO131" s="81"/>
      <c r="FP131" s="81"/>
      <c r="FQ131" s="81"/>
      <c r="FR131" s="81"/>
      <c r="FS131" s="81">
        <v>520.47746286819756</v>
      </c>
      <c r="FT131" s="81">
        <v>27.261246740777096</v>
      </c>
      <c r="FU131" s="81">
        <v>10.238621678361387</v>
      </c>
      <c r="FV131" s="81">
        <v>608.26757580489357</v>
      </c>
      <c r="FW131" s="81"/>
      <c r="FX131" s="86"/>
      <c r="FY131" s="81"/>
      <c r="FZ131" s="81"/>
      <c r="GA131" s="81"/>
      <c r="GB131" s="81"/>
      <c r="GC131" s="81"/>
      <c r="GD131" s="81"/>
      <c r="GE131" s="81"/>
      <c r="GF131" s="81"/>
      <c r="GG131" s="81"/>
      <c r="GH131" s="81"/>
    </row>
    <row r="132" spans="1:190" x14ac:dyDescent="0.2">
      <c r="A132" s="82" t="s">
        <v>451</v>
      </c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>
        <v>1.2602971527735335E-4</v>
      </c>
      <c r="P132" s="81"/>
      <c r="Q132" s="81"/>
      <c r="R132" s="81"/>
      <c r="S132" s="81"/>
      <c r="T132" s="81"/>
      <c r="U132" s="81"/>
      <c r="V132" s="81"/>
      <c r="W132" s="81">
        <v>3.3766331244614735E-2</v>
      </c>
      <c r="X132" s="81">
        <v>3.9415589839541645E-2</v>
      </c>
      <c r="Y132" s="81"/>
      <c r="Z132" s="81">
        <v>1.7222973748093048E-2</v>
      </c>
      <c r="AA132" s="81">
        <v>9.7942770244939894E-4</v>
      </c>
      <c r="AB132" s="81">
        <v>0.10183673223043008</v>
      </c>
      <c r="AC132" s="81">
        <v>4.4625163523400409E-2</v>
      </c>
      <c r="AD132" s="81">
        <v>1.024071384547089E-2</v>
      </c>
      <c r="AE132" s="81">
        <v>1.0466039971314135E-2</v>
      </c>
      <c r="AF132" s="81">
        <v>1.1126529757529565E-3</v>
      </c>
      <c r="AG132" s="81">
        <v>9.3973329651776058E-3</v>
      </c>
      <c r="AH132" s="81">
        <v>1.7031893595107889E-2</v>
      </c>
      <c r="AI132" s="81">
        <v>1.1734943371670668E-3</v>
      </c>
      <c r="AJ132" s="81">
        <v>3.2058225069161915E-2</v>
      </c>
      <c r="AK132" s="81">
        <v>0.33585402606692027</v>
      </c>
      <c r="AL132" s="81">
        <v>8.8526097474109378E-3</v>
      </c>
      <c r="AM132" s="81">
        <v>4.3246112832501047E-3</v>
      </c>
      <c r="AN132" s="81">
        <v>3.0143888798234857E-2</v>
      </c>
      <c r="AO132" s="81">
        <v>0.10046092646909986</v>
      </c>
      <c r="AP132" s="81">
        <v>0.70557280799606004</v>
      </c>
      <c r="AQ132" s="81">
        <v>2.0223484447213904</v>
      </c>
      <c r="AR132" s="81">
        <v>9.3950549591211935E-2</v>
      </c>
      <c r="AS132" s="81">
        <v>8.6051513609562036E-2</v>
      </c>
      <c r="AT132" s="81">
        <v>7.8117484201848192E-2</v>
      </c>
      <c r="AU132" s="81">
        <v>8.4129962985586015</v>
      </c>
      <c r="AV132" s="81">
        <v>3.2599343746233904E-2</v>
      </c>
      <c r="AW132" s="81">
        <v>5.2722084309060682</v>
      </c>
      <c r="AX132" s="81">
        <v>0.8049326457556536</v>
      </c>
      <c r="AY132" s="81">
        <v>1.1885643278038607</v>
      </c>
      <c r="AZ132" s="81">
        <v>0.71065649519148311</v>
      </c>
      <c r="BA132" s="81">
        <v>0.10786888426365275</v>
      </c>
      <c r="BB132" s="81">
        <v>7.3863989298721164E-2</v>
      </c>
      <c r="BC132" s="81">
        <v>0.29993856998370488</v>
      </c>
      <c r="BD132" s="81">
        <v>3.8793746624151637E-2</v>
      </c>
      <c r="BE132" s="81">
        <v>1.3070268391095614</v>
      </c>
      <c r="BF132" s="81">
        <v>23.407943390315189</v>
      </c>
      <c r="BG132" s="81">
        <v>3.0203160988970668</v>
      </c>
      <c r="BH132" s="81"/>
      <c r="BI132" s="81"/>
      <c r="BJ132" s="81"/>
      <c r="BK132" s="81">
        <v>1.9297056792272875</v>
      </c>
      <c r="BL132" s="81">
        <v>0.88797945692049862</v>
      </c>
      <c r="BM132" s="81"/>
      <c r="BN132" s="81">
        <v>6.1338504358661226</v>
      </c>
      <c r="BO132" s="81"/>
      <c r="BP132" s="81">
        <v>0.38471887507260816</v>
      </c>
      <c r="BQ132" s="81">
        <v>2.2156172085924615</v>
      </c>
      <c r="BR132" s="81">
        <v>1.6777808274119217</v>
      </c>
      <c r="BS132" s="81"/>
      <c r="BT132" s="81"/>
      <c r="BU132" s="81"/>
      <c r="BV132" s="81"/>
      <c r="BW132" s="81"/>
      <c r="BX132" s="81"/>
      <c r="BY132" s="81"/>
      <c r="BZ132" s="81"/>
      <c r="CA132" s="81"/>
      <c r="CB132" s="81"/>
      <c r="CC132" s="81"/>
      <c r="CD132" s="81"/>
      <c r="CE132" s="81"/>
      <c r="CF132" s="81"/>
      <c r="CG132" s="81"/>
      <c r="CH132" s="81"/>
      <c r="CI132" s="81"/>
      <c r="CJ132" s="81"/>
      <c r="CK132" s="81"/>
      <c r="CL132" s="81"/>
      <c r="CM132" s="81"/>
      <c r="CN132" s="81"/>
      <c r="CO132" s="81"/>
      <c r="CP132" s="81"/>
      <c r="CQ132" s="81"/>
      <c r="CR132" s="81"/>
      <c r="CS132" s="81"/>
      <c r="CT132" s="81"/>
      <c r="CU132" s="81"/>
      <c r="CV132" s="81"/>
      <c r="CW132" s="81"/>
      <c r="CX132" s="81"/>
      <c r="CY132" s="81"/>
      <c r="CZ132" s="81"/>
      <c r="DA132" s="81"/>
      <c r="DB132" s="81"/>
      <c r="DC132" s="81"/>
      <c r="DD132" s="81"/>
      <c r="DE132" s="81"/>
      <c r="DF132" s="81"/>
      <c r="DG132" s="81"/>
      <c r="DH132" s="81"/>
      <c r="DI132" s="81"/>
      <c r="DJ132" s="81"/>
      <c r="DK132" s="81"/>
      <c r="DL132" s="81"/>
      <c r="DM132" s="81"/>
      <c r="DN132" s="81"/>
      <c r="DO132" s="81"/>
      <c r="DP132" s="81"/>
      <c r="DQ132" s="81"/>
      <c r="DR132" s="81"/>
      <c r="DS132" s="81"/>
      <c r="DT132" s="81"/>
      <c r="DU132" s="81"/>
      <c r="DV132" s="81"/>
      <c r="DW132" s="81"/>
      <c r="DX132" s="81"/>
      <c r="DY132" s="81"/>
      <c r="DZ132" s="81"/>
      <c r="EA132" s="81"/>
      <c r="EB132" s="81"/>
      <c r="EC132" s="81"/>
      <c r="ED132" s="81"/>
      <c r="EE132" s="81"/>
      <c r="EF132" s="81"/>
      <c r="EG132" s="81"/>
      <c r="EH132" s="81"/>
      <c r="EI132" s="81"/>
      <c r="EJ132" s="81"/>
      <c r="EK132" s="81"/>
      <c r="EL132" s="81"/>
      <c r="EM132" s="81"/>
      <c r="EN132" s="81">
        <v>553.07447952040593</v>
      </c>
      <c r="EO132" s="81"/>
      <c r="EP132" s="81"/>
      <c r="EQ132" s="81"/>
      <c r="ER132" s="81"/>
      <c r="ES132" s="81"/>
      <c r="ET132" s="81"/>
      <c r="EU132" s="81"/>
      <c r="EV132" s="81"/>
      <c r="EW132" s="81"/>
      <c r="EX132" s="81"/>
      <c r="EY132" s="81"/>
      <c r="EZ132" s="81"/>
      <c r="FA132" s="81"/>
      <c r="FB132" s="81"/>
      <c r="FC132" s="88">
        <v>0.42247828554861444</v>
      </c>
      <c r="FD132" s="88">
        <v>0.92942067692304853</v>
      </c>
      <c r="FE132" s="88">
        <v>1.9628549443758518</v>
      </c>
      <c r="FF132" s="88">
        <v>3.9742257212169596</v>
      </c>
      <c r="FG132" s="88">
        <v>19.837647508756124</v>
      </c>
      <c r="FH132" s="88">
        <v>8.5061008959105247E-2</v>
      </c>
      <c r="FI132" s="88">
        <v>0.41721403324078388</v>
      </c>
      <c r="FJ132" s="88">
        <v>0.94153973885795117</v>
      </c>
      <c r="FK132" s="88">
        <v>2.9618390503421885</v>
      </c>
      <c r="FL132" s="88">
        <v>34.238978945605247</v>
      </c>
      <c r="FM132" s="81"/>
      <c r="FN132" s="81"/>
      <c r="FO132" s="81"/>
      <c r="FP132" s="81"/>
      <c r="FQ132" s="81"/>
      <c r="FR132" s="81"/>
      <c r="FS132" s="81"/>
      <c r="FT132" s="81"/>
      <c r="FU132" s="81"/>
      <c r="FV132" s="81">
        <v>680.53823044102478</v>
      </c>
      <c r="FW132" s="81"/>
      <c r="FX132" s="86"/>
      <c r="FY132" s="81"/>
      <c r="FZ132" s="81"/>
      <c r="GA132" s="81"/>
      <c r="GB132" s="81"/>
      <c r="GC132" s="81"/>
      <c r="GD132" s="81"/>
      <c r="GE132" s="81"/>
      <c r="GF132" s="81"/>
      <c r="GG132" s="81"/>
      <c r="GH132" s="81"/>
    </row>
    <row r="133" spans="1:190" x14ac:dyDescent="0.2">
      <c r="A133" s="82" t="s">
        <v>452</v>
      </c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>
        <v>1.2602970390369086E-4</v>
      </c>
      <c r="P133" s="81"/>
      <c r="Q133" s="81"/>
      <c r="R133" s="81"/>
      <c r="S133" s="81"/>
      <c r="T133" s="81"/>
      <c r="U133" s="81">
        <v>0.44018296715031463</v>
      </c>
      <c r="V133" s="81"/>
      <c r="W133" s="81">
        <v>3.5634086425037008</v>
      </c>
      <c r="X133" s="81">
        <v>0.33578609354801298</v>
      </c>
      <c r="Y133" s="81">
        <v>0.77932531155021179</v>
      </c>
      <c r="Z133" s="81">
        <v>0.36605917328248017</v>
      </c>
      <c r="AA133" s="81">
        <v>1.3555012645236323E-2</v>
      </c>
      <c r="AB133" s="81">
        <v>4.0423386250904796E-2</v>
      </c>
      <c r="AC133" s="81">
        <v>1.1753635718708642</v>
      </c>
      <c r="AD133" s="81">
        <v>0.44189819961514404</v>
      </c>
      <c r="AE133" s="81">
        <v>4.1545734347669117E-3</v>
      </c>
      <c r="AF133" s="81">
        <v>4.4168677934418917E-4</v>
      </c>
      <c r="AG133" s="81">
        <v>3.730589902743409E-3</v>
      </c>
      <c r="AH133" s="81">
        <v>6.7620606526552531E-3</v>
      </c>
      <c r="AI133" s="81">
        <v>4.6584128940524617E-4</v>
      </c>
      <c r="AJ133" s="81">
        <v>2.0896862298552952</v>
      </c>
      <c r="AK133" s="81">
        <v>0.13327581935987881</v>
      </c>
      <c r="AL133" s="81">
        <v>3.5135899815414051E-3</v>
      </c>
      <c r="AM133" s="81">
        <v>0.24184148862378119</v>
      </c>
      <c r="AN133" s="81">
        <v>1.7186016457852882</v>
      </c>
      <c r="AO133" s="81">
        <v>0.63345491230865103</v>
      </c>
      <c r="AP133" s="81">
        <v>0.74997200671738751</v>
      </c>
      <c r="AQ133" s="81">
        <v>0.60216853578102603</v>
      </c>
      <c r="AR133" s="81">
        <v>2.4802212165388939E-2</v>
      </c>
      <c r="AS133" s="81">
        <v>5.6033684841893035E-2</v>
      </c>
      <c r="AT133" s="81">
        <v>0.57249386670114899</v>
      </c>
      <c r="AU133" s="81">
        <v>2.8997101332158186</v>
      </c>
      <c r="AV133" s="81">
        <v>1.1629034357294572</v>
      </c>
      <c r="AW133" s="81">
        <v>4.4303327062277802</v>
      </c>
      <c r="AX133" s="81">
        <v>0.64580044926914526</v>
      </c>
      <c r="AY133" s="81">
        <v>0.90546078309175515</v>
      </c>
      <c r="AZ133" s="81">
        <v>0.74435941954770013</v>
      </c>
      <c r="BA133" s="81">
        <v>0.15187333890766835</v>
      </c>
      <c r="BB133" s="81">
        <v>2.9525788226820532E-2</v>
      </c>
      <c r="BC133" s="81">
        <v>0.30963263897653909</v>
      </c>
      <c r="BD133" s="81">
        <v>0.31096559675338709</v>
      </c>
      <c r="BE133" s="81">
        <v>0.18651489408545341</v>
      </c>
      <c r="BF133" s="81">
        <v>2.1802078745756206</v>
      </c>
      <c r="BG133" s="81">
        <v>4.9447412710875227</v>
      </c>
      <c r="BH133" s="81">
        <v>8.6886438908071284</v>
      </c>
      <c r="BI133" s="81">
        <v>0.76427740197633576</v>
      </c>
      <c r="BJ133" s="81">
        <v>2.1604323932869156</v>
      </c>
      <c r="BK133" s="81">
        <v>0.51263644747533965</v>
      </c>
      <c r="BL133" s="81">
        <v>0.58388835399656414</v>
      </c>
      <c r="BM133" s="81">
        <v>0.97496484713592169</v>
      </c>
      <c r="BN133" s="81">
        <v>49.666442166891535</v>
      </c>
      <c r="BO133" s="81">
        <v>1.8348181662932415</v>
      </c>
      <c r="BP133" s="81">
        <v>2.3888026546858852</v>
      </c>
      <c r="BQ133" s="81">
        <v>1.2897314937198585</v>
      </c>
      <c r="BR133" s="81">
        <v>2.0475165731622096</v>
      </c>
      <c r="BS133" s="81"/>
      <c r="BT133" s="81"/>
      <c r="BU133" s="81"/>
      <c r="BV133" s="81"/>
      <c r="BW133" s="81"/>
      <c r="BX133" s="81"/>
      <c r="BY133" s="81"/>
      <c r="BZ133" s="81"/>
      <c r="CA133" s="81"/>
      <c r="CB133" s="81"/>
      <c r="CC133" s="81"/>
      <c r="CD133" s="81"/>
      <c r="CE133" s="81"/>
      <c r="CF133" s="81"/>
      <c r="CG133" s="81"/>
      <c r="CH133" s="81"/>
      <c r="CI133" s="81"/>
      <c r="CJ133" s="81"/>
      <c r="CK133" s="81"/>
      <c r="CL133" s="81"/>
      <c r="CM133" s="81"/>
      <c r="CN133" s="81"/>
      <c r="CO133" s="81"/>
      <c r="CP133" s="81"/>
      <c r="CQ133" s="81"/>
      <c r="CR133" s="81"/>
      <c r="CS133" s="81"/>
      <c r="CT133" s="81"/>
      <c r="CU133" s="81"/>
      <c r="CV133" s="81"/>
      <c r="CW133" s="81"/>
      <c r="CX133" s="81"/>
      <c r="CY133" s="81"/>
      <c r="CZ133" s="81"/>
      <c r="DA133" s="81"/>
      <c r="DB133" s="81"/>
      <c r="DC133" s="81"/>
      <c r="DD133" s="81"/>
      <c r="DE133" s="81"/>
      <c r="DF133" s="81"/>
      <c r="DG133" s="81"/>
      <c r="DH133" s="81"/>
      <c r="DI133" s="81"/>
      <c r="DJ133" s="81"/>
      <c r="DK133" s="81"/>
      <c r="DL133" s="81"/>
      <c r="DM133" s="81"/>
      <c r="DN133" s="81"/>
      <c r="DO133" s="81"/>
      <c r="DP133" s="81"/>
      <c r="DQ133" s="81"/>
      <c r="DR133" s="81"/>
      <c r="DS133" s="81"/>
      <c r="DT133" s="81"/>
      <c r="DU133" s="81"/>
      <c r="DV133" s="81"/>
      <c r="DW133" s="81"/>
      <c r="DX133" s="81"/>
      <c r="DY133" s="81"/>
      <c r="DZ133" s="81"/>
      <c r="EA133" s="81"/>
      <c r="EB133" s="81"/>
      <c r="EC133" s="81"/>
      <c r="ED133" s="81"/>
      <c r="EE133" s="81"/>
      <c r="EF133" s="81"/>
      <c r="EG133" s="81"/>
      <c r="EH133" s="81"/>
      <c r="EI133" s="81"/>
      <c r="EJ133" s="81"/>
      <c r="EK133" s="81"/>
      <c r="EL133" s="81"/>
      <c r="EM133" s="81"/>
      <c r="EN133" s="81">
        <v>71.650331763508376</v>
      </c>
      <c r="EO133" s="81"/>
      <c r="EP133" s="81"/>
      <c r="EQ133" s="81"/>
      <c r="ER133" s="81"/>
      <c r="ES133" s="81"/>
      <c r="ET133" s="81"/>
      <c r="EU133" s="81"/>
      <c r="EV133" s="81"/>
      <c r="EW133" s="81"/>
      <c r="EX133" s="81"/>
      <c r="EY133" s="81"/>
      <c r="EZ133" s="81"/>
      <c r="FA133" s="81"/>
      <c r="FB133" s="81"/>
      <c r="FC133" s="88">
        <v>16.796942972659046</v>
      </c>
      <c r="FD133" s="88">
        <v>22.939206841300606</v>
      </c>
      <c r="FE133" s="88">
        <v>29.059257105023331</v>
      </c>
      <c r="FF133" s="88">
        <v>35.14844684595073</v>
      </c>
      <c r="FG133" s="88">
        <v>36.10408475278232</v>
      </c>
      <c r="FH133" s="88">
        <v>10.405899554855083</v>
      </c>
      <c r="FI133" s="88">
        <v>16.577718583625579</v>
      </c>
      <c r="FJ133" s="88">
        <v>24.824785736597196</v>
      </c>
      <c r="FK133" s="88">
        <v>37.185171518810634</v>
      </c>
      <c r="FL133" s="88">
        <v>84.632311528214572</v>
      </c>
      <c r="FM133" s="81"/>
      <c r="FN133" s="81"/>
      <c r="FO133" s="81"/>
      <c r="FP133" s="81"/>
      <c r="FQ133" s="81"/>
      <c r="FR133" s="81"/>
      <c r="FS133" s="81"/>
      <c r="FT133" s="81"/>
      <c r="FU133" s="81">
        <v>149.72009677815956</v>
      </c>
      <c r="FV133" s="81">
        <v>638.85596383291363</v>
      </c>
      <c r="FW133" s="81"/>
      <c r="FX133" s="86"/>
      <c r="FY133" s="81"/>
      <c r="FZ133" s="81"/>
      <c r="GA133" s="81"/>
      <c r="GB133" s="81"/>
      <c r="GC133" s="81"/>
      <c r="GD133" s="81"/>
      <c r="GE133" s="81"/>
      <c r="GF133" s="81"/>
      <c r="GG133" s="81"/>
      <c r="GH133" s="81"/>
    </row>
    <row r="134" spans="1:190" x14ac:dyDescent="0.2">
      <c r="A134" s="82" t="s">
        <v>453</v>
      </c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>
        <v>4.0490309810937202</v>
      </c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  <c r="AI134" s="81"/>
      <c r="AJ134" s="81"/>
      <c r="AK134" s="81"/>
      <c r="AL134" s="81"/>
      <c r="AM134" s="81"/>
      <c r="AN134" s="81"/>
      <c r="AO134" s="81"/>
      <c r="AP134" s="81"/>
      <c r="AQ134" s="81"/>
      <c r="AR134" s="81"/>
      <c r="AS134" s="81"/>
      <c r="AT134" s="81"/>
      <c r="AU134" s="81">
        <v>0.24177475787577737</v>
      </c>
      <c r="AV134" s="81"/>
      <c r="AW134" s="81">
        <v>0.12957024194404712</v>
      </c>
      <c r="AX134" s="81"/>
      <c r="AY134" s="81"/>
      <c r="AZ134" s="81"/>
      <c r="BA134" s="81"/>
      <c r="BB134" s="81"/>
      <c r="BC134" s="81"/>
      <c r="BD134" s="81"/>
      <c r="BE134" s="81"/>
      <c r="BF134" s="81"/>
      <c r="BG134" s="81"/>
      <c r="BH134" s="81">
        <v>0.67699538195649223</v>
      </c>
      <c r="BI134" s="81">
        <v>0.42289584961495819</v>
      </c>
      <c r="BJ134" s="81"/>
      <c r="BK134" s="81"/>
      <c r="BL134" s="81"/>
      <c r="BM134" s="81"/>
      <c r="BN134" s="81"/>
      <c r="BO134" s="81"/>
      <c r="BP134" s="81"/>
      <c r="BQ134" s="81"/>
      <c r="BR134" s="81">
        <v>3.5196966615819218E-2</v>
      </c>
      <c r="BS134" s="81"/>
      <c r="BT134" s="81"/>
      <c r="BU134" s="81"/>
      <c r="BV134" s="81"/>
      <c r="BW134" s="81"/>
      <c r="BX134" s="81"/>
      <c r="BY134" s="81"/>
      <c r="BZ134" s="81"/>
      <c r="CA134" s="81"/>
      <c r="CB134" s="81"/>
      <c r="CC134" s="81"/>
      <c r="CD134" s="81"/>
      <c r="CE134" s="81"/>
      <c r="CF134" s="81"/>
      <c r="CG134" s="81"/>
      <c r="CH134" s="81"/>
      <c r="CI134" s="81"/>
      <c r="CJ134" s="81"/>
      <c r="CK134" s="81"/>
      <c r="CL134" s="81"/>
      <c r="CM134" s="81"/>
      <c r="CN134" s="81"/>
      <c r="CO134" s="81"/>
      <c r="CP134" s="81"/>
      <c r="CQ134" s="81"/>
      <c r="CR134" s="81"/>
      <c r="CS134" s="81"/>
      <c r="CT134" s="81"/>
      <c r="CU134" s="81"/>
      <c r="CV134" s="81"/>
      <c r="CW134" s="81"/>
      <c r="CX134" s="81"/>
      <c r="CY134" s="81"/>
      <c r="CZ134" s="81"/>
      <c r="DA134" s="81"/>
      <c r="DB134" s="81"/>
      <c r="DC134" s="81"/>
      <c r="DD134" s="81"/>
      <c r="DE134" s="81"/>
      <c r="DF134" s="81"/>
      <c r="DG134" s="81"/>
      <c r="DH134" s="81"/>
      <c r="DI134" s="81"/>
      <c r="DJ134" s="81"/>
      <c r="DK134" s="81"/>
      <c r="DL134" s="81"/>
      <c r="DM134" s="81"/>
      <c r="DN134" s="81"/>
      <c r="DO134" s="81"/>
      <c r="DP134" s="81"/>
      <c r="DQ134" s="81"/>
      <c r="DR134" s="81"/>
      <c r="DS134" s="81"/>
      <c r="DT134" s="81"/>
      <c r="DU134" s="81"/>
      <c r="DV134" s="81"/>
      <c r="DW134" s="81"/>
      <c r="DX134" s="81"/>
      <c r="DY134" s="81"/>
      <c r="DZ134" s="81"/>
      <c r="EA134" s="81"/>
      <c r="EB134" s="81"/>
      <c r="EC134" s="81"/>
      <c r="ED134" s="81"/>
      <c r="EE134" s="81"/>
      <c r="EF134" s="81"/>
      <c r="EG134" s="81"/>
      <c r="EH134" s="81"/>
      <c r="EI134" s="81"/>
      <c r="EJ134" s="81"/>
      <c r="EK134" s="81"/>
      <c r="EL134" s="81"/>
      <c r="EM134" s="81"/>
      <c r="EN134" s="81"/>
      <c r="EO134" s="81"/>
      <c r="EP134" s="81"/>
      <c r="EQ134" s="81"/>
      <c r="ER134" s="81"/>
      <c r="ES134" s="81"/>
      <c r="ET134" s="81"/>
      <c r="EU134" s="81"/>
      <c r="EV134" s="81"/>
      <c r="EW134" s="81"/>
      <c r="EX134" s="81"/>
      <c r="EY134" s="81"/>
      <c r="EZ134" s="81"/>
      <c r="FA134" s="81"/>
      <c r="FB134" s="81"/>
      <c r="FC134" s="88"/>
      <c r="FD134" s="88"/>
      <c r="FE134" s="88"/>
      <c r="FF134" s="88"/>
      <c r="FG134" s="88"/>
      <c r="FH134" s="88"/>
      <c r="FI134" s="88"/>
      <c r="FJ134" s="88"/>
      <c r="FK134" s="88"/>
      <c r="FL134" s="88"/>
      <c r="FM134" s="81"/>
      <c r="FN134" s="81"/>
      <c r="FO134" s="81"/>
      <c r="FP134" s="81"/>
      <c r="FQ134" s="81"/>
      <c r="FR134" s="81"/>
      <c r="FS134" s="81"/>
      <c r="FT134" s="81"/>
      <c r="FU134" s="81">
        <v>208.75247767473726</v>
      </c>
      <c r="FV134" s="81">
        <v>214.30794185383809</v>
      </c>
      <c r="FW134" s="81"/>
      <c r="FX134" s="86"/>
      <c r="FY134" s="81"/>
      <c r="FZ134" s="81"/>
      <c r="GA134" s="81"/>
      <c r="GB134" s="81"/>
      <c r="GC134" s="81"/>
      <c r="GD134" s="81"/>
      <c r="GE134" s="81"/>
      <c r="GF134" s="81"/>
      <c r="GG134" s="81"/>
      <c r="GH134" s="81"/>
    </row>
    <row r="135" spans="1:190" x14ac:dyDescent="0.2">
      <c r="A135" s="82" t="s">
        <v>454</v>
      </c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  <c r="AI135" s="81"/>
      <c r="AJ135" s="81"/>
      <c r="AK135" s="81"/>
      <c r="AL135" s="81"/>
      <c r="AM135" s="81">
        <v>1.2510325402572173E-2</v>
      </c>
      <c r="AN135" s="81">
        <v>0.22881612318117636</v>
      </c>
      <c r="AO135" s="81">
        <v>3.066661086074346E-2</v>
      </c>
      <c r="AP135" s="81"/>
      <c r="AQ135" s="81"/>
      <c r="AR135" s="81"/>
      <c r="AS135" s="81"/>
      <c r="AT135" s="81"/>
      <c r="AU135" s="81"/>
      <c r="AV135" s="81"/>
      <c r="AW135" s="81"/>
      <c r="AX135" s="81"/>
      <c r="AY135" s="81"/>
      <c r="AZ135" s="81"/>
      <c r="BA135" s="81"/>
      <c r="BB135" s="81"/>
      <c r="BC135" s="81"/>
      <c r="BD135" s="81"/>
      <c r="BE135" s="81"/>
      <c r="BF135" s="81"/>
      <c r="BG135" s="81"/>
      <c r="BH135" s="81"/>
      <c r="BI135" s="81"/>
      <c r="BJ135" s="81"/>
      <c r="BK135" s="81"/>
      <c r="BL135" s="81"/>
      <c r="BM135" s="81"/>
      <c r="BN135" s="81"/>
      <c r="BO135" s="81"/>
      <c r="BP135" s="81"/>
      <c r="BQ135" s="81"/>
      <c r="BR135" s="81"/>
      <c r="BS135" s="81"/>
      <c r="BT135" s="81"/>
      <c r="BU135" s="81"/>
      <c r="BV135" s="81"/>
      <c r="BW135" s="81"/>
      <c r="BX135" s="81"/>
      <c r="BY135" s="81"/>
      <c r="BZ135" s="81"/>
      <c r="CA135" s="81"/>
      <c r="CB135" s="81"/>
      <c r="CC135" s="81"/>
      <c r="CD135" s="81"/>
      <c r="CE135" s="81"/>
      <c r="CF135" s="81"/>
      <c r="CG135" s="81"/>
      <c r="CH135" s="81"/>
      <c r="CI135" s="81"/>
      <c r="CJ135" s="81"/>
      <c r="CK135" s="81"/>
      <c r="CL135" s="81"/>
      <c r="CM135" s="81"/>
      <c r="CN135" s="81"/>
      <c r="CO135" s="81"/>
      <c r="CP135" s="81"/>
      <c r="CQ135" s="81"/>
      <c r="CR135" s="81"/>
      <c r="CS135" s="81"/>
      <c r="CT135" s="81"/>
      <c r="CU135" s="81"/>
      <c r="CV135" s="81"/>
      <c r="CW135" s="81"/>
      <c r="CX135" s="81"/>
      <c r="CY135" s="81"/>
      <c r="CZ135" s="81"/>
      <c r="DA135" s="81"/>
      <c r="DB135" s="81"/>
      <c r="DC135" s="81"/>
      <c r="DD135" s="81"/>
      <c r="DE135" s="81"/>
      <c r="DF135" s="81"/>
      <c r="DG135" s="81"/>
      <c r="DH135" s="81"/>
      <c r="DI135" s="81"/>
      <c r="DJ135" s="81"/>
      <c r="DK135" s="81"/>
      <c r="DL135" s="81"/>
      <c r="DM135" s="81"/>
      <c r="DN135" s="81"/>
      <c r="DO135" s="81"/>
      <c r="DP135" s="81"/>
      <c r="DQ135" s="81"/>
      <c r="DR135" s="81"/>
      <c r="DS135" s="81"/>
      <c r="DT135" s="81"/>
      <c r="DU135" s="81"/>
      <c r="DV135" s="81"/>
      <c r="DW135" s="81"/>
      <c r="DX135" s="81"/>
      <c r="DY135" s="81"/>
      <c r="DZ135" s="81"/>
      <c r="EA135" s="81"/>
      <c r="EB135" s="81"/>
      <c r="EC135" s="81"/>
      <c r="ED135" s="81"/>
      <c r="EE135" s="81"/>
      <c r="EF135" s="81"/>
      <c r="EG135" s="81"/>
      <c r="EH135" s="81"/>
      <c r="EI135" s="81"/>
      <c r="EJ135" s="81"/>
      <c r="EK135" s="81"/>
      <c r="EL135" s="81"/>
      <c r="EM135" s="81"/>
      <c r="EN135" s="81"/>
      <c r="EO135" s="81"/>
      <c r="EP135" s="81"/>
      <c r="EQ135" s="81"/>
      <c r="ER135" s="81"/>
      <c r="ES135" s="81"/>
      <c r="ET135" s="81"/>
      <c r="EU135" s="81"/>
      <c r="EV135" s="81"/>
      <c r="EW135" s="81"/>
      <c r="EX135" s="81"/>
      <c r="EY135" s="81"/>
      <c r="EZ135" s="81"/>
      <c r="FA135" s="81"/>
      <c r="FB135" s="81"/>
      <c r="FC135" s="88">
        <v>11.905703160604519</v>
      </c>
      <c r="FD135" s="88">
        <v>17.143185240746927</v>
      </c>
      <c r="FE135" s="88">
        <v>18.518953757675778</v>
      </c>
      <c r="FF135" s="88">
        <v>21.425197621697905</v>
      </c>
      <c r="FG135" s="88">
        <v>21.400015922224203</v>
      </c>
      <c r="FH135" s="88">
        <v>7.3838793228436606</v>
      </c>
      <c r="FI135" s="88">
        <v>10.804167900683728</v>
      </c>
      <c r="FJ135" s="88">
        <v>15.704320281816745</v>
      </c>
      <c r="FK135" s="88">
        <v>23.263711700793529</v>
      </c>
      <c r="FL135" s="88">
        <v>71.037099222589291</v>
      </c>
      <c r="FM135" s="81"/>
      <c r="FN135" s="81"/>
      <c r="FO135" s="81"/>
      <c r="FP135" s="81"/>
      <c r="FQ135" s="81"/>
      <c r="FR135" s="81"/>
      <c r="FS135" s="81"/>
      <c r="FT135" s="81"/>
      <c r="FU135" s="81"/>
      <c r="FV135" s="81">
        <v>218.85822719112076</v>
      </c>
      <c r="FW135" s="81"/>
      <c r="FX135" s="86"/>
      <c r="FY135" s="81"/>
      <c r="FZ135" s="81"/>
      <c r="GA135" s="81"/>
      <c r="GB135" s="81"/>
      <c r="GC135" s="81"/>
      <c r="GD135" s="81"/>
      <c r="GE135" s="81"/>
      <c r="GF135" s="81"/>
      <c r="GG135" s="81"/>
      <c r="GH135" s="81"/>
    </row>
    <row r="136" spans="1:190" x14ac:dyDescent="0.2">
      <c r="A136" s="82" t="s">
        <v>455</v>
      </c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>
        <v>8.1542568687259075E-3</v>
      </c>
      <c r="V136" s="81"/>
      <c r="W136" s="81"/>
      <c r="X136" s="81"/>
      <c r="Y136" s="81">
        <v>3.8476648215837683E-2</v>
      </c>
      <c r="Z136" s="81">
        <v>1.6969610057921285E-2</v>
      </c>
      <c r="AA136" s="81">
        <v>3.207706197889358E-3</v>
      </c>
      <c r="AB136" s="81"/>
      <c r="AC136" s="81">
        <v>3.322732392134508E-2</v>
      </c>
      <c r="AD136" s="81">
        <v>7.5223686381828914E-2</v>
      </c>
      <c r="AE136" s="81"/>
      <c r="AF136" s="81"/>
      <c r="AG136" s="81"/>
      <c r="AH136" s="81"/>
      <c r="AI136" s="81"/>
      <c r="AJ136" s="81"/>
      <c r="AK136" s="81"/>
      <c r="AL136" s="81"/>
      <c r="AM136" s="81">
        <v>1.4010342589465354E-2</v>
      </c>
      <c r="AN136" s="81">
        <v>1.66188785378053E-2</v>
      </c>
      <c r="AO136" s="81">
        <v>1.7121196401953431E-2</v>
      </c>
      <c r="AP136" s="81">
        <v>7.1851208441538986E-2</v>
      </c>
      <c r="AQ136" s="81">
        <v>0.13804930462120801</v>
      </c>
      <c r="AR136" s="81">
        <v>7.2994136306403683E-3</v>
      </c>
      <c r="AS136" s="81">
        <v>1.4586695004883743E-2</v>
      </c>
      <c r="AT136" s="81">
        <v>4.2070663750478278E-2</v>
      </c>
      <c r="AU136" s="81"/>
      <c r="AV136" s="81">
        <v>2.8243454948265367E-2</v>
      </c>
      <c r="AW136" s="81">
        <v>0.48292393766391906</v>
      </c>
      <c r="AX136" s="81">
        <v>0.11527958782414975</v>
      </c>
      <c r="AY136" s="81">
        <v>0.15382585581813543</v>
      </c>
      <c r="AZ136" s="81">
        <v>9.6452983798641187E-2</v>
      </c>
      <c r="BA136" s="81">
        <v>3.7900314195935987E-2</v>
      </c>
      <c r="BB136" s="81">
        <v>8.9819003751963524E-3</v>
      </c>
      <c r="BC136" s="81">
        <v>7.330708727507794E-2</v>
      </c>
      <c r="BD136" s="81">
        <v>5.9278852889158962E-2</v>
      </c>
      <c r="BE136" s="81">
        <v>0.112902651061143</v>
      </c>
      <c r="BF136" s="81">
        <v>0.52786080081175746</v>
      </c>
      <c r="BG136" s="81">
        <v>1.7486505328460327</v>
      </c>
      <c r="BH136" s="81">
        <v>1.3793790231764393</v>
      </c>
      <c r="BI136" s="81">
        <v>0.79370396524223541</v>
      </c>
      <c r="BJ136" s="81">
        <v>0.46498604643860991</v>
      </c>
      <c r="BK136" s="81">
        <v>0.58819388641015935</v>
      </c>
      <c r="BL136" s="81">
        <v>0.96480509001942993</v>
      </c>
      <c r="BM136" s="81">
        <v>1.0684880768037084</v>
      </c>
      <c r="BN136" s="81">
        <v>4.0835895119777614</v>
      </c>
      <c r="BO136" s="81">
        <v>0.33206052860909391</v>
      </c>
      <c r="BP136" s="81">
        <v>0.54357358172673398</v>
      </c>
      <c r="BQ136" s="81">
        <v>0.6581607226526851</v>
      </c>
      <c r="BR136" s="81">
        <v>1.5266919141908739</v>
      </c>
      <c r="BS136" s="81"/>
      <c r="BT136" s="81"/>
      <c r="BU136" s="81"/>
      <c r="BV136" s="81"/>
      <c r="BW136" s="81"/>
      <c r="BX136" s="81"/>
      <c r="BY136" s="81"/>
      <c r="BZ136" s="81"/>
      <c r="CA136" s="81"/>
      <c r="CB136" s="81"/>
      <c r="CC136" s="81"/>
      <c r="CD136" s="81"/>
      <c r="CE136" s="81"/>
      <c r="CF136" s="81"/>
      <c r="CG136" s="81"/>
      <c r="CH136" s="81"/>
      <c r="CI136" s="81"/>
      <c r="CJ136" s="81"/>
      <c r="CK136" s="81"/>
      <c r="CL136" s="81"/>
      <c r="CM136" s="81"/>
      <c r="CN136" s="81"/>
      <c r="CO136" s="81"/>
      <c r="CP136" s="81"/>
      <c r="CQ136" s="81"/>
      <c r="CR136" s="81"/>
      <c r="CS136" s="81"/>
      <c r="CT136" s="81"/>
      <c r="CU136" s="81"/>
      <c r="CV136" s="81"/>
      <c r="CW136" s="81"/>
      <c r="CX136" s="81"/>
      <c r="CY136" s="81"/>
      <c r="CZ136" s="81"/>
      <c r="DA136" s="81"/>
      <c r="DB136" s="81"/>
      <c r="DC136" s="81"/>
      <c r="DD136" s="81"/>
      <c r="DE136" s="81"/>
      <c r="DF136" s="81"/>
      <c r="DG136" s="81"/>
      <c r="DH136" s="81"/>
      <c r="DI136" s="81"/>
      <c r="DJ136" s="81"/>
      <c r="DK136" s="81"/>
      <c r="DL136" s="81"/>
      <c r="DM136" s="81"/>
      <c r="DN136" s="81"/>
      <c r="DO136" s="81"/>
      <c r="DP136" s="81"/>
      <c r="DQ136" s="81"/>
      <c r="DR136" s="81"/>
      <c r="DS136" s="81"/>
      <c r="DT136" s="81"/>
      <c r="DU136" s="81"/>
      <c r="DV136" s="81"/>
      <c r="DW136" s="81"/>
      <c r="DX136" s="81"/>
      <c r="DY136" s="81"/>
      <c r="DZ136" s="81"/>
      <c r="EA136" s="81"/>
      <c r="EB136" s="81"/>
      <c r="EC136" s="81"/>
      <c r="ED136" s="81"/>
      <c r="EE136" s="81"/>
      <c r="EF136" s="81"/>
      <c r="EG136" s="81"/>
      <c r="EH136" s="81"/>
      <c r="EI136" s="81"/>
      <c r="EJ136" s="81"/>
      <c r="EK136" s="81"/>
      <c r="EL136" s="81"/>
      <c r="EM136" s="81"/>
      <c r="EN136" s="81"/>
      <c r="EO136" s="81"/>
      <c r="EP136" s="81"/>
      <c r="EQ136" s="81"/>
      <c r="ER136" s="81"/>
      <c r="ES136" s="81"/>
      <c r="ET136" s="81"/>
      <c r="EU136" s="81"/>
      <c r="EV136" s="81"/>
      <c r="EW136" s="81"/>
      <c r="EX136" s="81"/>
      <c r="EY136" s="81"/>
      <c r="EZ136" s="81"/>
      <c r="FA136" s="81"/>
      <c r="FB136" s="81"/>
      <c r="FC136" s="88">
        <v>6.4291279742881882</v>
      </c>
      <c r="FD136" s="88">
        <v>9.9086098558166569</v>
      </c>
      <c r="FE136" s="88">
        <v>12.186780734320777</v>
      </c>
      <c r="FF136" s="88">
        <v>15.912398877333338</v>
      </c>
      <c r="FG136" s="88">
        <v>16.860818637066224</v>
      </c>
      <c r="FH136" s="88">
        <v>4.0507704255727885</v>
      </c>
      <c r="FI136" s="88">
        <v>7.1847781923016978</v>
      </c>
      <c r="FJ136" s="88">
        <v>11.902100879167783</v>
      </c>
      <c r="FK136" s="88">
        <v>18.989377447296405</v>
      </c>
      <c r="FL136" s="88">
        <v>51.94286288553343</v>
      </c>
      <c r="FM136" s="81"/>
      <c r="FN136" s="81"/>
      <c r="FO136" s="81"/>
      <c r="FP136" s="81"/>
      <c r="FQ136" s="81"/>
      <c r="FR136" s="81"/>
      <c r="FS136" s="81"/>
      <c r="FT136" s="81"/>
      <c r="FU136" s="81"/>
      <c r="FV136" s="81">
        <v>171.71373315007395</v>
      </c>
      <c r="FW136" s="81"/>
      <c r="FX136" s="86"/>
      <c r="FY136" s="81"/>
      <c r="FZ136" s="81"/>
      <c r="GA136" s="81"/>
      <c r="GB136" s="81"/>
      <c r="GC136" s="81"/>
      <c r="GD136" s="81"/>
      <c r="GE136" s="81"/>
      <c r="GF136" s="81"/>
      <c r="GG136" s="81"/>
      <c r="GH136" s="81"/>
    </row>
    <row r="137" spans="1:190" x14ac:dyDescent="0.2">
      <c r="A137" s="82" t="s">
        <v>456</v>
      </c>
      <c r="B137" s="81">
        <v>3.7131327857067881E-2</v>
      </c>
      <c r="C137" s="81">
        <v>9.1127071791083595E-3</v>
      </c>
      <c r="D137" s="81">
        <v>2.5956293794916617E-2</v>
      </c>
      <c r="E137" s="81">
        <v>6.6290061158602365E-2</v>
      </c>
      <c r="F137" s="81">
        <v>1.6455300350024817E-2</v>
      </c>
      <c r="G137" s="81">
        <v>6.2249349236440446E-2</v>
      </c>
      <c r="H137" s="81">
        <v>1.5812962058102464E-2</v>
      </c>
      <c r="I137" s="81">
        <v>1.3311564118342428E-2</v>
      </c>
      <c r="J137" s="81">
        <v>0.29837705627441652</v>
      </c>
      <c r="K137" s="81">
        <v>0.54816487020000859</v>
      </c>
      <c r="L137" s="81">
        <v>8.3883195568866475E-2</v>
      </c>
      <c r="M137" s="81">
        <v>7.6463526861455502E-4</v>
      </c>
      <c r="N137" s="81"/>
      <c r="O137" s="81">
        <v>1.6153740462667282E-3</v>
      </c>
      <c r="P137" s="81"/>
      <c r="Q137" s="81"/>
      <c r="R137" s="81"/>
      <c r="S137" s="81"/>
      <c r="T137" s="81"/>
      <c r="U137" s="81">
        <v>1.0648250217509043E-2</v>
      </c>
      <c r="V137" s="81"/>
      <c r="W137" s="81">
        <v>0.15398194366992335</v>
      </c>
      <c r="X137" s="81">
        <v>1.4495691067535896</v>
      </c>
      <c r="Y137" s="81">
        <v>0.498917186884129</v>
      </c>
      <c r="Z137" s="81">
        <v>2.734831764213284E-2</v>
      </c>
      <c r="AA137" s="81">
        <v>2.830174891998704E-2</v>
      </c>
      <c r="AB137" s="81">
        <v>0.13015373861038612</v>
      </c>
      <c r="AC137" s="81">
        <v>0.20348910045750729</v>
      </c>
      <c r="AD137" s="81">
        <v>0.10217290878185971</v>
      </c>
      <c r="AE137" s="81">
        <v>1.3371049253780016E-2</v>
      </c>
      <c r="AF137" s="81">
        <v>1.4214165927233823E-3</v>
      </c>
      <c r="AG137" s="81">
        <v>1.2005287230603035E-2</v>
      </c>
      <c r="AH137" s="81">
        <v>2.1758278065517566E-2</v>
      </c>
      <c r="AI137" s="81">
        <v>1.4991382603556727E-3</v>
      </c>
      <c r="AJ137" s="81">
        <v>5.0179802939021065E-2</v>
      </c>
      <c r="AK137" s="81">
        <v>0.42970964154349928</v>
      </c>
      <c r="AL137" s="81">
        <v>1.1310482334477838E-2</v>
      </c>
      <c r="AM137" s="81">
        <v>0.1530320120066373</v>
      </c>
      <c r="AN137" s="81">
        <v>0.9746975603817758</v>
      </c>
      <c r="AO137" s="81">
        <v>0.34141187049192212</v>
      </c>
      <c r="AP137" s="81">
        <v>1.7409835202187791</v>
      </c>
      <c r="AQ137" s="81">
        <v>1.1412923320783603</v>
      </c>
      <c r="AR137" s="81">
        <v>2.3014590201266352E-2</v>
      </c>
      <c r="AS137" s="81">
        <v>7.3313104718538786E-3</v>
      </c>
      <c r="AT137" s="81">
        <v>0.11739854412043314</v>
      </c>
      <c r="AU137" s="81">
        <v>1.8758634806085623</v>
      </c>
      <c r="AV137" s="81">
        <v>0.1057341554288888</v>
      </c>
      <c r="AW137" s="81">
        <v>6.2520822485170333</v>
      </c>
      <c r="AX137" s="81">
        <v>0.94266972289017537</v>
      </c>
      <c r="AY137" s="81">
        <v>3.4983939780247559</v>
      </c>
      <c r="AZ137" s="81">
        <v>5.2754942587979698</v>
      </c>
      <c r="BA137" s="81">
        <v>1.0084848822904857</v>
      </c>
      <c r="BB137" s="81">
        <v>0.26254454262506155</v>
      </c>
      <c r="BC137" s="81">
        <v>5.9007785251018199E-2</v>
      </c>
      <c r="BD137" s="81">
        <v>0.6739608416254429</v>
      </c>
      <c r="BE137" s="81">
        <v>0.18027145034465195</v>
      </c>
      <c r="BF137" s="81">
        <v>2.2335340715049137</v>
      </c>
      <c r="BG137" s="81">
        <v>3.4243691444616093</v>
      </c>
      <c r="BH137" s="81">
        <v>2.9577041701505022</v>
      </c>
      <c r="BI137" s="81">
        <v>1.2532898272180741</v>
      </c>
      <c r="BJ137" s="81">
        <v>3.8103239689842715E-2</v>
      </c>
      <c r="BK137" s="81">
        <v>4.4618569346801715</v>
      </c>
      <c r="BL137" s="81">
        <v>0.97128537104325974</v>
      </c>
      <c r="BM137" s="81">
        <v>1.3126909973657221</v>
      </c>
      <c r="BN137" s="81">
        <v>2.1174066940860121</v>
      </c>
      <c r="BO137" s="81">
        <v>30.773444767294702</v>
      </c>
      <c r="BP137" s="81">
        <v>9.2377218343573028E-2</v>
      </c>
      <c r="BQ137" s="81">
        <v>0.63724746294608658</v>
      </c>
      <c r="BR137" s="81">
        <v>0.53602000529888127</v>
      </c>
      <c r="BS137" s="81"/>
      <c r="BT137" s="81"/>
      <c r="BU137" s="81"/>
      <c r="BV137" s="81"/>
      <c r="BW137" s="81"/>
      <c r="BX137" s="81"/>
      <c r="BY137" s="81"/>
      <c r="BZ137" s="81"/>
      <c r="CA137" s="81"/>
      <c r="CB137" s="81"/>
      <c r="CC137" s="81"/>
      <c r="CD137" s="81"/>
      <c r="CE137" s="81"/>
      <c r="CF137" s="81"/>
      <c r="CG137" s="81"/>
      <c r="CH137" s="81"/>
      <c r="CI137" s="81"/>
      <c r="CJ137" s="81"/>
      <c r="CK137" s="81"/>
      <c r="CL137" s="81"/>
      <c r="CM137" s="81"/>
      <c r="CN137" s="81"/>
      <c r="CO137" s="81"/>
      <c r="CP137" s="81"/>
      <c r="CQ137" s="81"/>
      <c r="CR137" s="81"/>
      <c r="CS137" s="81"/>
      <c r="CT137" s="81"/>
      <c r="CU137" s="81"/>
      <c r="CV137" s="81"/>
      <c r="CW137" s="81"/>
      <c r="CX137" s="81"/>
      <c r="CY137" s="81"/>
      <c r="CZ137" s="81"/>
      <c r="DA137" s="81"/>
      <c r="DB137" s="81"/>
      <c r="DC137" s="81"/>
      <c r="DD137" s="81"/>
      <c r="DE137" s="81"/>
      <c r="DF137" s="81"/>
      <c r="DG137" s="81"/>
      <c r="DH137" s="81"/>
      <c r="DI137" s="81"/>
      <c r="DJ137" s="81"/>
      <c r="DK137" s="81"/>
      <c r="DL137" s="81"/>
      <c r="DM137" s="81"/>
      <c r="DN137" s="81"/>
      <c r="DO137" s="81"/>
      <c r="DP137" s="81"/>
      <c r="DQ137" s="81"/>
      <c r="DR137" s="81"/>
      <c r="DS137" s="81"/>
      <c r="DT137" s="81"/>
      <c r="DU137" s="81"/>
      <c r="DV137" s="81"/>
      <c r="DW137" s="81"/>
      <c r="DX137" s="81"/>
      <c r="DY137" s="81"/>
      <c r="DZ137" s="81"/>
      <c r="EA137" s="81"/>
      <c r="EB137" s="81"/>
      <c r="EC137" s="81"/>
      <c r="ED137" s="81"/>
      <c r="EE137" s="81"/>
      <c r="EF137" s="81"/>
      <c r="EG137" s="81"/>
      <c r="EH137" s="81"/>
      <c r="EI137" s="81"/>
      <c r="EJ137" s="81"/>
      <c r="EK137" s="81"/>
      <c r="EL137" s="81"/>
      <c r="EM137" s="81"/>
      <c r="EN137" s="81"/>
      <c r="EO137" s="81"/>
      <c r="EP137" s="81"/>
      <c r="EQ137" s="81"/>
      <c r="ER137" s="81"/>
      <c r="ES137" s="81"/>
      <c r="ET137" s="81"/>
      <c r="EU137" s="81"/>
      <c r="EV137" s="81"/>
      <c r="EW137" s="81"/>
      <c r="EX137" s="81"/>
      <c r="EY137" s="81"/>
      <c r="EZ137" s="81"/>
      <c r="FA137" s="81"/>
      <c r="FB137" s="81"/>
      <c r="FC137" s="88">
        <v>2.2205726227144056</v>
      </c>
      <c r="FD137" s="88">
        <v>4.7519190063087482</v>
      </c>
      <c r="FE137" s="88">
        <v>5.9038770347665332</v>
      </c>
      <c r="FF137" s="88">
        <v>7.9340536079095667</v>
      </c>
      <c r="FG137" s="88">
        <v>8.4812119082479676</v>
      </c>
      <c r="FH137" s="88">
        <v>1.0560975765833971</v>
      </c>
      <c r="FI137" s="88">
        <v>2.3001922757729618</v>
      </c>
      <c r="FJ137" s="88">
        <v>4.7185396051677948</v>
      </c>
      <c r="FK137" s="88">
        <v>7.7129771742483841</v>
      </c>
      <c r="FL137" s="88">
        <v>23.338952603825266</v>
      </c>
      <c r="FM137" s="81">
        <v>44.064169918093597</v>
      </c>
      <c r="FN137" s="81"/>
      <c r="FO137" s="81"/>
      <c r="FP137" s="81"/>
      <c r="FQ137" s="81"/>
      <c r="FR137" s="81"/>
      <c r="FS137" s="81"/>
      <c r="FT137" s="81"/>
      <c r="FU137" s="81">
        <v>8.7512897913891017</v>
      </c>
      <c r="FV137" s="81">
        <v>201.00181421075393</v>
      </c>
      <c r="FW137" s="81"/>
      <c r="FX137" s="86"/>
      <c r="FY137" s="81"/>
      <c r="FZ137" s="81"/>
      <c r="GA137" s="81"/>
      <c r="GB137" s="81"/>
      <c r="GC137" s="81"/>
      <c r="GD137" s="81"/>
      <c r="GE137" s="81"/>
      <c r="GF137" s="81"/>
      <c r="GG137" s="81"/>
      <c r="GH137" s="81"/>
    </row>
    <row r="138" spans="1:190" x14ac:dyDescent="0.2">
      <c r="A138" s="82" t="s">
        <v>457</v>
      </c>
      <c r="B138" s="81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>
        <v>0.18086998571878626</v>
      </c>
      <c r="V138" s="81">
        <v>0.1057932298697645</v>
      </c>
      <c r="W138" s="81">
        <v>2.797768515928734</v>
      </c>
      <c r="X138" s="81"/>
      <c r="Y138" s="81">
        <v>2.349582914859849</v>
      </c>
      <c r="Z138" s="81">
        <v>3.0570506910118037E-2</v>
      </c>
      <c r="AA138" s="81">
        <v>1.7384432875980427E-3</v>
      </c>
      <c r="AB138" s="81">
        <v>0.18075626149823368</v>
      </c>
      <c r="AC138" s="81">
        <v>7.922722907148555E-2</v>
      </c>
      <c r="AD138" s="81">
        <v>1.8176864812961331E-2</v>
      </c>
      <c r="AE138" s="81">
        <v>1.8578897405574491E-2</v>
      </c>
      <c r="AF138" s="81">
        <v>1.9751073349962823E-3</v>
      </c>
      <c r="AG138" s="81">
        <v>1.6680378589355897E-2</v>
      </c>
      <c r="AH138" s="81">
        <v>3.0227546173629601E-2</v>
      </c>
      <c r="AI138" s="81">
        <v>2.0830943747000719E-3</v>
      </c>
      <c r="AJ138" s="81">
        <v>5.6906310487132433E-2</v>
      </c>
      <c r="AK138" s="81">
        <v>0.59611040734656739</v>
      </c>
      <c r="AL138" s="81">
        <v>1.5717833356896888E-2</v>
      </c>
      <c r="AM138" s="81">
        <v>3.6302631839757585E-2</v>
      </c>
      <c r="AN138" s="81">
        <v>6.6904684429339445E-2</v>
      </c>
      <c r="AO138" s="81">
        <v>0.18260631823248036</v>
      </c>
      <c r="AP138" s="81">
        <v>1.0763217356492847</v>
      </c>
      <c r="AQ138" s="81">
        <v>2.5806912914510121</v>
      </c>
      <c r="AR138" s="81">
        <v>0.10632649604223685</v>
      </c>
      <c r="AS138" s="81">
        <v>0.25235327764545029</v>
      </c>
      <c r="AT138" s="81">
        <v>0.22910489710754206</v>
      </c>
      <c r="AU138" s="81">
        <v>0.68109196638505165</v>
      </c>
      <c r="AV138" s="81"/>
      <c r="AW138" s="81">
        <v>4.380587453464468</v>
      </c>
      <c r="AX138" s="81">
        <v>1.9171041247809921</v>
      </c>
      <c r="AY138" s="81">
        <v>2.5832193464946447</v>
      </c>
      <c r="AZ138" s="81">
        <v>0.73300269713667632</v>
      </c>
      <c r="BA138" s="81">
        <v>0.54781388973930401</v>
      </c>
      <c r="BB138" s="81">
        <v>0.10691825956353915</v>
      </c>
      <c r="BC138" s="81">
        <v>1.2109241621296329</v>
      </c>
      <c r="BD138" s="81">
        <v>2.4550737797145938</v>
      </c>
      <c r="BE138" s="81">
        <v>3.170823819007361</v>
      </c>
      <c r="BF138" s="81">
        <v>6.3600079021453313</v>
      </c>
      <c r="BG138" s="81">
        <v>13.019044090881952</v>
      </c>
      <c r="BH138" s="81">
        <v>16.618692987675914</v>
      </c>
      <c r="BI138" s="81">
        <v>22.901474406505244</v>
      </c>
      <c r="BJ138" s="81">
        <v>1.123916461261836</v>
      </c>
      <c r="BK138" s="81">
        <v>2.5409203950187003</v>
      </c>
      <c r="BL138" s="81">
        <v>2.7882220177458024</v>
      </c>
      <c r="BM138" s="81">
        <v>56.847636706018328</v>
      </c>
      <c r="BN138" s="81">
        <v>18.26290641870435</v>
      </c>
      <c r="BO138" s="81">
        <v>0.60889637209408976</v>
      </c>
      <c r="BP138" s="81">
        <v>4.4576864179430533</v>
      </c>
      <c r="BQ138" s="81">
        <v>9.5465314903342957</v>
      </c>
      <c r="BR138" s="81">
        <v>15.106949696845424</v>
      </c>
      <c r="BS138" s="81"/>
      <c r="BT138" s="81"/>
      <c r="BU138" s="81"/>
      <c r="BV138" s="81"/>
      <c r="BW138" s="81"/>
      <c r="BX138" s="81"/>
      <c r="BY138" s="81"/>
      <c r="BZ138" s="81"/>
      <c r="CA138" s="81"/>
      <c r="CB138" s="81"/>
      <c r="CC138" s="81"/>
      <c r="CD138" s="81"/>
      <c r="CE138" s="81"/>
      <c r="CF138" s="81"/>
      <c r="CG138" s="81"/>
      <c r="CH138" s="81"/>
      <c r="CI138" s="81"/>
      <c r="CJ138" s="81"/>
      <c r="CK138" s="81"/>
      <c r="CL138" s="81"/>
      <c r="CM138" s="81"/>
      <c r="CN138" s="81"/>
      <c r="CO138" s="81"/>
      <c r="CP138" s="81"/>
      <c r="CQ138" s="81"/>
      <c r="CR138" s="81"/>
      <c r="CS138" s="81"/>
      <c r="CT138" s="81"/>
      <c r="CU138" s="81"/>
      <c r="CV138" s="81"/>
      <c r="CW138" s="81"/>
      <c r="CX138" s="81"/>
      <c r="CY138" s="81"/>
      <c r="CZ138" s="81"/>
      <c r="DA138" s="81"/>
      <c r="DB138" s="81"/>
      <c r="DC138" s="81"/>
      <c r="DD138" s="81"/>
      <c r="DE138" s="81"/>
      <c r="DF138" s="81"/>
      <c r="DG138" s="81"/>
      <c r="DH138" s="81"/>
      <c r="DI138" s="81"/>
      <c r="DJ138" s="81"/>
      <c r="DK138" s="81"/>
      <c r="DL138" s="81"/>
      <c r="DM138" s="81"/>
      <c r="DN138" s="81"/>
      <c r="DO138" s="81"/>
      <c r="DP138" s="81"/>
      <c r="DQ138" s="81"/>
      <c r="DR138" s="81"/>
      <c r="DS138" s="81"/>
      <c r="DT138" s="81"/>
      <c r="DU138" s="81"/>
      <c r="DV138" s="81"/>
      <c r="DW138" s="81"/>
      <c r="DX138" s="81"/>
      <c r="DY138" s="81"/>
      <c r="DZ138" s="81"/>
      <c r="EA138" s="81"/>
      <c r="EB138" s="81"/>
      <c r="EC138" s="81"/>
      <c r="ED138" s="81"/>
      <c r="EE138" s="81"/>
      <c r="EF138" s="81"/>
      <c r="EG138" s="81"/>
      <c r="EH138" s="81"/>
      <c r="EI138" s="81"/>
      <c r="EJ138" s="81"/>
      <c r="EK138" s="81"/>
      <c r="EL138" s="81"/>
      <c r="EM138" s="81"/>
      <c r="EN138" s="81"/>
      <c r="EO138" s="81"/>
      <c r="EP138" s="81"/>
      <c r="EQ138" s="81"/>
      <c r="ER138" s="81"/>
      <c r="ES138" s="81"/>
      <c r="ET138" s="81"/>
      <c r="EU138" s="81"/>
      <c r="EV138" s="81"/>
      <c r="EW138" s="81"/>
      <c r="EX138" s="81"/>
      <c r="EY138" s="81"/>
      <c r="EZ138" s="81"/>
      <c r="FA138" s="81"/>
      <c r="FB138" s="81"/>
      <c r="FC138" s="88">
        <v>18.837296013526519</v>
      </c>
      <c r="FD138" s="88">
        <v>24.544098903475078</v>
      </c>
      <c r="FE138" s="88">
        <v>26.607715398956387</v>
      </c>
      <c r="FF138" s="88">
        <v>31.547364667668763</v>
      </c>
      <c r="FG138" s="88">
        <v>31.632645850537866</v>
      </c>
      <c r="FH138" s="88">
        <v>9.0065438535689051</v>
      </c>
      <c r="FI138" s="88">
        <v>13.84325097616887</v>
      </c>
      <c r="FJ138" s="88">
        <v>20.531536315805194</v>
      </c>
      <c r="FK138" s="88">
        <v>28.374794485037953</v>
      </c>
      <c r="FL138" s="88">
        <v>109.50035528419484</v>
      </c>
      <c r="FM138" s="81"/>
      <c r="FN138" s="81"/>
      <c r="FO138" s="81"/>
      <c r="FP138" s="81"/>
      <c r="FQ138" s="81"/>
      <c r="FR138" s="81"/>
      <c r="FS138" s="81"/>
      <c r="FT138" s="81"/>
      <c r="FU138" s="81"/>
      <c r="FV138" s="81">
        <v>513.40842146995453</v>
      </c>
      <c r="FW138" s="81"/>
      <c r="FX138" s="86"/>
      <c r="FY138" s="81"/>
      <c r="FZ138" s="81"/>
      <c r="GA138" s="81"/>
      <c r="GB138" s="81"/>
      <c r="GC138" s="81"/>
      <c r="GD138" s="81"/>
      <c r="GE138" s="81"/>
      <c r="GF138" s="81"/>
      <c r="GG138" s="81"/>
      <c r="GH138" s="81"/>
    </row>
    <row r="139" spans="1:190" x14ac:dyDescent="0.2">
      <c r="A139" s="82" t="s">
        <v>458</v>
      </c>
      <c r="B139" s="81">
        <v>2.1070418698729314E-2</v>
      </c>
      <c r="C139" s="81">
        <v>5.3907694930728448E-3</v>
      </c>
      <c r="D139" s="81">
        <v>1.5352904450378629E-2</v>
      </c>
      <c r="E139" s="81">
        <v>3.9241426220878339E-2</v>
      </c>
      <c r="F139" s="81">
        <v>1.6382499881436186E-2</v>
      </c>
      <c r="G139" s="81">
        <v>3.6804266509163991E-2</v>
      </c>
      <c r="H139" s="81">
        <v>9.3528952127699162E-3</v>
      </c>
      <c r="I139" s="81">
        <v>7.8737204229258374E-3</v>
      </c>
      <c r="J139" s="81">
        <v>0.17619149504695911</v>
      </c>
      <c r="K139" s="81">
        <v>0.32567574516638564</v>
      </c>
      <c r="L139" s="81">
        <v>4.9589394517153051E-2</v>
      </c>
      <c r="M139" s="81">
        <v>4.5230459915993201E-4</v>
      </c>
      <c r="N139" s="81">
        <v>1.0027207312538977E-2</v>
      </c>
      <c r="O139" s="81">
        <v>9.0708596203775682E-4</v>
      </c>
      <c r="P139" s="81"/>
      <c r="Q139" s="81"/>
      <c r="R139" s="81"/>
      <c r="S139" s="81"/>
      <c r="T139" s="81"/>
      <c r="U139" s="81">
        <v>0.16332325809574189</v>
      </c>
      <c r="V139" s="81">
        <v>1.4592039109905699</v>
      </c>
      <c r="W139" s="81">
        <v>13.90665874841549</v>
      </c>
      <c r="X139" s="81">
        <v>1.4695230119636731</v>
      </c>
      <c r="Y139" s="81">
        <v>4.0147511070546065</v>
      </c>
      <c r="Z139" s="81">
        <v>0.11174271697691099</v>
      </c>
      <c r="AA139" s="81">
        <v>1.6875084035742532E-2</v>
      </c>
      <c r="AB139" s="81">
        <v>0.41448859818384043</v>
      </c>
      <c r="AC139" s="81">
        <v>0.25383701443261314</v>
      </c>
      <c r="AD139" s="81">
        <v>0.30070092450656233</v>
      </c>
      <c r="AE139" s="81">
        <v>4.261764330383104E-2</v>
      </c>
      <c r="AF139" s="81">
        <v>4.5304501089148746E-3</v>
      </c>
      <c r="AG139" s="81">
        <v>3.8253230278510068E-2</v>
      </c>
      <c r="AH139" s="81">
        <v>6.9291972091859347E-2</v>
      </c>
      <c r="AI139" s="81">
        <v>4.7780495704310682E-3</v>
      </c>
      <c r="AJ139" s="81">
        <v>0.37618664603064689</v>
      </c>
      <c r="AK139" s="81">
        <v>1.3667601695205369</v>
      </c>
      <c r="AL139" s="81">
        <v>3.6075331215933287E-2</v>
      </c>
      <c r="AM139" s="81">
        <v>1.3578474868167181</v>
      </c>
      <c r="AN139" s="81">
        <v>1.0832412040398214</v>
      </c>
      <c r="AO139" s="81">
        <v>0.20400077724444277</v>
      </c>
      <c r="AP139" s="81">
        <v>0.47088506860208806</v>
      </c>
      <c r="AQ139" s="81">
        <v>6.3860553292520592</v>
      </c>
      <c r="AR139" s="81">
        <v>3.9565933211069972E-2</v>
      </c>
      <c r="AS139" s="81">
        <v>5.3346450760320956E-2</v>
      </c>
      <c r="AT139" s="81">
        <v>0.24579159575262988</v>
      </c>
      <c r="AU139" s="81">
        <v>5.1194635243788742</v>
      </c>
      <c r="AV139" s="81">
        <v>0.44850436507455466</v>
      </c>
      <c r="AW139" s="81">
        <v>36.041096509846092</v>
      </c>
      <c r="AX139" s="81">
        <v>2.1123232215587002</v>
      </c>
      <c r="AY139" s="81">
        <v>2.4544519102503832</v>
      </c>
      <c r="AZ139" s="81">
        <v>4.8248737154333545</v>
      </c>
      <c r="BA139" s="81">
        <v>2.2975786351470822</v>
      </c>
      <c r="BB139" s="81">
        <v>0.12659433138028331</v>
      </c>
      <c r="BC139" s="81">
        <v>0.54905220153763701</v>
      </c>
      <c r="BD139" s="81">
        <v>1.1313423856162108</v>
      </c>
      <c r="BE139" s="81">
        <v>0.45697409832347236</v>
      </c>
      <c r="BF139" s="81">
        <v>1.2451138386815539</v>
      </c>
      <c r="BG139" s="81">
        <v>8.9229180615828234</v>
      </c>
      <c r="BH139" s="81">
        <v>11.083474132987298</v>
      </c>
      <c r="BI139" s="81">
        <v>16.665455413419764</v>
      </c>
      <c r="BJ139" s="81">
        <v>1.5691117718113246</v>
      </c>
      <c r="BK139" s="81">
        <v>36.47052045653669</v>
      </c>
      <c r="BL139" s="81">
        <v>6.2541617189312086</v>
      </c>
      <c r="BM139" s="81">
        <v>19.347536893533732</v>
      </c>
      <c r="BN139" s="81">
        <v>68.138197796760352</v>
      </c>
      <c r="BO139" s="81">
        <v>6.3696540600448444</v>
      </c>
      <c r="BP139" s="81">
        <v>23.989955526442504</v>
      </c>
      <c r="BQ139" s="81">
        <v>8.1476861214070375</v>
      </c>
      <c r="BR139" s="81">
        <v>7.9429463784012686</v>
      </c>
      <c r="BS139" s="81"/>
      <c r="BT139" s="81"/>
      <c r="BU139" s="81"/>
      <c r="BV139" s="81"/>
      <c r="BW139" s="81"/>
      <c r="BX139" s="81"/>
      <c r="BY139" s="81"/>
      <c r="BZ139" s="81"/>
      <c r="CA139" s="81"/>
      <c r="CB139" s="81"/>
      <c r="CC139" s="81"/>
      <c r="CD139" s="81"/>
      <c r="CE139" s="81"/>
      <c r="CF139" s="81"/>
      <c r="CG139" s="81"/>
      <c r="CH139" s="81"/>
      <c r="CI139" s="81"/>
      <c r="CJ139" s="81"/>
      <c r="CK139" s="81"/>
      <c r="CL139" s="81"/>
      <c r="CM139" s="81"/>
      <c r="CN139" s="81"/>
      <c r="CO139" s="81"/>
      <c r="CP139" s="81"/>
      <c r="CQ139" s="81"/>
      <c r="CR139" s="81"/>
      <c r="CS139" s="81"/>
      <c r="CT139" s="81"/>
      <c r="CU139" s="81"/>
      <c r="CV139" s="81"/>
      <c r="CW139" s="81"/>
      <c r="CX139" s="81"/>
      <c r="CY139" s="81"/>
      <c r="CZ139" s="81"/>
      <c r="DA139" s="81"/>
      <c r="DB139" s="81"/>
      <c r="DC139" s="81"/>
      <c r="DD139" s="81"/>
      <c r="DE139" s="81"/>
      <c r="DF139" s="81"/>
      <c r="DG139" s="81"/>
      <c r="DH139" s="81"/>
      <c r="DI139" s="81"/>
      <c r="DJ139" s="81"/>
      <c r="DK139" s="81"/>
      <c r="DL139" s="81"/>
      <c r="DM139" s="81"/>
      <c r="DN139" s="81"/>
      <c r="DO139" s="81"/>
      <c r="DP139" s="81"/>
      <c r="DQ139" s="81"/>
      <c r="DR139" s="81"/>
      <c r="DS139" s="81"/>
      <c r="DT139" s="81"/>
      <c r="DU139" s="81"/>
      <c r="DV139" s="81"/>
      <c r="DW139" s="81"/>
      <c r="DX139" s="81"/>
      <c r="DY139" s="81"/>
      <c r="DZ139" s="81"/>
      <c r="EA139" s="81"/>
      <c r="EB139" s="81"/>
      <c r="EC139" s="81"/>
      <c r="ED139" s="81"/>
      <c r="EE139" s="81"/>
      <c r="EF139" s="81"/>
      <c r="EG139" s="81"/>
      <c r="EH139" s="81"/>
      <c r="EI139" s="81"/>
      <c r="EJ139" s="81"/>
      <c r="EK139" s="81"/>
      <c r="EL139" s="81"/>
      <c r="EM139" s="81"/>
      <c r="EN139" s="81"/>
      <c r="EO139" s="81"/>
      <c r="EP139" s="81"/>
      <c r="EQ139" s="81"/>
      <c r="ER139" s="81"/>
      <c r="ES139" s="81"/>
      <c r="ET139" s="81"/>
      <c r="EU139" s="81"/>
      <c r="EV139" s="81"/>
      <c r="EW139" s="81"/>
      <c r="EX139" s="81"/>
      <c r="EY139" s="81"/>
      <c r="EZ139" s="81"/>
      <c r="FA139" s="81"/>
      <c r="FB139" s="81"/>
      <c r="FC139" s="88">
        <v>2.4192151627021983</v>
      </c>
      <c r="FD139" s="88">
        <v>3.7480112243552748</v>
      </c>
      <c r="FE139" s="88">
        <v>5.5500302021388785</v>
      </c>
      <c r="FF139" s="88">
        <v>7.8886032518030937</v>
      </c>
      <c r="FG139" s="88">
        <v>11.986234432696847</v>
      </c>
      <c r="FH139" s="88">
        <v>0.91902678735459786</v>
      </c>
      <c r="FI139" s="88">
        <v>1.9848987264010276</v>
      </c>
      <c r="FJ139" s="88">
        <v>2.9834543342239428</v>
      </c>
      <c r="FK139" s="88">
        <v>4.624398251461268</v>
      </c>
      <c r="FL139" s="88">
        <v>16.786571522880461</v>
      </c>
      <c r="FM139" s="81"/>
      <c r="FN139" s="81"/>
      <c r="FO139" s="81"/>
      <c r="FP139" s="81"/>
      <c r="FQ139" s="81"/>
      <c r="FR139" s="81"/>
      <c r="FS139" s="81">
        <v>64.503736613947197</v>
      </c>
      <c r="FT139" s="81">
        <v>-2.4065831946036217E-4</v>
      </c>
      <c r="FU139" s="81">
        <v>26.049450422476205</v>
      </c>
      <c r="FV139" s="81">
        <v>455.75702118915768</v>
      </c>
      <c r="FW139" s="81"/>
      <c r="FX139" s="86"/>
      <c r="FY139" s="81"/>
      <c r="FZ139" s="81"/>
      <c r="GA139" s="81"/>
      <c r="GB139" s="81"/>
      <c r="GC139" s="81"/>
      <c r="GD139" s="81"/>
      <c r="GE139" s="81"/>
      <c r="GF139" s="81"/>
      <c r="GG139" s="81"/>
      <c r="GH139" s="81"/>
    </row>
    <row r="140" spans="1:190" x14ac:dyDescent="0.2">
      <c r="A140" s="82" t="s">
        <v>459</v>
      </c>
      <c r="B140" s="81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  <c r="AI140" s="81"/>
      <c r="AJ140" s="81"/>
      <c r="AK140" s="81"/>
      <c r="AL140" s="81"/>
      <c r="AM140" s="81"/>
      <c r="AN140" s="81"/>
      <c r="AO140" s="81"/>
      <c r="AP140" s="81"/>
      <c r="AQ140" s="81"/>
      <c r="AR140" s="81"/>
      <c r="AS140" s="81"/>
      <c r="AT140" s="81"/>
      <c r="AU140" s="81"/>
      <c r="AV140" s="81"/>
      <c r="AW140" s="81"/>
      <c r="AX140" s="81"/>
      <c r="AY140" s="81"/>
      <c r="AZ140" s="81"/>
      <c r="BA140" s="81"/>
      <c r="BB140" s="81"/>
      <c r="BC140" s="81"/>
      <c r="BD140" s="81"/>
      <c r="BE140" s="81">
        <v>0.24848330382189554</v>
      </c>
      <c r="BF140" s="81"/>
      <c r="BG140" s="81"/>
      <c r="BH140" s="81"/>
      <c r="BI140" s="81"/>
      <c r="BJ140" s="81"/>
      <c r="BK140" s="81"/>
      <c r="BL140" s="81"/>
      <c r="BM140" s="81"/>
      <c r="BN140" s="81"/>
      <c r="BO140" s="81">
        <v>0.72250015415592894</v>
      </c>
      <c r="BP140" s="81">
        <v>0.12603947899524662</v>
      </c>
      <c r="BQ140" s="81">
        <v>0.33012880341351569</v>
      </c>
      <c r="BR140" s="81">
        <v>0.35920846697194186</v>
      </c>
      <c r="BS140" s="81"/>
      <c r="BT140" s="81"/>
      <c r="BU140" s="81"/>
      <c r="BV140" s="81"/>
      <c r="BW140" s="81"/>
      <c r="BX140" s="81"/>
      <c r="BY140" s="81"/>
      <c r="BZ140" s="81"/>
      <c r="CA140" s="81"/>
      <c r="CB140" s="81"/>
      <c r="CC140" s="81"/>
      <c r="CD140" s="81"/>
      <c r="CE140" s="81"/>
      <c r="CF140" s="81"/>
      <c r="CG140" s="81"/>
      <c r="CH140" s="81"/>
      <c r="CI140" s="81"/>
      <c r="CJ140" s="81"/>
      <c r="CK140" s="81"/>
      <c r="CL140" s="81"/>
      <c r="CM140" s="81"/>
      <c r="CN140" s="81"/>
      <c r="CO140" s="81"/>
      <c r="CP140" s="81"/>
      <c r="CQ140" s="81"/>
      <c r="CR140" s="81"/>
      <c r="CS140" s="81"/>
      <c r="CT140" s="81"/>
      <c r="CU140" s="81"/>
      <c r="CV140" s="81"/>
      <c r="CW140" s="81"/>
      <c r="CX140" s="81"/>
      <c r="CY140" s="81"/>
      <c r="CZ140" s="81"/>
      <c r="DA140" s="81"/>
      <c r="DB140" s="81"/>
      <c r="DC140" s="81"/>
      <c r="DD140" s="81"/>
      <c r="DE140" s="81"/>
      <c r="DF140" s="81"/>
      <c r="DG140" s="81"/>
      <c r="DH140" s="81"/>
      <c r="DI140" s="81"/>
      <c r="DJ140" s="81"/>
      <c r="DK140" s="81"/>
      <c r="DL140" s="81"/>
      <c r="DM140" s="81"/>
      <c r="DN140" s="81"/>
      <c r="DO140" s="81"/>
      <c r="DP140" s="81"/>
      <c r="DQ140" s="81"/>
      <c r="DR140" s="81"/>
      <c r="DS140" s="81"/>
      <c r="DT140" s="81"/>
      <c r="DU140" s="81"/>
      <c r="DV140" s="81"/>
      <c r="DW140" s="81"/>
      <c r="DX140" s="81"/>
      <c r="DY140" s="81"/>
      <c r="DZ140" s="81"/>
      <c r="EA140" s="81"/>
      <c r="EB140" s="81"/>
      <c r="EC140" s="81"/>
      <c r="ED140" s="81"/>
      <c r="EE140" s="81"/>
      <c r="EF140" s="81"/>
      <c r="EG140" s="81"/>
      <c r="EH140" s="81"/>
      <c r="EI140" s="81"/>
      <c r="EJ140" s="81"/>
      <c r="EK140" s="81"/>
      <c r="EL140" s="81"/>
      <c r="EM140" s="81"/>
      <c r="EN140" s="81"/>
      <c r="EO140" s="81"/>
      <c r="EP140" s="81"/>
      <c r="EQ140" s="81"/>
      <c r="ER140" s="81"/>
      <c r="ES140" s="81"/>
      <c r="ET140" s="81"/>
      <c r="EU140" s="81"/>
      <c r="EV140" s="81"/>
      <c r="EW140" s="81"/>
      <c r="EX140" s="81"/>
      <c r="EY140" s="81"/>
      <c r="EZ140" s="81"/>
      <c r="FA140" s="81"/>
      <c r="FB140" s="81"/>
      <c r="FC140" s="88">
        <v>0.17344809434880271</v>
      </c>
      <c r="FD140" s="88">
        <v>0.199466246516118</v>
      </c>
      <c r="FE140" s="88">
        <v>0.29949050092443852</v>
      </c>
      <c r="FF140" s="88">
        <v>0.35947106906807763</v>
      </c>
      <c r="FG140" s="88">
        <v>0.63922774841687702</v>
      </c>
      <c r="FH140" s="88">
        <v>5.6762950853946802E-2</v>
      </c>
      <c r="FI140" s="88">
        <v>0.15457000355427711</v>
      </c>
      <c r="FJ140" s="88">
        <v>0.12456137212704699</v>
      </c>
      <c r="FK140" s="88">
        <v>0.34440363414227659</v>
      </c>
      <c r="FL140" s="88">
        <v>1.343335481255548</v>
      </c>
      <c r="FM140" s="81">
        <v>223.17968545505926</v>
      </c>
      <c r="FN140" s="81"/>
      <c r="FO140" s="81"/>
      <c r="FP140" s="81"/>
      <c r="FQ140" s="81"/>
      <c r="FR140" s="81"/>
      <c r="FS140" s="81"/>
      <c r="FT140" s="81"/>
      <c r="FU140" s="81">
        <v>14.195409147881097</v>
      </c>
      <c r="FV140" s="81">
        <v>242.8561919115063</v>
      </c>
      <c r="FW140" s="81"/>
      <c r="FX140" s="86"/>
      <c r="FY140" s="81"/>
      <c r="FZ140" s="81"/>
      <c r="GA140" s="81"/>
      <c r="GB140" s="81"/>
      <c r="GC140" s="81"/>
      <c r="GD140" s="81"/>
      <c r="GE140" s="81"/>
      <c r="GF140" s="81"/>
      <c r="GG140" s="81"/>
      <c r="GH140" s="81"/>
    </row>
    <row r="141" spans="1:190" x14ac:dyDescent="0.2">
      <c r="A141" s="82" t="s">
        <v>460</v>
      </c>
      <c r="B141" s="87"/>
      <c r="C141" s="87"/>
      <c r="D141" s="87"/>
      <c r="E141" s="87"/>
      <c r="F141" s="87"/>
      <c r="G141" s="87"/>
      <c r="H141" s="87"/>
      <c r="I141" s="87"/>
      <c r="J141" s="87"/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1">
        <v>0.33368198629877172</v>
      </c>
      <c r="Y141" s="81"/>
      <c r="Z141" s="81">
        <v>6.6999970857545832E-2</v>
      </c>
      <c r="AA141" s="81">
        <v>3.8097516418572055E-3</v>
      </c>
      <c r="AB141" s="81">
        <v>0.3962290502827695</v>
      </c>
      <c r="AC141" s="81">
        <v>0.17376036594583602</v>
      </c>
      <c r="AD141" s="81">
        <v>3.9835227571051339E-2</v>
      </c>
      <c r="AE141" s="81">
        <v>4.07288034388993E-2</v>
      </c>
      <c r="AF141" s="81">
        <v>4.3295606509360573E-3</v>
      </c>
      <c r="AG141" s="81">
        <v>3.6558426023550389E-2</v>
      </c>
      <c r="AH141" s="81">
        <v>6.6225584898586487E-2</v>
      </c>
      <c r="AI141" s="81">
        <v>4.5661892029483274E-3</v>
      </c>
      <c r="AJ141" s="81">
        <v>0.12474451339556659</v>
      </c>
      <c r="AK141" s="81">
        <v>1.3074071188185368</v>
      </c>
      <c r="AL141" s="81">
        <v>3.4474748390636689E-2</v>
      </c>
      <c r="AM141" s="81">
        <v>4.8555476419538418E-2</v>
      </c>
      <c r="AN141" s="81">
        <v>0.15215695816284855</v>
      </c>
      <c r="AO141" s="81">
        <v>8.5503178371554023E-2</v>
      </c>
      <c r="AP141" s="81"/>
      <c r="AQ141" s="81"/>
      <c r="AR141" s="81"/>
      <c r="AS141" s="81"/>
      <c r="AT141" s="81"/>
      <c r="AU141" s="81"/>
      <c r="AV141" s="81"/>
      <c r="AW141" s="81"/>
      <c r="AX141" s="81"/>
      <c r="AY141" s="81"/>
      <c r="AZ141" s="81"/>
      <c r="BA141" s="81"/>
      <c r="BB141" s="81"/>
      <c r="BC141" s="81"/>
      <c r="BD141" s="81"/>
      <c r="BE141" s="81"/>
      <c r="BF141" s="81"/>
      <c r="BG141" s="81"/>
      <c r="BH141" s="81">
        <v>1.4443834501523503</v>
      </c>
      <c r="BI141" s="81"/>
      <c r="BJ141" s="81"/>
      <c r="BK141" s="81"/>
      <c r="BL141" s="81"/>
      <c r="BM141" s="81"/>
      <c r="BN141" s="81"/>
      <c r="BO141" s="81">
        <v>0.26569429564439434</v>
      </c>
      <c r="BP141" s="81">
        <v>0.13553332038281551</v>
      </c>
      <c r="BQ141" s="81">
        <v>0.13326577618099089</v>
      </c>
      <c r="BR141" s="81"/>
      <c r="BS141" s="81"/>
      <c r="BT141" s="81"/>
      <c r="BU141" s="81"/>
      <c r="BV141" s="81"/>
      <c r="BW141" s="81"/>
      <c r="BX141" s="81"/>
      <c r="BY141" s="81"/>
      <c r="BZ141" s="81"/>
      <c r="CA141" s="81"/>
      <c r="CB141" s="81"/>
      <c r="CC141" s="81"/>
      <c r="CD141" s="81"/>
      <c r="CE141" s="81"/>
      <c r="CF141" s="81"/>
      <c r="CG141" s="81"/>
      <c r="CH141" s="81"/>
      <c r="CI141" s="81"/>
      <c r="CJ141" s="81"/>
      <c r="CK141" s="81"/>
      <c r="CL141" s="81"/>
      <c r="CM141" s="81"/>
      <c r="CN141" s="81"/>
      <c r="CO141" s="81"/>
      <c r="CP141" s="81"/>
      <c r="CQ141" s="81"/>
      <c r="CR141" s="81"/>
      <c r="CS141" s="81"/>
      <c r="CT141" s="81"/>
      <c r="CU141" s="81"/>
      <c r="CV141" s="81"/>
      <c r="CW141" s="81"/>
      <c r="CX141" s="81"/>
      <c r="CY141" s="81"/>
      <c r="CZ141" s="81"/>
      <c r="DA141" s="81"/>
      <c r="DB141" s="81"/>
      <c r="DC141" s="81"/>
      <c r="DD141" s="81"/>
      <c r="DE141" s="81"/>
      <c r="DF141" s="81"/>
      <c r="DG141" s="81"/>
      <c r="DH141" s="81"/>
      <c r="DI141" s="81"/>
      <c r="DJ141" s="81"/>
      <c r="DK141" s="81"/>
      <c r="DL141" s="81"/>
      <c r="DM141" s="81"/>
      <c r="DN141" s="81"/>
      <c r="DO141" s="81"/>
      <c r="DP141" s="81"/>
      <c r="DQ141" s="81"/>
      <c r="DR141" s="81"/>
      <c r="DS141" s="81"/>
      <c r="DT141" s="81"/>
      <c r="DU141" s="81"/>
      <c r="DV141" s="81"/>
      <c r="DW141" s="81"/>
      <c r="DX141" s="81"/>
      <c r="DY141" s="81"/>
      <c r="DZ141" s="81"/>
      <c r="EA141" s="81"/>
      <c r="EB141" s="81"/>
      <c r="EC141" s="81"/>
      <c r="ED141" s="81"/>
      <c r="EE141" s="81"/>
      <c r="EF141" s="81"/>
      <c r="EG141" s="81"/>
      <c r="EH141" s="81"/>
      <c r="EI141" s="81"/>
      <c r="EJ141" s="81"/>
      <c r="EK141" s="81"/>
      <c r="EL141" s="81"/>
      <c r="EM141" s="81"/>
      <c r="EN141" s="81"/>
      <c r="EO141" s="81"/>
      <c r="EP141" s="81"/>
      <c r="EQ141" s="81"/>
      <c r="ER141" s="81"/>
      <c r="ES141" s="81"/>
      <c r="ET141" s="81"/>
      <c r="EU141" s="81"/>
      <c r="EV141" s="81"/>
      <c r="EW141" s="81"/>
      <c r="EX141" s="81"/>
      <c r="EY141" s="81"/>
      <c r="EZ141" s="81"/>
      <c r="FA141" s="81"/>
      <c r="FB141" s="81"/>
      <c r="FC141" s="88">
        <v>4.7652242607019932</v>
      </c>
      <c r="FD141" s="88">
        <v>8.7808839725447303</v>
      </c>
      <c r="FE141" s="88">
        <v>11.714440465472745</v>
      </c>
      <c r="FF141" s="88">
        <v>13.589888578025445</v>
      </c>
      <c r="FG141" s="88">
        <v>13.696039562447451</v>
      </c>
      <c r="FH141" s="88">
        <v>2.7816692452861975</v>
      </c>
      <c r="FI141" s="88">
        <v>6.1379271873349754</v>
      </c>
      <c r="FJ141" s="88">
        <v>9.6369605475838185</v>
      </c>
      <c r="FK141" s="88">
        <v>14.417461751079662</v>
      </c>
      <c r="FL141" s="88">
        <v>55.271803297639835</v>
      </c>
      <c r="FM141" s="81">
        <v>92.746671844117188</v>
      </c>
      <c r="FN141" s="81"/>
      <c r="FO141" s="81"/>
      <c r="FP141" s="81"/>
      <c r="FQ141" s="81"/>
      <c r="FR141" s="81"/>
      <c r="FS141" s="81"/>
      <c r="FT141" s="81"/>
      <c r="FU141" s="81"/>
      <c r="FV141" s="81">
        <v>238.43741446496603</v>
      </c>
      <c r="FW141" s="81"/>
      <c r="FX141" s="86"/>
      <c r="FY141" s="81"/>
      <c r="FZ141" s="81"/>
      <c r="GA141" s="81"/>
      <c r="GB141" s="81"/>
      <c r="GC141" s="81"/>
      <c r="GD141" s="81"/>
      <c r="GE141" s="81"/>
      <c r="GF141" s="81"/>
      <c r="GG141" s="81"/>
      <c r="GH141" s="81"/>
    </row>
    <row r="142" spans="1:190" x14ac:dyDescent="0.2">
      <c r="A142" s="82" t="s">
        <v>461</v>
      </c>
      <c r="B142" s="87"/>
      <c r="C142" s="87"/>
      <c r="D142" s="87"/>
      <c r="E142" s="87"/>
      <c r="F142" s="87"/>
      <c r="G142" s="87"/>
      <c r="H142" s="87"/>
      <c r="I142" s="87"/>
      <c r="J142" s="87"/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1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  <c r="AI142" s="81"/>
      <c r="AJ142" s="81"/>
      <c r="AK142" s="81"/>
      <c r="AL142" s="81"/>
      <c r="AM142" s="81"/>
      <c r="AN142" s="81">
        <v>0.37064039622466277</v>
      </c>
      <c r="AO142" s="81">
        <v>1.7857790426468876E-2</v>
      </c>
      <c r="AP142" s="81"/>
      <c r="AQ142" s="81"/>
      <c r="AR142" s="81"/>
      <c r="AS142" s="81"/>
      <c r="AT142" s="81"/>
      <c r="AU142" s="81"/>
      <c r="AV142" s="81"/>
      <c r="AW142" s="81"/>
      <c r="AX142" s="81"/>
      <c r="AY142" s="81"/>
      <c r="AZ142" s="81"/>
      <c r="BA142" s="81"/>
      <c r="BB142" s="81"/>
      <c r="BC142" s="81"/>
      <c r="BD142" s="81"/>
      <c r="BE142" s="81"/>
      <c r="BF142" s="81"/>
      <c r="BG142" s="81"/>
      <c r="BH142" s="81">
        <v>1.3137294896869929</v>
      </c>
      <c r="BI142" s="81"/>
      <c r="BJ142" s="81"/>
      <c r="BK142" s="81"/>
      <c r="BL142" s="81"/>
      <c r="BM142" s="81"/>
      <c r="BN142" s="81"/>
      <c r="BO142" s="81"/>
      <c r="BP142" s="81"/>
      <c r="BQ142" s="81">
        <v>2.5927661856641686</v>
      </c>
      <c r="BR142" s="81"/>
      <c r="BS142" s="81"/>
      <c r="BT142" s="81"/>
      <c r="BU142" s="81"/>
      <c r="BV142" s="81"/>
      <c r="BW142" s="81"/>
      <c r="BX142" s="81"/>
      <c r="BY142" s="81"/>
      <c r="BZ142" s="81"/>
      <c r="CA142" s="81"/>
      <c r="CB142" s="81"/>
      <c r="CC142" s="81"/>
      <c r="CD142" s="81"/>
      <c r="CE142" s="81"/>
      <c r="CF142" s="81"/>
      <c r="CG142" s="81"/>
      <c r="CH142" s="81"/>
      <c r="CI142" s="81"/>
      <c r="CJ142" s="81"/>
      <c r="CK142" s="81"/>
      <c r="CL142" s="81"/>
      <c r="CM142" s="81"/>
      <c r="CN142" s="81"/>
      <c r="CO142" s="81"/>
      <c r="CP142" s="81"/>
      <c r="CQ142" s="81"/>
      <c r="CR142" s="81"/>
      <c r="CS142" s="81"/>
      <c r="CT142" s="81"/>
      <c r="CU142" s="81"/>
      <c r="CV142" s="81"/>
      <c r="CW142" s="81"/>
      <c r="CX142" s="81"/>
      <c r="CY142" s="81"/>
      <c r="CZ142" s="81"/>
      <c r="DA142" s="81"/>
      <c r="DB142" s="81"/>
      <c r="DC142" s="81"/>
      <c r="DD142" s="81"/>
      <c r="DE142" s="81"/>
      <c r="DF142" s="81"/>
      <c r="DG142" s="81"/>
      <c r="DH142" s="81"/>
      <c r="DI142" s="81"/>
      <c r="DJ142" s="81"/>
      <c r="DK142" s="81"/>
      <c r="DL142" s="81"/>
      <c r="DM142" s="81"/>
      <c r="DN142" s="81"/>
      <c r="DO142" s="81"/>
      <c r="DP142" s="81"/>
      <c r="DQ142" s="81"/>
      <c r="DR142" s="81"/>
      <c r="DS142" s="81"/>
      <c r="DT142" s="81"/>
      <c r="DU142" s="81"/>
      <c r="DV142" s="81"/>
      <c r="DW142" s="81"/>
      <c r="DX142" s="81"/>
      <c r="DY142" s="81"/>
      <c r="DZ142" s="81"/>
      <c r="EA142" s="81"/>
      <c r="EB142" s="81"/>
      <c r="EC142" s="81"/>
      <c r="ED142" s="81"/>
      <c r="EE142" s="81"/>
      <c r="EF142" s="81"/>
      <c r="EG142" s="81"/>
      <c r="EH142" s="81"/>
      <c r="EI142" s="81"/>
      <c r="EJ142" s="81"/>
      <c r="EK142" s="81"/>
      <c r="EL142" s="81"/>
      <c r="EM142" s="81"/>
      <c r="EN142" s="81"/>
      <c r="EO142" s="81"/>
      <c r="EP142" s="81"/>
      <c r="EQ142" s="81"/>
      <c r="ER142" s="81"/>
      <c r="ES142" s="81"/>
      <c r="ET142" s="81"/>
      <c r="EU142" s="81"/>
      <c r="EV142" s="81"/>
      <c r="EW142" s="81"/>
      <c r="EX142" s="81"/>
      <c r="EY142" s="81"/>
      <c r="EZ142" s="81"/>
      <c r="FA142" s="81"/>
      <c r="FB142" s="81"/>
      <c r="FC142" s="88">
        <v>7.3476500077809614</v>
      </c>
      <c r="FD142" s="88">
        <v>10.970267733070056</v>
      </c>
      <c r="FE142" s="88">
        <v>12.515406793865722</v>
      </c>
      <c r="FF142" s="88">
        <v>19.981548905692513</v>
      </c>
      <c r="FG142" s="88">
        <v>32.115176581123933</v>
      </c>
      <c r="FH142" s="88">
        <v>2.7467539819019997</v>
      </c>
      <c r="FI142" s="88">
        <v>3.8054066885662059</v>
      </c>
      <c r="FJ142" s="88">
        <v>6.3723956237618209</v>
      </c>
      <c r="FK142" s="88">
        <v>11.230198104343422</v>
      </c>
      <c r="FL142" s="88">
        <v>39.560858007998185</v>
      </c>
      <c r="FM142" s="81">
        <v>43.020253178216052</v>
      </c>
      <c r="FN142" s="81"/>
      <c r="FO142" s="81"/>
      <c r="FP142" s="81"/>
      <c r="FQ142" s="81"/>
      <c r="FR142" s="81"/>
      <c r="FS142" s="81"/>
      <c r="FT142" s="81"/>
      <c r="FU142" s="81"/>
      <c r="FV142" s="81">
        <v>193.96090946832317</v>
      </c>
      <c r="FW142" s="81"/>
      <c r="FX142" s="86"/>
      <c r="FY142" s="81"/>
      <c r="FZ142" s="81"/>
      <c r="GA142" s="81"/>
      <c r="GB142" s="81"/>
      <c r="GC142" s="81"/>
      <c r="GD142" s="81"/>
      <c r="GE142" s="81"/>
      <c r="GF142" s="81"/>
      <c r="GG142" s="81"/>
      <c r="GH142" s="81"/>
    </row>
    <row r="143" spans="1:190" x14ac:dyDescent="0.2">
      <c r="A143" s="82" t="s">
        <v>462</v>
      </c>
      <c r="B143" s="87">
        <v>1.2251752931999487</v>
      </c>
      <c r="C143" s="87">
        <v>0.38572905194692897</v>
      </c>
      <c r="D143" s="87">
        <v>1.2436684353721661</v>
      </c>
      <c r="E143" s="87">
        <v>1.439176913942666</v>
      </c>
      <c r="F143" s="87">
        <v>2.0304418533669582E-2</v>
      </c>
      <c r="G143" s="87">
        <v>0.5543965832283666</v>
      </c>
      <c r="H143" s="87">
        <v>0.3943880840241461</v>
      </c>
      <c r="I143" s="87">
        <v>0.73629641585210093</v>
      </c>
      <c r="J143" s="87">
        <v>0.4983245618708067</v>
      </c>
      <c r="K143" s="87">
        <v>8.5309700662798704</v>
      </c>
      <c r="L143" s="87">
        <v>4.5665084177953235</v>
      </c>
      <c r="M143" s="87">
        <v>4.020521720715807E-2</v>
      </c>
      <c r="N143" s="87">
        <v>8.7345098139305799E-2</v>
      </c>
      <c r="O143" s="87">
        <v>3.785379646651145E-2</v>
      </c>
      <c r="P143" s="87"/>
      <c r="Q143" s="87"/>
      <c r="R143" s="87"/>
      <c r="S143" s="87"/>
      <c r="T143" s="87"/>
      <c r="U143" s="87">
        <v>7.2692977728958203E-3</v>
      </c>
      <c r="V143" s="87"/>
      <c r="W143" s="87">
        <v>0.50039277962499207</v>
      </c>
      <c r="X143" s="81"/>
      <c r="Y143" s="81">
        <v>0.50796736691071454</v>
      </c>
      <c r="Z143" s="81">
        <v>0.20424487207233752</v>
      </c>
      <c r="AA143" s="81">
        <v>1.1613372626318251E-2</v>
      </c>
      <c r="AB143" s="81">
        <v>1.2069862286473303</v>
      </c>
      <c r="AC143" s="81">
        <v>0.53084801277262572</v>
      </c>
      <c r="AD143" s="81">
        <v>0.12142452259540608</v>
      </c>
      <c r="AE143" s="81">
        <v>0.12429146286627818</v>
      </c>
      <c r="AF143" s="81">
        <v>1.3211282522994338E-2</v>
      </c>
      <c r="AG143" s="81">
        <v>0.11147002805878607</v>
      </c>
      <c r="AH143" s="81">
        <v>0.2016237662558974</v>
      </c>
      <c r="AI143" s="81">
        <v>1.3932333553882802E-2</v>
      </c>
      <c r="AJ143" s="81">
        <v>0.38047288986973188</v>
      </c>
      <c r="AK143" s="81">
        <v>3.9747401025295437</v>
      </c>
      <c r="AL143" s="81">
        <v>0.10541571318968569</v>
      </c>
      <c r="AM143" s="81">
        <v>1.351024278973569E-2</v>
      </c>
      <c r="AN143" s="81">
        <v>0.48888251438503</v>
      </c>
      <c r="AO143" s="81">
        <v>4.7142261677758555E-2</v>
      </c>
      <c r="AP143" s="81">
        <v>0.25840612981040134</v>
      </c>
      <c r="AQ143" s="81">
        <v>8.4133530326638423E-2</v>
      </c>
      <c r="AR143" s="81">
        <v>2.656637937669893E-3</v>
      </c>
      <c r="AS143" s="81">
        <v>2.7171655325695528E-3</v>
      </c>
      <c r="AT143" s="81"/>
      <c r="AU143" s="81">
        <v>2.1855794367720573</v>
      </c>
      <c r="AV143" s="81">
        <v>8.5396159259841821E-3</v>
      </c>
      <c r="AW143" s="81">
        <v>1.6579261772383289</v>
      </c>
      <c r="AX143" s="81">
        <v>0.2396829734789063</v>
      </c>
      <c r="AY143" s="81">
        <v>0.31525994237778304</v>
      </c>
      <c r="AZ143" s="81">
        <v>0.3480291665003224</v>
      </c>
      <c r="BA143" s="81">
        <v>0.26705247319277992</v>
      </c>
      <c r="BB143" s="81">
        <v>1.654585766793264E-2</v>
      </c>
      <c r="BC143" s="81">
        <v>4.053235034480733E-2</v>
      </c>
      <c r="BD143" s="81"/>
      <c r="BE143" s="81">
        <v>0.66542098438946162</v>
      </c>
      <c r="BF143" s="81"/>
      <c r="BG143" s="81">
        <v>1.1029023645412592</v>
      </c>
      <c r="BH143" s="81">
        <v>2.2301640032900059</v>
      </c>
      <c r="BI143" s="81">
        <v>3.1684038160773906E-2</v>
      </c>
      <c r="BJ143" s="81"/>
      <c r="BK143" s="81">
        <v>2.9663965230498355</v>
      </c>
      <c r="BL143" s="81">
        <v>0.74552481670605419</v>
      </c>
      <c r="BM143" s="81">
        <v>3.3714984868297524</v>
      </c>
      <c r="BN143" s="81">
        <v>2.1043535926099812</v>
      </c>
      <c r="BO143" s="81">
        <v>2.0701900859383473</v>
      </c>
      <c r="BP143" s="81">
        <v>0.89720419917624894</v>
      </c>
      <c r="BQ143" s="81">
        <v>1.2054224088821168</v>
      </c>
      <c r="BR143" s="81">
        <v>2.7697006117267522</v>
      </c>
      <c r="BS143" s="81"/>
      <c r="BT143" s="81"/>
      <c r="BU143" s="81"/>
      <c r="BV143" s="81"/>
      <c r="BW143" s="81"/>
      <c r="BX143" s="81"/>
      <c r="BY143" s="81"/>
      <c r="BZ143" s="81"/>
      <c r="CA143" s="81"/>
      <c r="CB143" s="81"/>
      <c r="CC143" s="81"/>
      <c r="CD143" s="81"/>
      <c r="CE143" s="81"/>
      <c r="CF143" s="81"/>
      <c r="CG143" s="81"/>
      <c r="CH143" s="81"/>
      <c r="CI143" s="81"/>
      <c r="CJ143" s="81"/>
      <c r="CK143" s="81"/>
      <c r="CL143" s="81"/>
      <c r="CM143" s="81"/>
      <c r="CN143" s="81"/>
      <c r="CO143" s="81"/>
      <c r="CP143" s="81"/>
      <c r="CQ143" s="81"/>
      <c r="CR143" s="81"/>
      <c r="CS143" s="81"/>
      <c r="CT143" s="81"/>
      <c r="CU143" s="81"/>
      <c r="CV143" s="81"/>
      <c r="CW143" s="81"/>
      <c r="CX143" s="81"/>
      <c r="CY143" s="81"/>
      <c r="CZ143" s="81"/>
      <c r="DA143" s="81"/>
      <c r="DB143" s="81"/>
      <c r="DC143" s="81"/>
      <c r="DD143" s="81"/>
      <c r="DE143" s="81"/>
      <c r="DF143" s="81"/>
      <c r="DG143" s="81"/>
      <c r="DH143" s="81"/>
      <c r="DI143" s="81"/>
      <c r="DJ143" s="81"/>
      <c r="DK143" s="81"/>
      <c r="DL143" s="81"/>
      <c r="DM143" s="81"/>
      <c r="DN143" s="81"/>
      <c r="DO143" s="81"/>
      <c r="DP143" s="81"/>
      <c r="DQ143" s="81"/>
      <c r="DR143" s="81"/>
      <c r="DS143" s="81"/>
      <c r="DT143" s="81"/>
      <c r="DU143" s="81"/>
      <c r="DV143" s="81"/>
      <c r="DW143" s="81"/>
      <c r="DX143" s="81"/>
      <c r="DY143" s="81"/>
      <c r="DZ143" s="81"/>
      <c r="EA143" s="81"/>
      <c r="EB143" s="81"/>
      <c r="EC143" s="81"/>
      <c r="ED143" s="81"/>
      <c r="EE143" s="81"/>
      <c r="EF143" s="81"/>
      <c r="EG143" s="81"/>
      <c r="EH143" s="81"/>
      <c r="EI143" s="81"/>
      <c r="EJ143" s="81"/>
      <c r="EK143" s="81"/>
      <c r="EL143" s="81"/>
      <c r="EM143" s="81"/>
      <c r="EN143" s="81"/>
      <c r="EO143" s="81"/>
      <c r="EP143" s="81"/>
      <c r="EQ143" s="81"/>
      <c r="ER143" s="81"/>
      <c r="ES143" s="81"/>
      <c r="ET143" s="81"/>
      <c r="EU143" s="81"/>
      <c r="EV143" s="81"/>
      <c r="EW143" s="81"/>
      <c r="EX143" s="81"/>
      <c r="EY143" s="81"/>
      <c r="EZ143" s="81"/>
      <c r="FA143" s="81"/>
      <c r="FB143" s="81"/>
      <c r="FC143" s="88">
        <v>3.7267163883338448</v>
      </c>
      <c r="FD143" s="88">
        <v>5.519142283715591</v>
      </c>
      <c r="FE143" s="88">
        <v>6.2950130204649799</v>
      </c>
      <c r="FF143" s="88">
        <v>7.7492108463795999</v>
      </c>
      <c r="FG143" s="88">
        <v>12.896819025218804</v>
      </c>
      <c r="FH143" s="88">
        <v>2.120153808041525</v>
      </c>
      <c r="FI143" s="88">
        <v>3.1809214459987323</v>
      </c>
      <c r="FJ143" s="88">
        <v>4.6437773414320374</v>
      </c>
      <c r="FK143" s="88">
        <v>6.5523954965012363</v>
      </c>
      <c r="FL143" s="88">
        <v>27.721022811579704</v>
      </c>
      <c r="FM143" s="81">
        <v>30.421771222066951</v>
      </c>
      <c r="FN143" s="81"/>
      <c r="FO143" s="81"/>
      <c r="FP143" s="81"/>
      <c r="FQ143" s="81"/>
      <c r="FR143" s="81"/>
      <c r="FS143" s="81"/>
      <c r="FT143" s="81"/>
      <c r="FU143" s="81">
        <v>2.3010581195521218</v>
      </c>
      <c r="FV143" s="81">
        <v>167.04130678627283</v>
      </c>
      <c r="FW143" s="81"/>
      <c r="FX143" s="86"/>
      <c r="FY143" s="81"/>
      <c r="FZ143" s="81"/>
      <c r="GA143" s="81"/>
      <c r="GB143" s="81"/>
      <c r="GC143" s="81"/>
      <c r="GD143" s="81"/>
      <c r="GE143" s="81"/>
      <c r="GF143" s="81"/>
      <c r="GG143" s="81"/>
      <c r="GH143" s="81"/>
    </row>
    <row r="144" spans="1:190" x14ac:dyDescent="0.2">
      <c r="A144" s="82" t="s">
        <v>355</v>
      </c>
      <c r="B144" s="87"/>
      <c r="C144" s="87"/>
      <c r="D144" s="87"/>
      <c r="E144" s="87"/>
      <c r="F144" s="87"/>
      <c r="G144" s="87"/>
      <c r="H144" s="87"/>
      <c r="I144" s="87"/>
      <c r="J144" s="87"/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1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  <c r="AI144" s="81"/>
      <c r="AJ144" s="81"/>
      <c r="AK144" s="81"/>
      <c r="AL144" s="81"/>
      <c r="AM144" s="81"/>
      <c r="AN144" s="81"/>
      <c r="AO144" s="81"/>
      <c r="AP144" s="81"/>
      <c r="AQ144" s="81"/>
      <c r="AR144" s="81"/>
      <c r="AS144" s="81"/>
      <c r="AT144" s="81"/>
      <c r="AU144" s="81"/>
      <c r="AV144" s="81"/>
      <c r="AW144" s="81"/>
      <c r="AX144" s="81"/>
      <c r="AY144" s="81"/>
      <c r="AZ144" s="81"/>
      <c r="BA144" s="81"/>
      <c r="BB144" s="81"/>
      <c r="BC144" s="81"/>
      <c r="BD144" s="81"/>
      <c r="BE144" s="81"/>
      <c r="BF144" s="81"/>
      <c r="BG144" s="81"/>
      <c r="BH144" s="81"/>
      <c r="BI144" s="81"/>
      <c r="BJ144" s="81"/>
      <c r="BK144" s="81"/>
      <c r="BL144" s="81"/>
      <c r="BM144" s="81"/>
      <c r="BN144" s="81"/>
      <c r="BO144" s="81"/>
      <c r="BP144" s="81"/>
      <c r="BQ144" s="81"/>
      <c r="BR144" s="81"/>
      <c r="BS144" s="81">
        <v>6.7143965436536153</v>
      </c>
      <c r="BT144" s="81">
        <v>0.52802452964154234</v>
      </c>
      <c r="BU144" s="81">
        <v>1.8053751624960048</v>
      </c>
      <c r="BV144" s="81">
        <v>1.5854038565860253</v>
      </c>
      <c r="BW144" s="81">
        <v>0.40560902043104974</v>
      </c>
      <c r="BX144" s="81">
        <v>1.191021803774122</v>
      </c>
      <c r="BY144" s="81">
        <v>1.2759584453681974</v>
      </c>
      <c r="BZ144" s="81">
        <v>2.1295219139651458</v>
      </c>
      <c r="CA144" s="81">
        <v>3.3280119148572069</v>
      </c>
      <c r="CB144" s="81">
        <v>38.499215609801588</v>
      </c>
      <c r="CC144" s="81">
        <v>9.2942820657238929</v>
      </c>
      <c r="CD144" s="81">
        <v>1.6847370418237575</v>
      </c>
      <c r="CE144" s="81">
        <v>11.859619741727506</v>
      </c>
      <c r="CF144" s="81">
        <v>22.180769319649247</v>
      </c>
      <c r="CG144" s="81">
        <v>0.15984742937088769</v>
      </c>
      <c r="CH144" s="81">
        <v>2.3862537036045204E-6</v>
      </c>
      <c r="CI144" s="81">
        <v>1.2545356523010167</v>
      </c>
      <c r="CJ144" s="81">
        <v>14.053159863842495</v>
      </c>
      <c r="CK144" s="81">
        <v>4.9035926683440438</v>
      </c>
      <c r="CL144" s="81">
        <v>14.088712468194762</v>
      </c>
      <c r="CM144" s="81">
        <v>0.41973922916663525</v>
      </c>
      <c r="CN144" s="81">
        <v>3.2638370422977547</v>
      </c>
      <c r="CO144" s="81">
        <v>6.6083801059827422E-3</v>
      </c>
      <c r="CP144" s="81">
        <v>0.74295820417496794</v>
      </c>
      <c r="CQ144" s="81">
        <v>0.25218234936258455</v>
      </c>
      <c r="CR144" s="81">
        <v>37.02833335455523</v>
      </c>
      <c r="CS144" s="81">
        <v>9.9446708768630092</v>
      </c>
      <c r="CT144" s="81">
        <v>0.87546067239713521</v>
      </c>
      <c r="CU144" s="81">
        <v>16.976353924023218</v>
      </c>
      <c r="CV144" s="81">
        <v>6.3712116881298346</v>
      </c>
      <c r="CW144" s="81">
        <v>20.698359026791426</v>
      </c>
      <c r="CX144" s="81">
        <v>3.023457273400846</v>
      </c>
      <c r="CY144" s="81">
        <v>6.5186543928775356</v>
      </c>
      <c r="CZ144" s="81">
        <v>0.73078271741152578</v>
      </c>
      <c r="DA144" s="81">
        <v>7.7099738318370942E-2</v>
      </c>
      <c r="DB144" s="81">
        <v>0.71670180714477894</v>
      </c>
      <c r="DC144" s="81">
        <v>1.3489054564524996</v>
      </c>
      <c r="DD144" s="81">
        <v>2.7768614416572808</v>
      </c>
      <c r="DE144" s="81">
        <v>8.7644921214288285</v>
      </c>
      <c r="DF144" s="81">
        <v>14.931781731640408</v>
      </c>
      <c r="DG144" s="81">
        <v>4.6575136422957524</v>
      </c>
      <c r="DH144" s="81">
        <v>2.031593390274975</v>
      </c>
      <c r="DI144" s="81">
        <v>8.6371930872248068</v>
      </c>
      <c r="DJ144" s="81">
        <v>2.078531195387268</v>
      </c>
      <c r="DK144" s="81">
        <v>8.6544100437448801</v>
      </c>
      <c r="DL144" s="81">
        <v>50.367792365797065</v>
      </c>
      <c r="DM144" s="81">
        <v>2.3283414860941365</v>
      </c>
      <c r="DN144" s="81">
        <v>4.3219649424899966</v>
      </c>
      <c r="DO144" s="81">
        <v>12.115271756174428</v>
      </c>
      <c r="DP144" s="81">
        <v>66.247219294550419</v>
      </c>
      <c r="DQ144" s="81">
        <v>6.2860103501560189</v>
      </c>
      <c r="DR144" s="81">
        <v>66.648256593963097</v>
      </c>
      <c r="DS144" s="81">
        <v>27.872683360802402</v>
      </c>
      <c r="DT144" s="81">
        <v>31.027033448442815</v>
      </c>
      <c r="DU144" s="81">
        <v>19.110200043074805</v>
      </c>
      <c r="DV144" s="81">
        <v>16.662145741327155</v>
      </c>
      <c r="DW144" s="81">
        <v>17.113315368472517</v>
      </c>
      <c r="DX144" s="81">
        <v>6.1550863076354627</v>
      </c>
      <c r="DY144" s="81"/>
      <c r="DZ144" s="81"/>
      <c r="EA144" s="81"/>
      <c r="EB144" s="81"/>
      <c r="EC144" s="81"/>
      <c r="ED144" s="81"/>
      <c r="EE144" s="81"/>
      <c r="EF144" s="81"/>
      <c r="EG144" s="81"/>
      <c r="EH144" s="81"/>
      <c r="EI144" s="81"/>
      <c r="EJ144" s="81"/>
      <c r="EK144" s="81"/>
      <c r="EL144" s="81"/>
      <c r="EM144" s="81"/>
      <c r="EN144" s="81"/>
      <c r="EO144" s="81"/>
      <c r="EP144" s="81"/>
      <c r="EQ144" s="81"/>
      <c r="ER144" s="81"/>
      <c r="ES144" s="81"/>
      <c r="ET144" s="81"/>
      <c r="EU144" s="81"/>
      <c r="EV144" s="81"/>
      <c r="EW144" s="81"/>
      <c r="EX144" s="81"/>
      <c r="EY144" s="81"/>
      <c r="EZ144" s="81"/>
      <c r="FA144" s="81"/>
      <c r="FB144" s="81"/>
      <c r="FC144" s="81"/>
      <c r="FD144" s="81"/>
      <c r="FE144" s="81"/>
      <c r="FF144" s="81"/>
      <c r="FG144" s="81"/>
      <c r="FH144" s="81"/>
      <c r="FI144" s="81"/>
      <c r="FJ144" s="81"/>
      <c r="FK144" s="81"/>
      <c r="FL144" s="81"/>
      <c r="FM144" s="81"/>
      <c r="FN144" s="81"/>
      <c r="FO144" s="81"/>
      <c r="FP144" s="81"/>
      <c r="FQ144" s="81"/>
      <c r="FR144" s="81"/>
      <c r="FS144" s="81"/>
      <c r="FT144" s="81"/>
      <c r="FU144" s="81"/>
      <c r="FV144" s="81">
        <v>624.72481128391348</v>
      </c>
      <c r="FW144" s="81"/>
      <c r="FX144" s="86"/>
      <c r="FY144" s="81"/>
      <c r="FZ144" s="81"/>
      <c r="GA144" s="81"/>
      <c r="GB144" s="81"/>
      <c r="GC144" s="81"/>
      <c r="GD144" s="81"/>
      <c r="GE144" s="81"/>
      <c r="GF144" s="81"/>
      <c r="GG144" s="81"/>
      <c r="GH144" s="81"/>
    </row>
    <row r="145" spans="1:190" x14ac:dyDescent="0.2">
      <c r="A145" s="82" t="s">
        <v>356</v>
      </c>
      <c r="B145" s="89">
        <v>9.5517195841107867</v>
      </c>
      <c r="C145" s="89">
        <v>0.7507571103116516</v>
      </c>
      <c r="D145" s="89">
        <v>2.6002549251567419</v>
      </c>
      <c r="E145" s="89">
        <v>1.7390114512120556</v>
      </c>
      <c r="F145" s="89">
        <v>0.14125369549950101</v>
      </c>
      <c r="G145" s="89">
        <v>0.19154560597663681</v>
      </c>
      <c r="H145" s="89">
        <v>3.226005211940727</v>
      </c>
      <c r="I145" s="89">
        <v>0.72188972678843555</v>
      </c>
      <c r="J145" s="89">
        <v>5.1886434425282886</v>
      </c>
      <c r="K145" s="89">
        <v>10.822255431342127</v>
      </c>
      <c r="L145" s="89">
        <v>2.202842493198014</v>
      </c>
      <c r="M145" s="89">
        <v>0.15724546151551599</v>
      </c>
      <c r="N145" s="89">
        <v>14.802001738108856</v>
      </c>
      <c r="O145" s="89">
        <v>0.12415061717448841</v>
      </c>
      <c r="P145" s="89">
        <v>21.670610750163746</v>
      </c>
      <c r="Q145" s="89">
        <v>6.0014428556697386</v>
      </c>
      <c r="R145" s="89">
        <v>7.0314566512796945</v>
      </c>
      <c r="S145" s="89">
        <v>0.87623400266112095</v>
      </c>
      <c r="T145" s="89">
        <v>0.20068955942060754</v>
      </c>
      <c r="U145" s="89">
        <v>0.1945298192386799</v>
      </c>
      <c r="V145" s="89">
        <v>4.1753081228695699</v>
      </c>
      <c r="W145" s="89">
        <v>1.1481536929974188</v>
      </c>
      <c r="X145" s="90">
        <v>0.29055426750931374</v>
      </c>
      <c r="Y145" s="90">
        <v>1.3838296034040221</v>
      </c>
      <c r="Z145" s="90">
        <v>0.15434286814487985</v>
      </c>
      <c r="AA145" s="90">
        <v>6.7943823738236863E-3</v>
      </c>
      <c r="AB145" s="90">
        <v>0.36100581520480368</v>
      </c>
      <c r="AC145" s="90">
        <v>0.17507630900083515</v>
      </c>
      <c r="AD145" s="90">
        <v>0.20798766321134238</v>
      </c>
      <c r="AE145" s="90">
        <v>5.004757606292206E-2</v>
      </c>
      <c r="AF145" s="90">
        <v>5.3133480668657732E-3</v>
      </c>
      <c r="AG145" s="90">
        <v>4.472548616304442E-2</v>
      </c>
      <c r="AH145" s="90">
        <v>6.0451324906723031E-2</v>
      </c>
      <c r="AI145" s="90">
        <v>3.2026802095543649E-2</v>
      </c>
      <c r="AJ145" s="90">
        <v>0.41833539689877153</v>
      </c>
      <c r="AK145" s="90">
        <v>1.6223953043367023</v>
      </c>
      <c r="AL145" s="90">
        <v>0.26392017929744416</v>
      </c>
      <c r="AM145" s="90">
        <v>8.696189121209684E-2</v>
      </c>
      <c r="AN145" s="90">
        <v>0.39856340508944299</v>
      </c>
      <c r="AO145" s="90">
        <v>0.22586819581687664</v>
      </c>
      <c r="AP145" s="90">
        <v>0.94827825101913632</v>
      </c>
      <c r="AQ145" s="90">
        <v>0.60162196072486196</v>
      </c>
      <c r="AR145" s="90">
        <v>0.19545707785145233</v>
      </c>
      <c r="AS145" s="90">
        <v>0.10910013379140372</v>
      </c>
      <c r="AT145" s="90">
        <v>0.22575404114248926</v>
      </c>
      <c r="AU145" s="90">
        <v>0.15287436586877831</v>
      </c>
      <c r="AV145" s="90">
        <v>6.44775854889547E-2</v>
      </c>
      <c r="AW145" s="90">
        <v>0.82964506742276056</v>
      </c>
      <c r="AX145" s="90">
        <v>1.0698880374849329</v>
      </c>
      <c r="AY145" s="90">
        <v>1.8472726067347796</v>
      </c>
      <c r="AZ145" s="90">
        <v>0.50569048993086241</v>
      </c>
      <c r="BA145" s="90">
        <v>0.27808142732447322</v>
      </c>
      <c r="BB145" s="90">
        <v>9.7279960863300527E-2</v>
      </c>
      <c r="BC145" s="90">
        <v>0.95115888564039741</v>
      </c>
      <c r="BD145" s="90">
        <v>0.86996959086798709</v>
      </c>
      <c r="BE145" s="90">
        <v>0.80755541163641131</v>
      </c>
      <c r="BF145" s="90">
        <v>16.992912059586367</v>
      </c>
      <c r="BG145" s="90">
        <v>8.4627569761647159</v>
      </c>
      <c r="BH145" s="90">
        <v>18.911456990811779</v>
      </c>
      <c r="BI145" s="90">
        <v>0.69033283433400583</v>
      </c>
      <c r="BJ145" s="90">
        <v>1.480198674080953</v>
      </c>
      <c r="BK145" s="90">
        <v>5.085792808208188</v>
      </c>
      <c r="BL145" s="90">
        <v>1.3350823569689667</v>
      </c>
      <c r="BM145" s="90">
        <v>4.8471216169624265</v>
      </c>
      <c r="BN145" s="90">
        <v>1.7544815281620865</v>
      </c>
      <c r="BO145" s="90">
        <v>5.601102602152408</v>
      </c>
      <c r="BP145" s="90">
        <v>2.4938226065337536</v>
      </c>
      <c r="BQ145" s="90">
        <v>0.65387168761043046</v>
      </c>
      <c r="BR145" s="90">
        <v>3.8565188182908146</v>
      </c>
      <c r="BS145" s="81"/>
      <c r="BT145" s="81"/>
      <c r="BU145" s="81"/>
      <c r="BV145" s="81"/>
      <c r="BW145" s="81"/>
      <c r="BX145" s="81"/>
      <c r="BY145" s="81"/>
      <c r="BZ145" s="81"/>
      <c r="CA145" s="81"/>
      <c r="CB145" s="81"/>
      <c r="CC145" s="81"/>
      <c r="CD145" s="81"/>
      <c r="CE145" s="81"/>
      <c r="CF145" s="81"/>
      <c r="CG145" s="81"/>
      <c r="CH145" s="81"/>
      <c r="CI145" s="81"/>
      <c r="CJ145" s="81"/>
      <c r="CK145" s="81"/>
      <c r="CL145" s="81"/>
      <c r="CM145" s="81"/>
      <c r="CN145" s="81"/>
      <c r="CO145" s="81"/>
      <c r="CP145" s="81"/>
      <c r="CQ145" s="81"/>
      <c r="CR145" s="81"/>
      <c r="CS145" s="81"/>
      <c r="CT145" s="81"/>
      <c r="CU145" s="81"/>
      <c r="CV145" s="81"/>
      <c r="CW145" s="81"/>
      <c r="CX145" s="81"/>
      <c r="CY145" s="81"/>
      <c r="CZ145" s="81"/>
      <c r="DA145" s="81"/>
      <c r="DB145" s="81"/>
      <c r="DC145" s="81"/>
      <c r="DD145" s="81"/>
      <c r="DE145" s="81"/>
      <c r="DF145" s="81"/>
      <c r="DG145" s="81"/>
      <c r="DH145" s="81"/>
      <c r="DI145" s="81"/>
      <c r="DJ145" s="81"/>
      <c r="DK145" s="81"/>
      <c r="DL145" s="81"/>
      <c r="DM145" s="81"/>
      <c r="DN145" s="81"/>
      <c r="DO145" s="81"/>
      <c r="DP145" s="81"/>
      <c r="DQ145" s="81"/>
      <c r="DR145" s="81"/>
      <c r="DS145" s="81"/>
      <c r="DT145" s="81"/>
      <c r="DU145" s="81"/>
      <c r="DV145" s="81"/>
      <c r="DW145" s="81"/>
      <c r="DX145" s="81"/>
      <c r="DY145" s="81"/>
      <c r="DZ145" s="81"/>
      <c r="EA145" s="81"/>
      <c r="EB145" s="81"/>
      <c r="EC145" s="81"/>
      <c r="ED145" s="81"/>
      <c r="EE145" s="81"/>
      <c r="EF145" s="81"/>
      <c r="EG145" s="81"/>
      <c r="EH145" s="81"/>
      <c r="EI145" s="81"/>
      <c r="EJ145" s="81"/>
      <c r="EK145" s="81"/>
      <c r="EL145" s="81"/>
      <c r="EM145" s="81"/>
      <c r="EN145" s="81"/>
      <c r="EO145" s="81"/>
      <c r="EP145" s="81"/>
      <c r="EQ145" s="81"/>
      <c r="ER145" s="81"/>
      <c r="ES145" s="81"/>
      <c r="ET145" s="81"/>
      <c r="EU145" s="81"/>
      <c r="EV145" s="81"/>
      <c r="EW145" s="81"/>
      <c r="EX145" s="81"/>
      <c r="EY145" s="81"/>
      <c r="EZ145" s="81"/>
      <c r="FA145" s="81"/>
      <c r="FB145" s="81"/>
      <c r="FC145" s="81"/>
      <c r="FD145" s="81"/>
      <c r="FE145" s="81"/>
      <c r="FF145" s="81"/>
      <c r="FG145" s="81"/>
      <c r="FH145" s="81"/>
      <c r="FI145" s="81"/>
      <c r="FJ145" s="81"/>
      <c r="FK145" s="81"/>
      <c r="FL145" s="81"/>
      <c r="FM145" s="81"/>
      <c r="FN145" s="81"/>
      <c r="FO145" s="81"/>
      <c r="FP145" s="81"/>
      <c r="FQ145" s="81"/>
      <c r="FR145" s="81"/>
      <c r="FS145" s="81"/>
      <c r="FT145" s="81"/>
      <c r="FU145" s="81"/>
      <c r="FV145" s="81">
        <v>181.02575822161972</v>
      </c>
      <c r="FW145" s="81"/>
      <c r="FX145" s="86"/>
      <c r="FY145" s="81"/>
      <c r="FZ145" s="81"/>
      <c r="GA145" s="81"/>
      <c r="GB145" s="81"/>
      <c r="GC145" s="81"/>
      <c r="GD145" s="81"/>
      <c r="GE145" s="81"/>
      <c r="GF145" s="81"/>
      <c r="GG145" s="81"/>
      <c r="GH145" s="81"/>
    </row>
    <row r="146" spans="1:190" x14ac:dyDescent="0.2">
      <c r="A146" s="82" t="s">
        <v>357</v>
      </c>
      <c r="B146" s="89">
        <v>2.8796457118165728</v>
      </c>
      <c r="C146" s="89">
        <v>0.22633772634207952</v>
      </c>
      <c r="D146" s="89">
        <v>0.78392302861502072</v>
      </c>
      <c r="E146" s="89">
        <v>0.52427595096207003</v>
      </c>
      <c r="F146" s="89">
        <v>4.2585064913340326E-2</v>
      </c>
      <c r="G146" s="89">
        <v>5.793244493227076E-2</v>
      </c>
      <c r="H146" s="89">
        <v>0.97569645797445237</v>
      </c>
      <c r="I146" s="89">
        <v>0.21833357456105776</v>
      </c>
      <c r="J146" s="89">
        <v>1.5692910258882238</v>
      </c>
      <c r="K146" s="89">
        <v>3.2731615722663316</v>
      </c>
      <c r="L146" s="89">
        <v>0.80109696511676931</v>
      </c>
      <c r="M146" s="89">
        <v>5.7184688595501076E-2</v>
      </c>
      <c r="N146" s="89">
        <v>2.9837501623896134</v>
      </c>
      <c r="O146" s="89">
        <v>4.5149248274881704E-2</v>
      </c>
      <c r="P146" s="89">
        <v>5.3015645688325312</v>
      </c>
      <c r="Q146" s="89">
        <v>1.4682113564912518</v>
      </c>
      <c r="R146" s="89">
        <v>2.0919228013015219</v>
      </c>
      <c r="S146" s="89">
        <v>0.21436456941941096</v>
      </c>
      <c r="T146" s="89">
        <v>0.97364089452758351</v>
      </c>
      <c r="U146" s="89">
        <v>0.1221876756873944</v>
      </c>
      <c r="V146" s="89">
        <v>1.2484649384065338</v>
      </c>
      <c r="W146" s="89">
        <v>2.3045155247294025</v>
      </c>
      <c r="X146" s="90">
        <v>0.58318570443608608</v>
      </c>
      <c r="Y146" s="90">
        <v>2.7775521901595019</v>
      </c>
      <c r="Z146" s="90">
        <v>0.12369713992576613</v>
      </c>
      <c r="AA146" s="90">
        <v>5.445315856221559E-3</v>
      </c>
      <c r="AB146" s="90">
        <v>0.28932588446837976</v>
      </c>
      <c r="AC146" s="90">
        <v>0.14031382824786129</v>
      </c>
      <c r="AD146" s="90">
        <v>0.16669043013336032</v>
      </c>
      <c r="AE146" s="90">
        <v>4.01103212193097E-2</v>
      </c>
      <c r="AF146" s="90">
        <v>4.2583500436472735E-3</v>
      </c>
      <c r="AG146" s="90">
        <v>3.5844965087501221E-2</v>
      </c>
      <c r="AH146" s="90">
        <v>4.8448341575884686E-2</v>
      </c>
      <c r="AI146" s="90">
        <v>2.5667683047515696E-2</v>
      </c>
      <c r="AJ146" s="90">
        <v>0.33527232419650288</v>
      </c>
      <c r="AK146" s="90">
        <v>1.3002587122267399</v>
      </c>
      <c r="AL146" s="90">
        <v>0.21151720024500684</v>
      </c>
      <c r="AM146" s="90">
        <v>6.5812051575986324E-2</v>
      </c>
      <c r="AN146" s="90">
        <v>0.30162954147435089</v>
      </c>
      <c r="AO146" s="90">
        <v>0.20757019060381068</v>
      </c>
      <c r="AP146" s="90">
        <v>0.8714564553792884</v>
      </c>
      <c r="AQ146" s="90">
        <v>0.55288343986394517</v>
      </c>
      <c r="AR146" s="90">
        <v>0.17962273421346553</v>
      </c>
      <c r="AS146" s="90">
        <v>9.2585715592028744E-2</v>
      </c>
      <c r="AT146" s="90">
        <v>0.19158179482101204</v>
      </c>
      <c r="AU146" s="90">
        <v>0.17712923738553008</v>
      </c>
      <c r="AV146" s="90">
        <v>7.470752523625912E-2</v>
      </c>
      <c r="AW146" s="90">
        <v>0.96127560208099538</v>
      </c>
      <c r="AX146" s="90">
        <v>1.0063906609682087</v>
      </c>
      <c r="AY146" s="90">
        <v>1.7376378037187483</v>
      </c>
      <c r="AZ146" s="90">
        <v>0.47567798552381235</v>
      </c>
      <c r="BA146" s="90">
        <v>0.26157741898483533</v>
      </c>
      <c r="BB146" s="90">
        <v>9.1506438694579043E-2</v>
      </c>
      <c r="BC146" s="90">
        <v>0.8947080311839688</v>
      </c>
      <c r="BD146" s="90">
        <v>1.1575729023814787</v>
      </c>
      <c r="BE146" s="90">
        <v>1.0745252150125804</v>
      </c>
      <c r="BF146" s="90">
        <v>12.814428176830438</v>
      </c>
      <c r="BG146" s="90">
        <v>9.7525654580916221</v>
      </c>
      <c r="BH146" s="90">
        <v>16.685583386627634</v>
      </c>
      <c r="BI146" s="90">
        <v>0.79554643642425116</v>
      </c>
      <c r="BJ146" s="90">
        <v>1.7057956999844195</v>
      </c>
      <c r="BK146" s="90">
        <v>4.4871963080210158</v>
      </c>
      <c r="BL146" s="90">
        <v>0.93397006490837531</v>
      </c>
      <c r="BM146" s="90">
        <v>3.3908518583759668</v>
      </c>
      <c r="BN146" s="90">
        <v>1.2273649023857025</v>
      </c>
      <c r="BO146" s="90">
        <v>6.2178864428981075</v>
      </c>
      <c r="BP146" s="90">
        <v>1.9251671780279416</v>
      </c>
      <c r="BQ146" s="90">
        <v>0.83869871672430152</v>
      </c>
      <c r="BR146" s="90">
        <v>2.2688474113630774</v>
      </c>
      <c r="BS146" s="81"/>
      <c r="BT146" s="81"/>
      <c r="BU146" s="81"/>
      <c r="BV146" s="81"/>
      <c r="BW146" s="81"/>
      <c r="BX146" s="81"/>
      <c r="BY146" s="81"/>
      <c r="BZ146" s="81"/>
      <c r="CA146" s="81"/>
      <c r="CB146" s="81"/>
      <c r="CC146" s="81"/>
      <c r="CD146" s="81"/>
      <c r="CE146" s="81"/>
      <c r="CF146" s="81"/>
      <c r="CG146" s="81"/>
      <c r="CH146" s="81"/>
      <c r="CI146" s="81"/>
      <c r="CJ146" s="81"/>
      <c r="CK146" s="81"/>
      <c r="CL146" s="81"/>
      <c r="CM146" s="81"/>
      <c r="CN146" s="81"/>
      <c r="CO146" s="81"/>
      <c r="CP146" s="81"/>
      <c r="CQ146" s="81"/>
      <c r="CR146" s="81"/>
      <c r="CS146" s="81"/>
      <c r="CT146" s="81"/>
      <c r="CU146" s="81"/>
      <c r="CV146" s="81"/>
      <c r="CW146" s="81"/>
      <c r="CX146" s="81"/>
      <c r="CY146" s="81"/>
      <c r="CZ146" s="81"/>
      <c r="DA146" s="81"/>
      <c r="DB146" s="81"/>
      <c r="DC146" s="81"/>
      <c r="DD146" s="81"/>
      <c r="DE146" s="81"/>
      <c r="DF146" s="81"/>
      <c r="DG146" s="81"/>
      <c r="DH146" s="81"/>
      <c r="DI146" s="81"/>
      <c r="DJ146" s="81"/>
      <c r="DK146" s="81"/>
      <c r="DL146" s="81"/>
      <c r="DM146" s="81"/>
      <c r="DN146" s="81"/>
      <c r="DO146" s="81"/>
      <c r="DP146" s="81"/>
      <c r="DQ146" s="81"/>
      <c r="DR146" s="81"/>
      <c r="DS146" s="81"/>
      <c r="DT146" s="81"/>
      <c r="DU146" s="81"/>
      <c r="DV146" s="81"/>
      <c r="DW146" s="81"/>
      <c r="DX146" s="81"/>
      <c r="DY146" s="81"/>
      <c r="DZ146" s="81"/>
      <c r="EA146" s="81"/>
      <c r="EB146" s="81"/>
      <c r="EC146" s="81"/>
      <c r="ED146" s="81"/>
      <c r="EE146" s="81"/>
      <c r="EF146" s="81"/>
      <c r="EG146" s="81"/>
      <c r="EH146" s="81"/>
      <c r="EI146" s="81"/>
      <c r="EJ146" s="81"/>
      <c r="EK146" s="81"/>
      <c r="EL146" s="81"/>
      <c r="EM146" s="81"/>
      <c r="EN146" s="81"/>
      <c r="EO146" s="81"/>
      <c r="EP146" s="81"/>
      <c r="EQ146" s="81"/>
      <c r="ER146" s="81"/>
      <c r="ES146" s="81"/>
      <c r="ET146" s="81"/>
      <c r="EU146" s="81"/>
      <c r="EV146" s="81"/>
      <c r="EW146" s="81"/>
      <c r="EX146" s="81"/>
      <c r="EY146" s="81"/>
      <c r="EZ146" s="81"/>
      <c r="FA146" s="81"/>
      <c r="FB146" s="81"/>
      <c r="FC146" s="81"/>
      <c r="FD146" s="81"/>
      <c r="FE146" s="81"/>
      <c r="FF146" s="81"/>
      <c r="FG146" s="81"/>
      <c r="FH146" s="81"/>
      <c r="FI146" s="81"/>
      <c r="FJ146" s="81"/>
      <c r="FK146" s="81"/>
      <c r="FL146" s="81"/>
      <c r="FM146" s="81"/>
      <c r="FN146" s="81"/>
      <c r="FO146" s="81"/>
      <c r="FP146" s="81"/>
      <c r="FQ146" s="81"/>
      <c r="FR146" s="81"/>
      <c r="FS146" s="81"/>
      <c r="FT146" s="81"/>
      <c r="FU146" s="81"/>
      <c r="FV146" s="81">
        <v>107.67057712827084</v>
      </c>
      <c r="FW146" s="81"/>
      <c r="FX146" s="86"/>
      <c r="FY146" s="81"/>
      <c r="FZ146" s="81"/>
      <c r="GA146" s="81"/>
      <c r="GB146" s="81"/>
      <c r="GC146" s="81"/>
      <c r="GD146" s="81"/>
      <c r="GE146" s="81"/>
      <c r="GF146" s="81"/>
      <c r="GG146" s="81"/>
      <c r="GH146" s="81"/>
    </row>
    <row r="147" spans="1:190" x14ac:dyDescent="0.2">
      <c r="A147" s="82" t="s">
        <v>358</v>
      </c>
      <c r="B147" s="89">
        <v>4.8705530147145231</v>
      </c>
      <c r="C147" s="89">
        <v>0.38282136266118072</v>
      </c>
      <c r="D147" s="89">
        <v>1.3259057024471335</v>
      </c>
      <c r="E147" s="89">
        <v>0.88674582537092561</v>
      </c>
      <c r="F147" s="89">
        <v>7.2027199542071693E-2</v>
      </c>
      <c r="G147" s="89">
        <v>0.15894815806790941</v>
      </c>
      <c r="H147" s="89">
        <v>2.6769999955937256</v>
      </c>
      <c r="I147" s="89">
        <v>0.59903771645465775</v>
      </c>
      <c r="J147" s="89">
        <v>4.3056342318894085</v>
      </c>
      <c r="K147" s="89">
        <v>8.9805117594922663</v>
      </c>
      <c r="L147" s="89">
        <v>1.6110300574806513</v>
      </c>
      <c r="M147" s="89">
        <v>0.11500012628508055</v>
      </c>
      <c r="N147" s="89">
        <v>9.5946862529093231</v>
      </c>
      <c r="O147" s="89">
        <v>9.0796494320620258E-2</v>
      </c>
      <c r="P147" s="89">
        <v>8.9207001163822852</v>
      </c>
      <c r="Q147" s="89">
        <v>2.4704920686478644</v>
      </c>
      <c r="R147" s="89">
        <v>5.3387205416506029</v>
      </c>
      <c r="S147" s="89">
        <v>0.36070145228639278</v>
      </c>
      <c r="T147" s="89">
        <v>3.9118495449470538</v>
      </c>
      <c r="U147" s="89">
        <v>0.17798773100568835</v>
      </c>
      <c r="V147" s="89">
        <v>1.4839001181694327</v>
      </c>
      <c r="W147" s="89">
        <v>4.2042309128127728</v>
      </c>
      <c r="X147" s="90">
        <v>1.0639318070068473</v>
      </c>
      <c r="Y147" s="90">
        <v>5.0672128933436342</v>
      </c>
      <c r="Z147" s="90">
        <v>0.31441390207665498</v>
      </c>
      <c r="AA147" s="90">
        <v>1.3840926374061417E-2</v>
      </c>
      <c r="AB147" s="90">
        <v>0.73540973026599521</v>
      </c>
      <c r="AC147" s="90">
        <v>0.35665026920751097</v>
      </c>
      <c r="AD147" s="90">
        <v>0.42369442501676535</v>
      </c>
      <c r="AE147" s="90">
        <v>0.10195258043702184</v>
      </c>
      <c r="AF147" s="90">
        <v>1.0823891760431428E-2</v>
      </c>
      <c r="AG147" s="90">
        <v>9.1110880572713632E-2</v>
      </c>
      <c r="AH147" s="90">
        <v>0.12314619507903059</v>
      </c>
      <c r="AI147" s="90">
        <v>6.5242222973622518E-2</v>
      </c>
      <c r="AJ147" s="90">
        <v>0.85219658087643435</v>
      </c>
      <c r="AK147" s="90">
        <v>3.3050029747310155</v>
      </c>
      <c r="AL147" s="90">
        <v>0.53763529476326255</v>
      </c>
      <c r="AM147" s="90">
        <v>0.12706268743335644</v>
      </c>
      <c r="AN147" s="90">
        <v>0.582353219983899</v>
      </c>
      <c r="AO147" s="90">
        <v>0.50655622860425276</v>
      </c>
      <c r="AP147" s="90">
        <v>2.1267104594625659</v>
      </c>
      <c r="AQ147" s="90">
        <v>1.3492619019162986</v>
      </c>
      <c r="AR147" s="90">
        <v>0.43835299543771172</v>
      </c>
      <c r="AS147" s="90">
        <v>0.24694773184982119</v>
      </c>
      <c r="AT147" s="90">
        <v>0.51099340100407453</v>
      </c>
      <c r="AU147" s="90">
        <v>1.0943790925937922</v>
      </c>
      <c r="AV147" s="90">
        <v>0.46157458184068278</v>
      </c>
      <c r="AW147" s="90">
        <v>5.9391658693150919</v>
      </c>
      <c r="AX147" s="90">
        <v>1.8289343378008058</v>
      </c>
      <c r="AY147" s="90">
        <v>3.1578447308170992</v>
      </c>
      <c r="AZ147" s="90">
        <v>0.86445933493007376</v>
      </c>
      <c r="BA147" s="90">
        <v>0.47536999510152089</v>
      </c>
      <c r="BB147" s="90">
        <v>0.16629652315868096</v>
      </c>
      <c r="BC147" s="90">
        <v>1.6259712097926615</v>
      </c>
      <c r="BD147" s="90">
        <v>5.121760364613869</v>
      </c>
      <c r="BE147" s="90">
        <v>4.7543101999946096</v>
      </c>
      <c r="BF147" s="90">
        <v>23.509699563342775</v>
      </c>
      <c r="BG147" s="90">
        <v>20.661678996959282</v>
      </c>
      <c r="BH147" s="90">
        <v>34.185414916361566</v>
      </c>
      <c r="BI147" s="90">
        <v>1.6854360185744606</v>
      </c>
      <c r="BJ147" s="90">
        <v>3.6138801978744355</v>
      </c>
      <c r="BK147" s="90">
        <v>9.1933655567477039</v>
      </c>
      <c r="BL147" s="90">
        <v>4.5005462121805282</v>
      </c>
      <c r="BM147" s="90">
        <v>16.339587381503893</v>
      </c>
      <c r="BN147" s="90">
        <v>5.9143356622861321</v>
      </c>
      <c r="BO147" s="90">
        <v>29.378538946624893</v>
      </c>
      <c r="BP147" s="90">
        <v>20.35128092251227</v>
      </c>
      <c r="BQ147" s="90">
        <v>6.2215684635208923</v>
      </c>
      <c r="BR147" s="90">
        <v>3.8876586293896254</v>
      </c>
      <c r="BS147" s="81"/>
      <c r="BT147" s="81"/>
      <c r="BU147" s="81"/>
      <c r="BV147" s="81"/>
      <c r="BW147" s="81"/>
      <c r="BX147" s="81"/>
      <c r="BY147" s="81"/>
      <c r="BZ147" s="81"/>
      <c r="CA147" s="81"/>
      <c r="CB147" s="81"/>
      <c r="CC147" s="81"/>
      <c r="CD147" s="81"/>
      <c r="CE147" s="81"/>
      <c r="CF147" s="81"/>
      <c r="CG147" s="81"/>
      <c r="CH147" s="81"/>
      <c r="CI147" s="81"/>
      <c r="CJ147" s="81"/>
      <c r="CK147" s="81"/>
      <c r="CL147" s="81"/>
      <c r="CM147" s="81"/>
      <c r="CN147" s="81"/>
      <c r="CO147" s="81"/>
      <c r="CP147" s="81"/>
      <c r="CQ147" s="81"/>
      <c r="CR147" s="81"/>
      <c r="CS147" s="81"/>
      <c r="CT147" s="81"/>
      <c r="CU147" s="81"/>
      <c r="CV147" s="81"/>
      <c r="CW147" s="81"/>
      <c r="CX147" s="81"/>
      <c r="CY147" s="81"/>
      <c r="CZ147" s="81"/>
      <c r="DA147" s="81"/>
      <c r="DB147" s="81"/>
      <c r="DC147" s="81"/>
      <c r="DD147" s="81"/>
      <c r="DE147" s="81"/>
      <c r="DF147" s="81"/>
      <c r="DG147" s="81"/>
      <c r="DH147" s="81"/>
      <c r="DI147" s="81"/>
      <c r="DJ147" s="81"/>
      <c r="DK147" s="81"/>
      <c r="DL147" s="81"/>
      <c r="DM147" s="81"/>
      <c r="DN147" s="81"/>
      <c r="DO147" s="81"/>
      <c r="DP147" s="81"/>
      <c r="DQ147" s="81"/>
      <c r="DR147" s="81"/>
      <c r="DS147" s="81"/>
      <c r="DT147" s="81"/>
      <c r="DU147" s="81"/>
      <c r="DV147" s="81"/>
      <c r="DW147" s="81"/>
      <c r="DX147" s="81"/>
      <c r="DY147" s="81"/>
      <c r="DZ147" s="81"/>
      <c r="EA147" s="81"/>
      <c r="EB147" s="81"/>
      <c r="EC147" s="81"/>
      <c r="ED147" s="81"/>
      <c r="EE147" s="81"/>
      <c r="EF147" s="81"/>
      <c r="EG147" s="81"/>
      <c r="EH147" s="81"/>
      <c r="EI147" s="81"/>
      <c r="EJ147" s="81"/>
      <c r="EK147" s="81"/>
      <c r="EL147" s="81"/>
      <c r="EM147" s="81"/>
      <c r="EN147" s="81"/>
      <c r="EO147" s="81"/>
      <c r="EP147" s="81"/>
      <c r="EQ147" s="81"/>
      <c r="ER147" s="81"/>
      <c r="ES147" s="81"/>
      <c r="ET147" s="81"/>
      <c r="EU147" s="81"/>
      <c r="EV147" s="81"/>
      <c r="EW147" s="81"/>
      <c r="EX147" s="81"/>
      <c r="EY147" s="81"/>
      <c r="EZ147" s="81"/>
      <c r="FA147" s="81"/>
      <c r="FB147" s="81"/>
      <c r="FC147" s="81"/>
      <c r="FD147" s="81"/>
      <c r="FE147" s="81"/>
      <c r="FF147" s="81"/>
      <c r="FG147" s="81"/>
      <c r="FH147" s="81"/>
      <c r="FI147" s="81"/>
      <c r="FJ147" s="81"/>
      <c r="FK147" s="81"/>
      <c r="FL147" s="81"/>
      <c r="FM147" s="81"/>
      <c r="FN147" s="81"/>
      <c r="FO147" s="81"/>
      <c r="FP147" s="81"/>
      <c r="FQ147" s="81"/>
      <c r="FR147" s="81"/>
      <c r="FS147" s="81"/>
      <c r="FT147" s="81"/>
      <c r="FU147" s="81"/>
      <c r="FV147" s="81">
        <v>286.42284129114586</v>
      </c>
      <c r="FW147" s="81"/>
      <c r="FX147" s="86"/>
      <c r="FY147" s="81"/>
      <c r="FZ147" s="81"/>
      <c r="GA147" s="81"/>
      <c r="GB147" s="81"/>
      <c r="GC147" s="81"/>
      <c r="GD147" s="81"/>
      <c r="GE147" s="81"/>
      <c r="GF147" s="81"/>
      <c r="GG147" s="81"/>
      <c r="GH147" s="81"/>
    </row>
    <row r="148" spans="1:190" x14ac:dyDescent="0.2">
      <c r="A148" s="82" t="s">
        <v>359</v>
      </c>
      <c r="B148" s="89">
        <v>1.4654175049236162</v>
      </c>
      <c r="C148" s="89">
        <v>0.1151805810156627</v>
      </c>
      <c r="D148" s="89">
        <v>0.39892911962440841</v>
      </c>
      <c r="E148" s="89">
        <v>0.26679780529863695</v>
      </c>
      <c r="F148" s="89">
        <v>2.1671033806777016E-2</v>
      </c>
      <c r="G148" s="89">
        <v>2.0901974019167678E-2</v>
      </c>
      <c r="H148" s="89">
        <v>0.35203040436181626</v>
      </c>
      <c r="I148" s="89">
        <v>7.8774557302433532E-2</v>
      </c>
      <c r="J148" s="89">
        <v>0.56619879050464483</v>
      </c>
      <c r="K148" s="89">
        <v>1.1809537509427401</v>
      </c>
      <c r="L148" s="89">
        <v>0.1932515048445233</v>
      </c>
      <c r="M148" s="89">
        <v>1.379486829479527E-2</v>
      </c>
      <c r="N148" s="89">
        <v>5.3492529623877187</v>
      </c>
      <c r="O148" s="89">
        <v>1.0891515698662136E-2</v>
      </c>
      <c r="P148" s="89">
        <v>1.4166193100246782</v>
      </c>
      <c r="Q148" s="89">
        <v>0.39231750020184181</v>
      </c>
      <c r="R148" s="89">
        <v>1.8485886120327151</v>
      </c>
      <c r="S148" s="89">
        <v>5.7279881152430372E-2</v>
      </c>
      <c r="T148" s="89">
        <v>0.19600701287744618</v>
      </c>
      <c r="U148" s="89"/>
      <c r="V148" s="89">
        <v>0.29735294785275207</v>
      </c>
      <c r="W148" s="89">
        <v>0.56661362807492965</v>
      </c>
      <c r="X148" s="90">
        <v>0.14338847548912254</v>
      </c>
      <c r="Y148" s="90">
        <v>0.68291964482145917</v>
      </c>
      <c r="Z148" s="90">
        <v>0.11239704252269868</v>
      </c>
      <c r="AA148" s="90">
        <v>4.9478702434717524E-3</v>
      </c>
      <c r="AB148" s="90">
        <v>0.26289511430115203</v>
      </c>
      <c r="AC148" s="90">
        <v>0.12749574751333786</v>
      </c>
      <c r="AD148" s="90">
        <v>0.15146276926911889</v>
      </c>
      <c r="AE148" s="90">
        <v>3.6446125451173671E-2</v>
      </c>
      <c r="AF148" s="90">
        <v>3.8693372475676821E-3</v>
      </c>
      <c r="AG148" s="90">
        <v>3.257042214219627E-2</v>
      </c>
      <c r="AH148" s="90">
        <v>4.4022443134310925E-2</v>
      </c>
      <c r="AI148" s="90">
        <v>2.3322864737876075E-2</v>
      </c>
      <c r="AJ148" s="90">
        <v>0.30464421167711125</v>
      </c>
      <c r="AK148" s="90">
        <v>1.1814762560909966</v>
      </c>
      <c r="AL148" s="90">
        <v>0.19219448213990672</v>
      </c>
      <c r="AM148" s="90">
        <v>3.7686941197711149E-3</v>
      </c>
      <c r="AN148" s="90">
        <v>1.7272664384138787E-2</v>
      </c>
      <c r="AO148" s="90">
        <v>8.7097656771693427E-2</v>
      </c>
      <c r="AP148" s="90">
        <v>0.36566818684950608</v>
      </c>
      <c r="AQ148" s="90">
        <v>0.23199310045408342</v>
      </c>
      <c r="AR148" s="90">
        <v>7.5370741855600151E-2</v>
      </c>
      <c r="AS148" s="90">
        <v>5.6077629622531509E-2</v>
      </c>
      <c r="AT148" s="90">
        <v>0.11603790999178178</v>
      </c>
      <c r="AU148" s="90">
        <v>0.53288557018900784</v>
      </c>
      <c r="AV148" s="90">
        <v>0.22475432498071499</v>
      </c>
      <c r="AW148" s="90">
        <v>2.8919556414550422</v>
      </c>
      <c r="AX148" s="90">
        <v>0.52043846276911099</v>
      </c>
      <c r="AY148" s="90">
        <v>0.89859095725993332</v>
      </c>
      <c r="AZ148" s="90">
        <v>0.24598908670411507</v>
      </c>
      <c r="BA148" s="90">
        <v>0.1352704820418438</v>
      </c>
      <c r="BB148" s="90">
        <v>4.7321057452844366E-2</v>
      </c>
      <c r="BC148" s="90">
        <v>0.46268361823686666</v>
      </c>
      <c r="BD148" s="90">
        <v>3.4063374643621289</v>
      </c>
      <c r="BE148" s="90">
        <v>3.1619567880079011</v>
      </c>
      <c r="BF148" s="90">
        <v>3.5727124950109781</v>
      </c>
      <c r="BG148" s="90">
        <v>8.4607472465698095</v>
      </c>
      <c r="BH148" s="90">
        <v>7.4229729723705509</v>
      </c>
      <c r="BI148" s="90">
        <v>0.69016889457638253</v>
      </c>
      <c r="BJ148" s="90">
        <v>1.4798471575373464</v>
      </c>
      <c r="BK148" s="90">
        <v>1.9962344824488005</v>
      </c>
      <c r="BL148" s="90">
        <v>4.2301314404384565</v>
      </c>
      <c r="BM148" s="90">
        <v>15.35782526112601</v>
      </c>
      <c r="BN148" s="90">
        <v>5.5589735233985005</v>
      </c>
      <c r="BO148" s="90">
        <v>12.519698185226119</v>
      </c>
      <c r="BP148" s="90">
        <v>46.833080449156718</v>
      </c>
      <c r="BQ148" s="90">
        <v>6.2020811220048904</v>
      </c>
      <c r="BR148" s="90">
        <v>2.2637047157095891</v>
      </c>
      <c r="BS148" s="81"/>
      <c r="BT148" s="81"/>
      <c r="BU148" s="81"/>
      <c r="BV148" s="81"/>
      <c r="BW148" s="81"/>
      <c r="BX148" s="81"/>
      <c r="BY148" s="81"/>
      <c r="BZ148" s="81"/>
      <c r="CA148" s="81"/>
      <c r="CB148" s="81"/>
      <c r="CC148" s="81"/>
      <c r="CD148" s="81"/>
      <c r="CE148" s="81"/>
      <c r="CF148" s="81"/>
      <c r="CG148" s="81"/>
      <c r="CH148" s="81"/>
      <c r="CI148" s="81"/>
      <c r="CJ148" s="81"/>
      <c r="CK148" s="81"/>
      <c r="CL148" s="81"/>
      <c r="CM148" s="81"/>
      <c r="CN148" s="81"/>
      <c r="CO148" s="81"/>
      <c r="CP148" s="81"/>
      <c r="CQ148" s="81"/>
      <c r="CR148" s="81"/>
      <c r="CS148" s="81"/>
      <c r="CT148" s="81"/>
      <c r="CU148" s="81"/>
      <c r="CV148" s="81"/>
      <c r="CW148" s="81"/>
      <c r="CX148" s="81"/>
      <c r="CY148" s="81"/>
      <c r="CZ148" s="81"/>
      <c r="DA148" s="81"/>
      <c r="DB148" s="81"/>
      <c r="DC148" s="81"/>
      <c r="DD148" s="81"/>
      <c r="DE148" s="81"/>
      <c r="DF148" s="81"/>
      <c r="DG148" s="81"/>
      <c r="DH148" s="81"/>
      <c r="DI148" s="81"/>
      <c r="DJ148" s="81"/>
      <c r="DK148" s="81"/>
      <c r="DL148" s="81"/>
      <c r="DM148" s="81"/>
      <c r="DN148" s="81"/>
      <c r="DO148" s="81"/>
      <c r="DP148" s="81"/>
      <c r="DQ148" s="81"/>
      <c r="DR148" s="81"/>
      <c r="DS148" s="81"/>
      <c r="DT148" s="81"/>
      <c r="DU148" s="81"/>
      <c r="DV148" s="81"/>
      <c r="DW148" s="81"/>
      <c r="DX148" s="81"/>
      <c r="DY148" s="81"/>
      <c r="DZ148" s="81"/>
      <c r="EA148" s="81"/>
      <c r="EB148" s="81"/>
      <c r="EC148" s="81"/>
      <c r="ED148" s="81"/>
      <c r="EE148" s="81"/>
      <c r="EF148" s="81"/>
      <c r="EG148" s="81"/>
      <c r="EH148" s="81"/>
      <c r="EI148" s="81"/>
      <c r="EJ148" s="81"/>
      <c r="EK148" s="81"/>
      <c r="EL148" s="81"/>
      <c r="EM148" s="81"/>
      <c r="EN148" s="81"/>
      <c r="EO148" s="81"/>
      <c r="EP148" s="81"/>
      <c r="EQ148" s="81"/>
      <c r="ER148" s="81"/>
      <c r="ES148" s="81"/>
      <c r="ET148" s="81"/>
      <c r="EU148" s="81"/>
      <c r="EV148" s="81"/>
      <c r="EW148" s="81"/>
      <c r="EX148" s="81"/>
      <c r="EY148" s="81"/>
      <c r="EZ148" s="81"/>
      <c r="FA148" s="81"/>
      <c r="FB148" s="81"/>
      <c r="FC148" s="81"/>
      <c r="FD148" s="81"/>
      <c r="FE148" s="81"/>
      <c r="FF148" s="81"/>
      <c r="FG148" s="81"/>
      <c r="FH148" s="81"/>
      <c r="FI148" s="81"/>
      <c r="FJ148" s="81"/>
      <c r="FK148" s="81"/>
      <c r="FL148" s="81"/>
      <c r="FM148" s="81"/>
      <c r="FN148" s="81"/>
      <c r="FO148" s="81"/>
      <c r="FP148" s="81"/>
      <c r="FQ148" s="81"/>
      <c r="FR148" s="81"/>
      <c r="FS148" s="81"/>
      <c r="FT148" s="81"/>
      <c r="FU148" s="81"/>
      <c r="FV148" s="81">
        <v>148.18252605510668</v>
      </c>
      <c r="FW148" s="81"/>
      <c r="FX148" s="86"/>
      <c r="FY148" s="81"/>
      <c r="FZ148" s="81"/>
      <c r="GA148" s="81"/>
      <c r="GB148" s="81"/>
      <c r="GC148" s="81"/>
      <c r="GD148" s="81"/>
      <c r="GE148" s="81"/>
      <c r="GF148" s="81"/>
      <c r="GG148" s="81"/>
      <c r="GH148" s="81"/>
    </row>
    <row r="149" spans="1:190" x14ac:dyDescent="0.2">
      <c r="A149" s="82" t="s">
        <v>360</v>
      </c>
      <c r="B149" s="89">
        <v>0.83485799331127719</v>
      </c>
      <c r="C149" s="89">
        <v>6.5619134759943645E-2</v>
      </c>
      <c r="D149" s="89">
        <v>0.22727254394332352</v>
      </c>
      <c r="E149" s="89">
        <v>0.15199646490034452</v>
      </c>
      <c r="F149" s="89">
        <v>1.2346130530117936E-2</v>
      </c>
      <c r="G149" s="89">
        <v>3.6054359644264032E-2</v>
      </c>
      <c r="H149" s="89">
        <v>0.60722641760713592</v>
      </c>
      <c r="I149" s="89">
        <v>0.13588028657939746</v>
      </c>
      <c r="J149" s="89">
        <v>0.9766510476130934</v>
      </c>
      <c r="K149" s="89">
        <v>2.0370578980093699</v>
      </c>
      <c r="L149" s="89">
        <v>0.40257297859130248</v>
      </c>
      <c r="M149" s="89">
        <v>2.8736858857468486E-2</v>
      </c>
      <c r="N149" s="89">
        <v>1.2712040320753875</v>
      </c>
      <c r="O149" s="89">
        <v>2.2688723276498752E-2</v>
      </c>
      <c r="P149" s="89">
        <v>1.5339806472901505</v>
      </c>
      <c r="Q149" s="89">
        <v>0.42481946183014496</v>
      </c>
      <c r="R149" s="89">
        <v>0.43222686081479833</v>
      </c>
      <c r="S149" s="89">
        <v>6.2025293983446667E-2</v>
      </c>
      <c r="T149" s="89"/>
      <c r="U149" s="89"/>
      <c r="V149" s="89">
        <v>1.9286794396326346</v>
      </c>
      <c r="W149" s="89">
        <v>2.6706413879463553</v>
      </c>
      <c r="X149" s="90">
        <v>0.67583831066121458</v>
      </c>
      <c r="Y149" s="90">
        <v>3.2188309241665962</v>
      </c>
      <c r="Z149" s="90">
        <v>0.12204073484948857</v>
      </c>
      <c r="AA149" s="90">
        <v>5.3723986583656264E-3</v>
      </c>
      <c r="AB149" s="90">
        <v>0.28545157610506977</v>
      </c>
      <c r="AC149" s="90">
        <v>0.13843491223152354</v>
      </c>
      <c r="AD149" s="90">
        <v>0.16445831001477482</v>
      </c>
      <c r="AE149" s="90">
        <v>3.9573211471108087E-2</v>
      </c>
      <c r="AF149" s="90">
        <v>4.2013272811719481E-3</v>
      </c>
      <c r="AG149" s="90">
        <v>3.5364971918980422E-2</v>
      </c>
      <c r="AH149" s="90">
        <v>4.7799578969314443E-2</v>
      </c>
      <c r="AI149" s="90">
        <v>2.5323971943752886E-2</v>
      </c>
      <c r="AJ149" s="90">
        <v>0.33078275572250471</v>
      </c>
      <c r="AK149" s="90">
        <v>1.2828471929895207</v>
      </c>
      <c r="AL149" s="90">
        <v>0.20868481330044122</v>
      </c>
      <c r="AM149" s="90">
        <v>6.0311545036584452E-2</v>
      </c>
      <c r="AN149" s="90">
        <v>0.27641964107425704</v>
      </c>
      <c r="AO149" s="90">
        <v>0.29007934239765554</v>
      </c>
      <c r="AP149" s="90">
        <v>1.2178604007119649</v>
      </c>
      <c r="AQ149" s="90">
        <v>0.77265460995025259</v>
      </c>
      <c r="AR149" s="90">
        <v>0.25102277195362549</v>
      </c>
      <c r="AS149" s="90">
        <v>8.7469745702571627E-2</v>
      </c>
      <c r="AT149" s="90">
        <v>0.18099564027864939</v>
      </c>
      <c r="AU149" s="90">
        <v>0.20993386926750124</v>
      </c>
      <c r="AV149" s="90">
        <v>8.8543484225086996E-2</v>
      </c>
      <c r="AW149" s="90">
        <v>1.1393054560387099</v>
      </c>
      <c r="AX149" s="90">
        <v>1.0653878478299545</v>
      </c>
      <c r="AY149" s="90">
        <v>1.8395025627829893</v>
      </c>
      <c r="AZ149" s="90">
        <v>0.50356344202334735</v>
      </c>
      <c r="BA149" s="90">
        <v>0.27691175431324022</v>
      </c>
      <c r="BB149" s="90">
        <v>9.6870779474056451E-2</v>
      </c>
      <c r="BC149" s="90">
        <v>0.94715809749488111</v>
      </c>
      <c r="BD149" s="90">
        <v>0.66540656818851351</v>
      </c>
      <c r="BE149" s="90">
        <v>0.61766834234161982</v>
      </c>
      <c r="BF149" s="90">
        <v>7.1539877071398417</v>
      </c>
      <c r="BG149" s="90">
        <v>13.667831196725835</v>
      </c>
      <c r="BH149" s="90">
        <v>18.142876989501346</v>
      </c>
      <c r="BI149" s="90">
        <v>1.1149265748513262</v>
      </c>
      <c r="BJ149" s="90">
        <v>2.3906045833451919</v>
      </c>
      <c r="BK149" s="90">
        <v>4.8791012431375345</v>
      </c>
      <c r="BL149" s="90">
        <v>1.3598772560908234</v>
      </c>
      <c r="BM149" s="90">
        <v>4.9371414504930016</v>
      </c>
      <c r="BN149" s="90">
        <v>1.7870654300276634</v>
      </c>
      <c r="BO149" s="90">
        <v>1.5545901542692739</v>
      </c>
      <c r="BP149" s="90">
        <v>1.332336789063816</v>
      </c>
      <c r="BQ149" s="90">
        <v>1.0366083296759072</v>
      </c>
      <c r="BR149" s="90">
        <v>3.8914850768415827</v>
      </c>
      <c r="BS149" s="81"/>
      <c r="BT149" s="81"/>
      <c r="BU149" s="81"/>
      <c r="BV149" s="81"/>
      <c r="BW149" s="81"/>
      <c r="BX149" s="81"/>
      <c r="BY149" s="81"/>
      <c r="BZ149" s="81"/>
      <c r="CA149" s="81"/>
      <c r="CB149" s="81"/>
      <c r="CC149" s="81"/>
      <c r="CD149" s="81"/>
      <c r="CE149" s="81"/>
      <c r="CF149" s="81"/>
      <c r="CG149" s="81"/>
      <c r="CH149" s="81"/>
      <c r="CI149" s="81"/>
      <c r="CJ149" s="81"/>
      <c r="CK149" s="81"/>
      <c r="CL149" s="81"/>
      <c r="CM149" s="81"/>
      <c r="CN149" s="81"/>
      <c r="CO149" s="81"/>
      <c r="CP149" s="81"/>
      <c r="CQ149" s="81"/>
      <c r="CR149" s="81"/>
      <c r="CS149" s="81"/>
      <c r="CT149" s="81"/>
      <c r="CU149" s="81"/>
      <c r="CV149" s="81"/>
      <c r="CW149" s="81"/>
      <c r="CX149" s="81"/>
      <c r="CY149" s="81"/>
      <c r="CZ149" s="81"/>
      <c r="DA149" s="81"/>
      <c r="DB149" s="81"/>
      <c r="DC149" s="81"/>
      <c r="DD149" s="81"/>
      <c r="DE149" s="81"/>
      <c r="DF149" s="81"/>
      <c r="DG149" s="81"/>
      <c r="DH149" s="81"/>
      <c r="DI149" s="81"/>
      <c r="DJ149" s="81"/>
      <c r="DK149" s="81"/>
      <c r="DL149" s="81"/>
      <c r="DM149" s="81"/>
      <c r="DN149" s="81"/>
      <c r="DO149" s="81"/>
      <c r="DP149" s="81"/>
      <c r="DQ149" s="81"/>
      <c r="DR149" s="81"/>
      <c r="DS149" s="81"/>
      <c r="DT149" s="81"/>
      <c r="DU149" s="81"/>
      <c r="DV149" s="81"/>
      <c r="DW149" s="81"/>
      <c r="DX149" s="81"/>
      <c r="DY149" s="81"/>
      <c r="DZ149" s="81"/>
      <c r="EA149" s="81"/>
      <c r="EB149" s="81"/>
      <c r="EC149" s="81"/>
      <c r="ED149" s="81"/>
      <c r="EE149" s="81"/>
      <c r="EF149" s="81"/>
      <c r="EG149" s="81"/>
      <c r="EH149" s="81"/>
      <c r="EI149" s="81"/>
      <c r="EJ149" s="81"/>
      <c r="EK149" s="81"/>
      <c r="EL149" s="81"/>
      <c r="EM149" s="81"/>
      <c r="EN149" s="81"/>
      <c r="EO149" s="81"/>
      <c r="EP149" s="81"/>
      <c r="EQ149" s="81"/>
      <c r="ER149" s="81"/>
      <c r="ES149" s="81"/>
      <c r="ET149" s="81"/>
      <c r="EU149" s="81"/>
      <c r="EV149" s="81"/>
      <c r="EW149" s="81"/>
      <c r="EX149" s="81"/>
      <c r="EY149" s="81"/>
      <c r="EZ149" s="81"/>
      <c r="FA149" s="81"/>
      <c r="FB149" s="81"/>
      <c r="FC149" s="81"/>
      <c r="FD149" s="81"/>
      <c r="FE149" s="81"/>
      <c r="FF149" s="81"/>
      <c r="FG149" s="81"/>
      <c r="FH149" s="81"/>
      <c r="FI149" s="81"/>
      <c r="FJ149" s="81"/>
      <c r="FK149" s="81"/>
      <c r="FL149" s="81"/>
      <c r="FM149" s="81"/>
      <c r="FN149" s="81"/>
      <c r="FO149" s="81"/>
      <c r="FP149" s="81"/>
      <c r="FQ149" s="81"/>
      <c r="FR149" s="81"/>
      <c r="FS149" s="81"/>
      <c r="FT149" s="81"/>
      <c r="FU149" s="81"/>
      <c r="FV149" s="81">
        <v>94.283041633728885</v>
      </c>
      <c r="FW149" s="81"/>
      <c r="FX149" s="86"/>
      <c r="FY149" s="81"/>
      <c r="FZ149" s="81"/>
      <c r="GA149" s="81"/>
      <c r="GB149" s="81"/>
      <c r="GC149" s="81"/>
      <c r="GD149" s="81"/>
      <c r="GE149" s="81"/>
      <c r="GF149" s="81"/>
      <c r="GG149" s="81"/>
      <c r="GH149" s="81"/>
    </row>
    <row r="150" spans="1:190" x14ac:dyDescent="0.2">
      <c r="A150" s="82" t="s">
        <v>361</v>
      </c>
      <c r="B150" s="89">
        <v>0.23678596803350815</v>
      </c>
      <c r="C150" s="89">
        <v>1.8611177553715108E-2</v>
      </c>
      <c r="D150" s="89">
        <v>6.4460003684714023E-2</v>
      </c>
      <c r="E150" s="89">
        <v>4.310988259973466E-2</v>
      </c>
      <c r="F150" s="89">
        <v>3.5016619502522234E-3</v>
      </c>
      <c r="G150" s="89">
        <v>3.4554786887504136E-3</v>
      </c>
      <c r="H150" s="89">
        <v>5.8197065930181723E-2</v>
      </c>
      <c r="I150" s="89">
        <v>1.302287543390347E-2</v>
      </c>
      <c r="J150" s="89">
        <v>9.3603018183397793E-2</v>
      </c>
      <c r="K150" s="89">
        <v>0.19523325954956858</v>
      </c>
      <c r="L150" s="89">
        <v>0.10035946747820787</v>
      </c>
      <c r="M150" s="89">
        <v>7.163957854359246E-3</v>
      </c>
      <c r="N150" s="89">
        <v>0.14341942098496027</v>
      </c>
      <c r="O150" s="89">
        <v>5.6561873421253741E-3</v>
      </c>
      <c r="P150" s="89">
        <v>0.49905827164720029</v>
      </c>
      <c r="Q150" s="89">
        <v>0.13820882731315484</v>
      </c>
      <c r="R150" s="89">
        <v>0.5463451941996349</v>
      </c>
      <c r="S150" s="89">
        <v>2.017902642283689E-2</v>
      </c>
      <c r="T150" s="89"/>
      <c r="U150" s="89"/>
      <c r="V150" s="89">
        <v>0.38144401982090204</v>
      </c>
      <c r="W150" s="89">
        <v>0.58269347681642059</v>
      </c>
      <c r="X150" s="90">
        <v>0.1474576769394505</v>
      </c>
      <c r="Y150" s="90">
        <v>0.70230012571216882</v>
      </c>
      <c r="Z150" s="90">
        <v>0.14984769318008659</v>
      </c>
      <c r="AA150" s="90">
        <v>6.5964986755670521E-3</v>
      </c>
      <c r="AB150" s="90">
        <v>0.35049166367866952</v>
      </c>
      <c r="AC150" s="90">
        <v>0.1699772807748583</v>
      </c>
      <c r="AD150" s="90">
        <v>0.20193010481625112</v>
      </c>
      <c r="AE150" s="90">
        <v>4.8589960212765286E-2</v>
      </c>
      <c r="AF150" s="90">
        <v>5.1585989067880452E-3</v>
      </c>
      <c r="AG150" s="90">
        <v>4.34228740753929E-2</v>
      </c>
      <c r="AH150" s="90">
        <v>5.869070398801491E-2</v>
      </c>
      <c r="AI150" s="90">
        <v>3.1094034156780605E-2</v>
      </c>
      <c r="AJ150" s="90">
        <v>0.40615154398979864</v>
      </c>
      <c r="AK150" s="90">
        <v>1.5751436830424377</v>
      </c>
      <c r="AL150" s="90">
        <v>0.25623360850255655</v>
      </c>
      <c r="AM150" s="90">
        <v>8.7215598310443579E-2</v>
      </c>
      <c r="AN150" s="90">
        <v>0.39972619448607438</v>
      </c>
      <c r="AO150" s="90">
        <v>0.33658203470318609</v>
      </c>
      <c r="AP150" s="90">
        <v>1.4130959077194312</v>
      </c>
      <c r="AQ150" s="90">
        <v>0.89651906471625575</v>
      </c>
      <c r="AR150" s="90">
        <v>0.29126429563247658</v>
      </c>
      <c r="AS150" s="90">
        <v>0.11296529838593278</v>
      </c>
      <c r="AT150" s="90">
        <v>0.23375198300170041</v>
      </c>
      <c r="AU150" s="90">
        <v>0.16533543798241421</v>
      </c>
      <c r="AV150" s="90">
        <v>6.9733272653542164E-2</v>
      </c>
      <c r="AW150" s="90">
        <v>0.89727097026870462</v>
      </c>
      <c r="AX150" s="90">
        <v>0.87898705556893297</v>
      </c>
      <c r="AY150" s="90">
        <v>1.5176622716933765</v>
      </c>
      <c r="AZ150" s="90">
        <v>0.41545972961661393</v>
      </c>
      <c r="BA150" s="90">
        <v>0.22846313487806172</v>
      </c>
      <c r="BB150" s="90">
        <v>7.9922219306333517E-2</v>
      </c>
      <c r="BC150" s="90">
        <v>0.78144284165720901</v>
      </c>
      <c r="BD150" s="90">
        <v>0.46504926034726862</v>
      </c>
      <c r="BE150" s="90">
        <v>0.43168525752290937</v>
      </c>
      <c r="BF150" s="90">
        <v>7.3874979675899475</v>
      </c>
      <c r="BG150" s="90">
        <v>13.233817272075626</v>
      </c>
      <c r="BH150" s="90">
        <v>18.904682526490909</v>
      </c>
      <c r="BI150" s="90">
        <v>1.079522738537928</v>
      </c>
      <c r="BJ150" s="90">
        <v>2.3146923436803521</v>
      </c>
      <c r="BK150" s="90">
        <v>5.083970974917432</v>
      </c>
      <c r="BL150" s="90">
        <v>1.3805022346682665</v>
      </c>
      <c r="BM150" s="90">
        <v>5.0120220591612767</v>
      </c>
      <c r="BN150" s="90">
        <v>1.8141694837543683</v>
      </c>
      <c r="BO150" s="90">
        <v>2.9301639654989757</v>
      </c>
      <c r="BP150" s="90">
        <v>1.4080364578911118</v>
      </c>
      <c r="BQ150" s="90">
        <v>0.87854853457283166</v>
      </c>
      <c r="BR150" s="90">
        <v>2.9664539331660551</v>
      </c>
      <c r="BS150" s="81"/>
      <c r="BT150" s="81"/>
      <c r="BU150" s="81"/>
      <c r="BV150" s="81"/>
      <c r="BW150" s="81"/>
      <c r="BX150" s="81"/>
      <c r="BY150" s="81"/>
      <c r="BZ150" s="81"/>
      <c r="CA150" s="81"/>
      <c r="CB150" s="81"/>
      <c r="CC150" s="81"/>
      <c r="CD150" s="81"/>
      <c r="CE150" s="81"/>
      <c r="CF150" s="81"/>
      <c r="CG150" s="81"/>
      <c r="CH150" s="81"/>
      <c r="CI150" s="81"/>
      <c r="CJ150" s="81"/>
      <c r="CK150" s="81"/>
      <c r="CL150" s="81"/>
      <c r="CM150" s="81"/>
      <c r="CN150" s="81"/>
      <c r="CO150" s="81"/>
      <c r="CP150" s="81"/>
      <c r="CQ150" s="81"/>
      <c r="CR150" s="81"/>
      <c r="CS150" s="81"/>
      <c r="CT150" s="81"/>
      <c r="CU150" s="81"/>
      <c r="CV150" s="81"/>
      <c r="CW150" s="81"/>
      <c r="CX150" s="81"/>
      <c r="CY150" s="81"/>
      <c r="CZ150" s="81"/>
      <c r="DA150" s="81"/>
      <c r="DB150" s="81"/>
      <c r="DC150" s="81"/>
      <c r="DD150" s="81"/>
      <c r="DE150" s="81"/>
      <c r="DF150" s="81"/>
      <c r="DG150" s="81"/>
      <c r="DH150" s="81"/>
      <c r="DI150" s="81"/>
      <c r="DJ150" s="81"/>
      <c r="DK150" s="81"/>
      <c r="DL150" s="81"/>
      <c r="DM150" s="81"/>
      <c r="DN150" s="81"/>
      <c r="DO150" s="81"/>
      <c r="DP150" s="81"/>
      <c r="DQ150" s="81"/>
      <c r="DR150" s="81"/>
      <c r="DS150" s="81"/>
      <c r="DT150" s="81"/>
      <c r="DU150" s="81"/>
      <c r="DV150" s="81"/>
      <c r="DW150" s="81"/>
      <c r="DX150" s="81"/>
      <c r="DY150" s="81"/>
      <c r="DZ150" s="81"/>
      <c r="EA150" s="81"/>
      <c r="EB150" s="81"/>
      <c r="EC150" s="81"/>
      <c r="ED150" s="81"/>
      <c r="EE150" s="81"/>
      <c r="EF150" s="81"/>
      <c r="EG150" s="81"/>
      <c r="EH150" s="81"/>
      <c r="EI150" s="81"/>
      <c r="EJ150" s="81"/>
      <c r="EK150" s="81"/>
      <c r="EL150" s="81"/>
      <c r="EM150" s="81"/>
      <c r="EN150" s="81"/>
      <c r="EO150" s="81"/>
      <c r="EP150" s="81"/>
      <c r="EQ150" s="81"/>
      <c r="ER150" s="81"/>
      <c r="ES150" s="81"/>
      <c r="ET150" s="81"/>
      <c r="EU150" s="81"/>
      <c r="EV150" s="81"/>
      <c r="EW150" s="81"/>
      <c r="EX150" s="81"/>
      <c r="EY150" s="81"/>
      <c r="EZ150" s="81"/>
      <c r="FA150" s="81"/>
      <c r="FB150" s="81"/>
      <c r="FC150" s="81"/>
      <c r="FD150" s="81"/>
      <c r="FE150" s="81"/>
      <c r="FF150" s="81"/>
      <c r="FG150" s="81"/>
      <c r="FH150" s="81"/>
      <c r="FI150" s="81"/>
      <c r="FJ150" s="81"/>
      <c r="FK150" s="81"/>
      <c r="FL150" s="81"/>
      <c r="FM150" s="81"/>
      <c r="FN150" s="81"/>
      <c r="FO150" s="81"/>
      <c r="FP150" s="81"/>
      <c r="FQ150" s="81"/>
      <c r="FR150" s="81"/>
      <c r="FS150" s="81"/>
      <c r="FT150" s="81"/>
      <c r="FU150" s="81"/>
      <c r="FV150" s="81">
        <v>81.403806612595062</v>
      </c>
      <c r="FW150" s="81"/>
      <c r="FX150" s="86"/>
      <c r="FY150" s="81"/>
      <c r="FZ150" s="81"/>
      <c r="GA150" s="81"/>
      <c r="GB150" s="81"/>
      <c r="GC150" s="81"/>
      <c r="GD150" s="81"/>
      <c r="GE150" s="81"/>
      <c r="GF150" s="81"/>
      <c r="GG150" s="81"/>
      <c r="GH150" s="81"/>
    </row>
    <row r="151" spans="1:190" x14ac:dyDescent="0.2">
      <c r="A151" s="82" t="s">
        <v>362</v>
      </c>
      <c r="B151" s="89">
        <v>0.3731654608009124</v>
      </c>
      <c r="C151" s="89">
        <v>2.9330490761584675E-2</v>
      </c>
      <c r="D151" s="89">
        <v>0.10158645454375423</v>
      </c>
      <c r="E151" s="89">
        <v>6.7939495481956477E-2</v>
      </c>
      <c r="F151" s="89">
        <v>5.5184828141926819E-3</v>
      </c>
      <c r="G151" s="89">
        <v>8.5757114844313958E-3</v>
      </c>
      <c r="H151" s="89">
        <v>0.14443186939119879</v>
      </c>
      <c r="I151" s="89">
        <v>3.2319812239742646E-2</v>
      </c>
      <c r="J151" s="89">
        <v>0.23230138291001465</v>
      </c>
      <c r="K151" s="89">
        <v>0.48452450640570033</v>
      </c>
      <c r="L151" s="89">
        <v>0.17033773380115635</v>
      </c>
      <c r="M151" s="89">
        <v>1.2159215035925968E-2</v>
      </c>
      <c r="N151" s="89">
        <v>0.48768011068003525</v>
      </c>
      <c r="O151" s="89">
        <v>9.6001120574063323E-3</v>
      </c>
      <c r="P151" s="89">
        <v>0.69317344595833974</v>
      </c>
      <c r="Q151" s="89">
        <v>0.19196693960068562</v>
      </c>
      <c r="R151" s="89">
        <v>0.25760864417577717</v>
      </c>
      <c r="S151" s="89">
        <v>2.8027919936953732E-2</v>
      </c>
      <c r="T151" s="89">
        <v>2.8138712476974821E-2</v>
      </c>
      <c r="U151" s="89"/>
      <c r="V151" s="89">
        <v>0.97519609182290734</v>
      </c>
      <c r="W151" s="89">
        <v>4.7943498278338152</v>
      </c>
      <c r="X151" s="90">
        <v>1.2132685814675077</v>
      </c>
      <c r="Y151" s="90">
        <v>5.7784626407558175</v>
      </c>
      <c r="Z151" s="90">
        <v>0.28795767294310748</v>
      </c>
      <c r="AA151" s="90">
        <v>1.267628728795811E-2</v>
      </c>
      <c r="AB151" s="90">
        <v>0.67352897943897205</v>
      </c>
      <c r="AC151" s="90">
        <v>0.32664007824466074</v>
      </c>
      <c r="AD151" s="90">
        <v>0.3880428309974992</v>
      </c>
      <c r="AE151" s="90">
        <v>9.337382227466591E-2</v>
      </c>
      <c r="AF151" s="90">
        <v>9.9131198173356173E-3</v>
      </c>
      <c r="AG151" s="90">
        <v>8.3444392809067222E-2</v>
      </c>
      <c r="AH151" s="90">
        <v>0.11278410888495044</v>
      </c>
      <c r="AI151" s="90">
        <v>5.9752442818318388E-2</v>
      </c>
      <c r="AJ151" s="90">
        <v>0.7804888482934268</v>
      </c>
      <c r="AK151" s="90">
        <v>3.026904851813975</v>
      </c>
      <c r="AL151" s="90">
        <v>0.49239619288324632</v>
      </c>
      <c r="AM151" s="90">
        <v>0.31322227284376275</v>
      </c>
      <c r="AN151" s="90">
        <v>1.435559115313938</v>
      </c>
      <c r="AO151" s="90">
        <v>0.59511128023642479</v>
      </c>
      <c r="AP151" s="90">
        <v>2.4984973291321153</v>
      </c>
      <c r="AQ151" s="90">
        <v>1.5851369156709261</v>
      </c>
      <c r="AR151" s="90">
        <v>0.51498490706391475</v>
      </c>
      <c r="AS151" s="90">
        <v>0.21297222990629835</v>
      </c>
      <c r="AT151" s="90">
        <v>0.44069003292333686</v>
      </c>
      <c r="AU151" s="90">
        <v>1.5580710614706808</v>
      </c>
      <c r="AV151" s="90">
        <v>0.65714522832476641</v>
      </c>
      <c r="AW151" s="90">
        <v>8.4556096994891501</v>
      </c>
      <c r="AX151" s="90">
        <v>2.2714889797149005</v>
      </c>
      <c r="AY151" s="90">
        <v>3.9219611975391975</v>
      </c>
      <c r="AZ151" s="90">
        <v>1.0736360579606532</v>
      </c>
      <c r="BA151" s="90">
        <v>0.5903971962485155</v>
      </c>
      <c r="BB151" s="90">
        <v>0.20653596573295258</v>
      </c>
      <c r="BC151" s="90">
        <v>2.0194140423973992</v>
      </c>
      <c r="BD151" s="90">
        <v>3.2685598476599313</v>
      </c>
      <c r="BE151" s="90">
        <v>3.0340637430806443</v>
      </c>
      <c r="BF151" s="90">
        <v>11.030208903634483</v>
      </c>
      <c r="BG151" s="90">
        <v>34.54918250445283</v>
      </c>
      <c r="BH151" s="90">
        <v>47.25622246612582</v>
      </c>
      <c r="BI151" s="90">
        <v>2.8182819321642247</v>
      </c>
      <c r="BJ151" s="90">
        <v>6.0429070901724273</v>
      </c>
      <c r="BK151" s="90">
        <v>12.708452684427062</v>
      </c>
      <c r="BL151" s="90">
        <v>4.735198672879176</v>
      </c>
      <c r="BM151" s="90">
        <v>17.19151161583207</v>
      </c>
      <c r="BN151" s="90">
        <v>6.2227012141822886</v>
      </c>
      <c r="BO151" s="90">
        <v>19.292403777072323</v>
      </c>
      <c r="BP151" s="90">
        <v>13.572753464850241</v>
      </c>
      <c r="BQ151" s="90">
        <v>7.4147922729796081</v>
      </c>
      <c r="BR151" s="90">
        <v>4.4247381089479783</v>
      </c>
      <c r="BS151" s="81"/>
      <c r="BT151" s="81"/>
      <c r="BU151" s="81"/>
      <c r="BV151" s="81"/>
      <c r="BW151" s="81"/>
      <c r="BX151" s="81"/>
      <c r="BY151" s="81"/>
      <c r="BZ151" s="81"/>
      <c r="CA151" s="81"/>
      <c r="CB151" s="81"/>
      <c r="CC151" s="81"/>
      <c r="CD151" s="81"/>
      <c r="CE151" s="81"/>
      <c r="CF151" s="81"/>
      <c r="CG151" s="81"/>
      <c r="CH151" s="81"/>
      <c r="CI151" s="81"/>
      <c r="CJ151" s="81"/>
      <c r="CK151" s="81"/>
      <c r="CL151" s="81"/>
      <c r="CM151" s="81"/>
      <c r="CN151" s="81"/>
      <c r="CO151" s="81"/>
      <c r="CP151" s="81"/>
      <c r="CQ151" s="81"/>
      <c r="CR151" s="81"/>
      <c r="CS151" s="81"/>
      <c r="CT151" s="81"/>
      <c r="CU151" s="81"/>
      <c r="CV151" s="81"/>
      <c r="CW151" s="81"/>
      <c r="CX151" s="81"/>
      <c r="CY151" s="81"/>
      <c r="CZ151" s="81"/>
      <c r="DA151" s="81"/>
      <c r="DB151" s="81"/>
      <c r="DC151" s="81"/>
      <c r="DD151" s="81"/>
      <c r="DE151" s="81"/>
      <c r="DF151" s="81"/>
      <c r="DG151" s="81"/>
      <c r="DH151" s="81"/>
      <c r="DI151" s="81"/>
      <c r="DJ151" s="81"/>
      <c r="DK151" s="81"/>
      <c r="DL151" s="81"/>
      <c r="DM151" s="81"/>
      <c r="DN151" s="81"/>
      <c r="DO151" s="81"/>
      <c r="DP151" s="81"/>
      <c r="DQ151" s="81"/>
      <c r="DR151" s="81"/>
      <c r="DS151" s="81"/>
      <c r="DT151" s="81"/>
      <c r="DU151" s="81"/>
      <c r="DV151" s="81"/>
      <c r="DW151" s="81"/>
      <c r="DX151" s="81"/>
      <c r="DY151" s="81"/>
      <c r="DZ151" s="81"/>
      <c r="EA151" s="81"/>
      <c r="EB151" s="81"/>
      <c r="EC151" s="81"/>
      <c r="ED151" s="81"/>
      <c r="EE151" s="81"/>
      <c r="EF151" s="81"/>
      <c r="EG151" s="81"/>
      <c r="EH151" s="81"/>
      <c r="EI151" s="81"/>
      <c r="EJ151" s="81"/>
      <c r="EK151" s="81"/>
      <c r="EL151" s="81"/>
      <c r="EM151" s="81"/>
      <c r="EN151" s="81"/>
      <c r="EO151" s="81"/>
      <c r="EP151" s="81"/>
      <c r="EQ151" s="81"/>
      <c r="ER151" s="81"/>
      <c r="ES151" s="81"/>
      <c r="ET151" s="81"/>
      <c r="EU151" s="81"/>
      <c r="EV151" s="81"/>
      <c r="EW151" s="81"/>
      <c r="EX151" s="81"/>
      <c r="EY151" s="81"/>
      <c r="EZ151" s="81"/>
      <c r="FA151" s="81"/>
      <c r="FB151" s="81"/>
      <c r="FC151" s="81"/>
      <c r="FD151" s="81"/>
      <c r="FE151" s="81"/>
      <c r="FF151" s="81"/>
      <c r="FG151" s="81"/>
      <c r="FH151" s="81"/>
      <c r="FI151" s="81"/>
      <c r="FJ151" s="81"/>
      <c r="FK151" s="81"/>
      <c r="FL151" s="81"/>
      <c r="FM151" s="81"/>
      <c r="FN151" s="81"/>
      <c r="FO151" s="81"/>
      <c r="FP151" s="81"/>
      <c r="FQ151" s="81"/>
      <c r="FR151" s="81"/>
      <c r="FS151" s="81"/>
      <c r="FT151" s="81"/>
      <c r="FU151" s="81"/>
      <c r="FV151" s="81">
        <v>244.37997908137405</v>
      </c>
      <c r="FW151" s="81"/>
      <c r="FX151" s="86"/>
      <c r="FY151" s="81"/>
      <c r="FZ151" s="81"/>
      <c r="GA151" s="81"/>
      <c r="GB151" s="81"/>
      <c r="GC151" s="81"/>
      <c r="GD151" s="81"/>
      <c r="GE151" s="81"/>
      <c r="GF151" s="81"/>
      <c r="GG151" s="81"/>
      <c r="GH151" s="81"/>
    </row>
    <row r="152" spans="1:190" x14ac:dyDescent="0.2">
      <c r="A152" s="82" t="s">
        <v>363</v>
      </c>
      <c r="B152" s="89">
        <v>0.21769509028957199</v>
      </c>
      <c r="C152" s="89">
        <v>1.7110650650455434E-2</v>
      </c>
      <c r="D152" s="89">
        <v>5.9262913418180976E-2</v>
      </c>
      <c r="E152" s="89">
        <v>3.9634146663597984E-2</v>
      </c>
      <c r="F152" s="89">
        <v>3.2193403213649991E-3</v>
      </c>
      <c r="G152" s="89">
        <v>4.4113413452828197E-3</v>
      </c>
      <c r="H152" s="89">
        <v>7.4295675429212296E-2</v>
      </c>
      <c r="I152" s="89">
        <v>1.6625293920368836E-2</v>
      </c>
      <c r="J152" s="89">
        <v>0.11949570561669488</v>
      </c>
      <c r="K152" s="89">
        <v>0.24923914380637946</v>
      </c>
      <c r="L152" s="89">
        <v>0.44666727036955534</v>
      </c>
      <c r="M152" s="89">
        <v>3.1884440803195878E-2</v>
      </c>
      <c r="N152" s="89">
        <v>4.7820947902466928</v>
      </c>
      <c r="O152" s="89">
        <v>2.5173845819325046E-2</v>
      </c>
      <c r="P152" s="89">
        <v>7.2660540822677658E-2</v>
      </c>
      <c r="Q152" s="89">
        <v>2.0122556241570777E-2</v>
      </c>
      <c r="R152" s="89">
        <v>0.30722495257102556</v>
      </c>
      <c r="S152" s="89">
        <v>2.9379714884175817E-3</v>
      </c>
      <c r="T152" s="89"/>
      <c r="U152" s="89"/>
      <c r="V152" s="89">
        <v>0.12937596644449673</v>
      </c>
      <c r="W152" s="89">
        <v>2.996087086816337</v>
      </c>
      <c r="X152" s="90">
        <v>0.75819630613337374</v>
      </c>
      <c r="Y152" s="90">
        <v>3.6110792748391081</v>
      </c>
      <c r="Z152" s="90">
        <v>0.17856296337795788</v>
      </c>
      <c r="AA152" s="90">
        <v>7.8605838130083282E-3</v>
      </c>
      <c r="AB152" s="90">
        <v>0.41765628003708738</v>
      </c>
      <c r="AC152" s="90">
        <v>0.20254997803409192</v>
      </c>
      <c r="AD152" s="90">
        <v>0.2406259125249125</v>
      </c>
      <c r="AE152" s="90">
        <v>5.7901240265215169E-2</v>
      </c>
      <c r="AF152" s="90">
        <v>6.1471397265178435E-3</v>
      </c>
      <c r="AG152" s="90">
        <v>5.1743986902565528E-2</v>
      </c>
      <c r="AH152" s="90">
        <v>6.9937586655028791E-2</v>
      </c>
      <c r="AI152" s="90">
        <v>3.7052574948467941E-2</v>
      </c>
      <c r="AJ152" s="90">
        <v>0.48398224714872823</v>
      </c>
      <c r="AK152" s="90">
        <v>1.8769880124354541</v>
      </c>
      <c r="AL152" s="90">
        <v>0.30533558095056668</v>
      </c>
      <c r="AM152" s="90">
        <v>0.13174395798580069</v>
      </c>
      <c r="AN152" s="90">
        <v>0.60380840116178458</v>
      </c>
      <c r="AO152" s="90">
        <v>0.25064016858138805</v>
      </c>
      <c r="AP152" s="90">
        <v>1.0522801576287313</v>
      </c>
      <c r="AQ152" s="90">
        <v>0.66760452534272952</v>
      </c>
      <c r="AR152" s="90">
        <v>0.21689372762702636</v>
      </c>
      <c r="AS152" s="90">
        <v>4.0084573202611037E-2</v>
      </c>
      <c r="AT152" s="90">
        <v>8.294448479103872E-2</v>
      </c>
      <c r="AU152" s="90">
        <v>2.4900550624096773</v>
      </c>
      <c r="AV152" s="90">
        <v>1.0502266828471223</v>
      </c>
      <c r="AW152" s="90">
        <v>13.513461778886604</v>
      </c>
      <c r="AX152" s="90">
        <v>1.2556301154246081</v>
      </c>
      <c r="AY152" s="90">
        <v>2.1679755592629228</v>
      </c>
      <c r="AZ152" s="90">
        <v>0.5934828561441482</v>
      </c>
      <c r="BA152" s="90">
        <v>0.32635883611679828</v>
      </c>
      <c r="BB152" s="90">
        <v>0.11416862719058826</v>
      </c>
      <c r="BC152" s="90">
        <v>1.1162885269484222</v>
      </c>
      <c r="BD152" s="90">
        <v>2.8910940681631656</v>
      </c>
      <c r="BE152" s="90">
        <v>2.6836784696873068</v>
      </c>
      <c r="BF152" s="90">
        <v>10.699395543178593</v>
      </c>
      <c r="BG152" s="90">
        <v>31.36299023061725</v>
      </c>
      <c r="BH152" s="90">
        <v>36.330560557077142</v>
      </c>
      <c r="BI152" s="90">
        <v>2.5583745344538813</v>
      </c>
      <c r="BJ152" s="90">
        <v>5.4856185384177767</v>
      </c>
      <c r="BK152" s="90">
        <v>9.7702521645543339</v>
      </c>
      <c r="BL152" s="90">
        <v>25.248750978292605</v>
      </c>
      <c r="BM152" s="90">
        <v>91.667578430165747</v>
      </c>
      <c r="BN152" s="90">
        <v>33.180325520254392</v>
      </c>
      <c r="BO152" s="90">
        <v>52.614192082682294</v>
      </c>
      <c r="BP152" s="90">
        <v>66.158567240671942</v>
      </c>
      <c r="BQ152" s="90">
        <v>15.481949405237293</v>
      </c>
      <c r="BR152" s="90">
        <v>4.4832237180634777</v>
      </c>
      <c r="BS152" s="81"/>
      <c r="BT152" s="81"/>
      <c r="BU152" s="81"/>
      <c r="BV152" s="81"/>
      <c r="BW152" s="81"/>
      <c r="BX152" s="81"/>
      <c r="BY152" s="81"/>
      <c r="BZ152" s="81"/>
      <c r="CA152" s="81"/>
      <c r="CB152" s="81"/>
      <c r="CC152" s="81"/>
      <c r="CD152" s="81"/>
      <c r="CE152" s="81"/>
      <c r="CF152" s="81"/>
      <c r="CG152" s="81"/>
      <c r="CH152" s="81"/>
      <c r="CI152" s="81"/>
      <c r="CJ152" s="81"/>
      <c r="CK152" s="81"/>
      <c r="CL152" s="81"/>
      <c r="CM152" s="81"/>
      <c r="CN152" s="81"/>
      <c r="CO152" s="81"/>
      <c r="CP152" s="81"/>
      <c r="CQ152" s="81"/>
      <c r="CR152" s="81"/>
      <c r="CS152" s="81"/>
      <c r="CT152" s="81"/>
      <c r="CU152" s="81"/>
      <c r="CV152" s="81"/>
      <c r="CW152" s="81"/>
      <c r="CX152" s="81"/>
      <c r="CY152" s="81"/>
      <c r="CZ152" s="81"/>
      <c r="DA152" s="81"/>
      <c r="DB152" s="81"/>
      <c r="DC152" s="81"/>
      <c r="DD152" s="81"/>
      <c r="DE152" s="81"/>
      <c r="DF152" s="81"/>
      <c r="DG152" s="81"/>
      <c r="DH152" s="81"/>
      <c r="DI152" s="81"/>
      <c r="DJ152" s="81"/>
      <c r="DK152" s="81"/>
      <c r="DL152" s="81"/>
      <c r="DM152" s="81"/>
      <c r="DN152" s="81"/>
      <c r="DO152" s="81"/>
      <c r="DP152" s="81"/>
      <c r="DQ152" s="81"/>
      <c r="DR152" s="81"/>
      <c r="DS152" s="81"/>
      <c r="DT152" s="81"/>
      <c r="DU152" s="81"/>
      <c r="DV152" s="81"/>
      <c r="DW152" s="81"/>
      <c r="DX152" s="81"/>
      <c r="DY152" s="81"/>
      <c r="DZ152" s="81"/>
      <c r="EA152" s="81"/>
      <c r="EB152" s="81"/>
      <c r="EC152" s="81"/>
      <c r="ED152" s="81"/>
      <c r="EE152" s="81"/>
      <c r="EF152" s="81"/>
      <c r="EG152" s="81"/>
      <c r="EH152" s="81"/>
      <c r="EI152" s="81"/>
      <c r="EJ152" s="81"/>
      <c r="EK152" s="81"/>
      <c r="EL152" s="81"/>
      <c r="EM152" s="81"/>
      <c r="EN152" s="81"/>
      <c r="EO152" s="81"/>
      <c r="EP152" s="81"/>
      <c r="EQ152" s="81"/>
      <c r="ER152" s="81"/>
      <c r="ES152" s="81"/>
      <c r="ET152" s="81"/>
      <c r="EU152" s="81"/>
      <c r="EV152" s="81"/>
      <c r="EW152" s="81"/>
      <c r="EX152" s="81"/>
      <c r="EY152" s="81"/>
      <c r="EZ152" s="81"/>
      <c r="FA152" s="81"/>
      <c r="FB152" s="81"/>
      <c r="FC152" s="81"/>
      <c r="FD152" s="81"/>
      <c r="FE152" s="81"/>
      <c r="FF152" s="81"/>
      <c r="FG152" s="81"/>
      <c r="FH152" s="81"/>
      <c r="FI152" s="81"/>
      <c r="FJ152" s="81"/>
      <c r="FK152" s="81"/>
      <c r="FL152" s="81"/>
      <c r="FM152" s="81"/>
      <c r="FN152" s="81"/>
      <c r="FO152" s="81"/>
      <c r="FP152" s="81"/>
      <c r="FQ152" s="81"/>
      <c r="FR152" s="81"/>
      <c r="FS152" s="81"/>
      <c r="FT152" s="81"/>
      <c r="FU152" s="81"/>
      <c r="FV152" s="81">
        <v>434.21103791394563</v>
      </c>
      <c r="FW152" s="81"/>
      <c r="FX152" s="86"/>
      <c r="FY152" s="81"/>
      <c r="FZ152" s="81"/>
      <c r="GA152" s="81"/>
      <c r="GB152" s="81"/>
      <c r="GC152" s="81"/>
      <c r="GD152" s="81"/>
      <c r="GE152" s="81"/>
      <c r="GF152" s="81"/>
      <c r="GG152" s="81"/>
      <c r="GH152" s="81"/>
    </row>
    <row r="153" spans="1:190" x14ac:dyDescent="0.2">
      <c r="A153" s="82" t="s">
        <v>364</v>
      </c>
      <c r="B153" s="91">
        <v>10.580212323439564</v>
      </c>
      <c r="C153" s="91">
        <v>2.2535542939605979</v>
      </c>
      <c r="D153" s="91">
        <v>8.0510795660711612</v>
      </c>
      <c r="E153" s="91">
        <v>5.3681591449509707</v>
      </c>
      <c r="F153" s="91">
        <v>0.64155142259116271</v>
      </c>
      <c r="G153" s="91">
        <v>0.17032992987522946</v>
      </c>
      <c r="H153" s="91">
        <v>2.8129029845629701</v>
      </c>
      <c r="I153" s="91">
        <v>1.164319918175825</v>
      </c>
      <c r="J153" s="91">
        <v>5.0751853080450458</v>
      </c>
      <c r="K153" s="91">
        <v>9.964342801446687</v>
      </c>
      <c r="L153" s="91">
        <v>2.062587369194766</v>
      </c>
      <c r="M153" s="91">
        <v>0.3983765298999245</v>
      </c>
      <c r="N153" s="91">
        <v>18.454242333308557</v>
      </c>
      <c r="O153" s="91">
        <v>0.11832215323691869</v>
      </c>
      <c r="P153" s="87"/>
      <c r="Q153" s="87"/>
      <c r="R153" s="87"/>
      <c r="S153" s="87"/>
      <c r="T153" s="87"/>
      <c r="U153" s="87"/>
      <c r="V153" s="87"/>
      <c r="W153" s="87"/>
      <c r="X153" s="81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  <c r="AI153" s="81"/>
      <c r="AJ153" s="81"/>
      <c r="AK153" s="81"/>
      <c r="AL153" s="81"/>
      <c r="AM153" s="81"/>
      <c r="AN153" s="81"/>
      <c r="AO153" s="81"/>
      <c r="AP153" s="81"/>
      <c r="AQ153" s="81"/>
      <c r="AR153" s="81"/>
      <c r="AS153" s="81"/>
      <c r="AT153" s="81"/>
      <c r="AU153" s="81"/>
      <c r="AV153" s="81"/>
      <c r="AW153" s="81"/>
      <c r="AX153" s="81"/>
      <c r="AY153" s="81"/>
      <c r="AZ153" s="81"/>
      <c r="BA153" s="81"/>
      <c r="BB153" s="81"/>
      <c r="BC153" s="81"/>
      <c r="BD153" s="81"/>
      <c r="BE153" s="81"/>
      <c r="BF153" s="81"/>
      <c r="BG153" s="81"/>
      <c r="BH153" s="81"/>
      <c r="BI153" s="81"/>
      <c r="BJ153" s="81"/>
      <c r="BK153" s="81"/>
      <c r="BL153" s="81"/>
      <c r="BM153" s="81"/>
      <c r="BN153" s="81"/>
      <c r="BO153" s="81"/>
      <c r="BP153" s="81"/>
      <c r="BQ153" s="81"/>
      <c r="BR153" s="81"/>
      <c r="BS153" s="81"/>
      <c r="BT153" s="81"/>
      <c r="BU153" s="81"/>
      <c r="BV153" s="81"/>
      <c r="BW153" s="81"/>
      <c r="BX153" s="81"/>
      <c r="BY153" s="81"/>
      <c r="BZ153" s="81"/>
      <c r="CA153" s="81"/>
      <c r="CB153" s="81"/>
      <c r="CC153" s="81"/>
      <c r="CD153" s="81"/>
      <c r="CE153" s="81"/>
      <c r="CF153" s="81"/>
      <c r="CG153" s="81"/>
      <c r="CH153" s="81"/>
      <c r="CI153" s="81"/>
      <c r="CJ153" s="81"/>
      <c r="CK153" s="81"/>
      <c r="CL153" s="81"/>
      <c r="CM153" s="81"/>
      <c r="CN153" s="81"/>
      <c r="CO153" s="81"/>
      <c r="CP153" s="81"/>
      <c r="CQ153" s="81"/>
      <c r="CR153" s="81"/>
      <c r="CS153" s="81"/>
      <c r="CT153" s="81"/>
      <c r="CU153" s="81"/>
      <c r="CV153" s="81"/>
      <c r="CW153" s="81"/>
      <c r="CX153" s="81"/>
      <c r="CY153" s="81"/>
      <c r="CZ153" s="81"/>
      <c r="DA153" s="81"/>
      <c r="DB153" s="81"/>
      <c r="DC153" s="81"/>
      <c r="DD153" s="81"/>
      <c r="DE153" s="81"/>
      <c r="DF153" s="81"/>
      <c r="DG153" s="81"/>
      <c r="DH153" s="81"/>
      <c r="DI153" s="81"/>
      <c r="DJ153" s="81"/>
      <c r="DK153" s="81"/>
      <c r="DL153" s="81"/>
      <c r="DM153" s="81"/>
      <c r="DN153" s="81"/>
      <c r="DO153" s="81"/>
      <c r="DP153" s="81"/>
      <c r="DQ153" s="81"/>
      <c r="DR153" s="81"/>
      <c r="DS153" s="81"/>
      <c r="DT153" s="81"/>
      <c r="DU153" s="81"/>
      <c r="DV153" s="81"/>
      <c r="DW153" s="81"/>
      <c r="DX153" s="81"/>
      <c r="DY153" s="81"/>
      <c r="DZ153" s="81"/>
      <c r="EA153" s="81"/>
      <c r="EB153" s="81"/>
      <c r="EC153" s="81"/>
      <c r="ED153" s="81"/>
      <c r="EE153" s="81"/>
      <c r="EF153" s="81"/>
      <c r="EG153" s="81"/>
      <c r="EH153" s="81"/>
      <c r="EI153" s="81"/>
      <c r="EJ153" s="81"/>
      <c r="EK153" s="81"/>
      <c r="EL153" s="81"/>
      <c r="EM153" s="81"/>
      <c r="EN153" s="81"/>
      <c r="EO153" s="81"/>
      <c r="EP153" s="81"/>
      <c r="EQ153" s="81"/>
      <c r="ER153" s="81"/>
      <c r="ES153" s="81"/>
      <c r="ET153" s="81"/>
      <c r="EU153" s="81"/>
      <c r="EV153" s="81"/>
      <c r="EW153" s="81"/>
      <c r="EX153" s="81"/>
      <c r="EY153" s="81"/>
      <c r="EZ153" s="81"/>
      <c r="FA153" s="81"/>
      <c r="FB153" s="81"/>
      <c r="FC153" s="81"/>
      <c r="FD153" s="81"/>
      <c r="FE153" s="81"/>
      <c r="FF153" s="81"/>
      <c r="FG153" s="81"/>
      <c r="FH153" s="81"/>
      <c r="FI153" s="81"/>
      <c r="FJ153" s="81"/>
      <c r="FK153" s="81"/>
      <c r="FL153" s="81"/>
      <c r="FM153" s="81"/>
      <c r="FN153" s="81"/>
      <c r="FO153" s="81"/>
      <c r="FP153" s="81"/>
      <c r="FQ153" s="81"/>
      <c r="FR153" s="81"/>
      <c r="FS153" s="81"/>
      <c r="FT153" s="81"/>
      <c r="FU153" s="81"/>
      <c r="FV153" s="81">
        <v>67.115166078759387</v>
      </c>
      <c r="FW153" s="81"/>
      <c r="FX153" s="86"/>
      <c r="FY153" s="81"/>
      <c r="FZ153" s="81"/>
      <c r="GA153" s="81"/>
      <c r="GB153" s="81"/>
      <c r="GC153" s="81"/>
      <c r="GD153" s="81"/>
      <c r="GE153" s="81"/>
      <c r="GF153" s="81"/>
      <c r="GG153" s="81"/>
      <c r="GH153" s="81"/>
    </row>
    <row r="154" spans="1:190" x14ac:dyDescent="0.2">
      <c r="A154" s="82" t="s">
        <v>365</v>
      </c>
      <c r="B154" s="81">
        <v>17.172042107889045</v>
      </c>
      <c r="C154" s="81">
        <v>2.1405584922644101</v>
      </c>
      <c r="D154" s="81">
        <v>7.4665666806468147</v>
      </c>
      <c r="E154" s="81">
        <v>4.5214083083054994</v>
      </c>
      <c r="F154" s="81">
        <v>0.53338073061937852</v>
      </c>
      <c r="G154" s="81">
        <v>0.36666475264653486</v>
      </c>
      <c r="H154" s="81">
        <v>6.1034973516625541</v>
      </c>
      <c r="I154" s="81">
        <v>1.6734484756685899</v>
      </c>
      <c r="J154" s="81">
        <v>10.112819584790168</v>
      </c>
      <c r="K154" s="81">
        <v>20.670014200583882</v>
      </c>
      <c r="L154" s="81">
        <v>4.4710858204739035</v>
      </c>
      <c r="M154" s="81">
        <v>0.46229896064898846</v>
      </c>
      <c r="N154" s="81">
        <v>31.693489034044934</v>
      </c>
      <c r="O154" s="81">
        <v>0.25421046728591912</v>
      </c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  <c r="AI154" s="81"/>
      <c r="AJ154" s="81"/>
      <c r="AK154" s="81"/>
      <c r="AL154" s="81"/>
      <c r="AM154" s="81"/>
      <c r="AN154" s="81"/>
      <c r="AO154" s="81"/>
      <c r="AP154" s="81"/>
      <c r="AQ154" s="81"/>
      <c r="AR154" s="81"/>
      <c r="AS154" s="81"/>
      <c r="AT154" s="81"/>
      <c r="AU154" s="81"/>
      <c r="AV154" s="81"/>
      <c r="AW154" s="81"/>
      <c r="AX154" s="81"/>
      <c r="AY154" s="81"/>
      <c r="AZ154" s="81"/>
      <c r="BA154" s="81"/>
      <c r="BB154" s="81"/>
      <c r="BC154" s="81"/>
      <c r="BD154" s="81"/>
      <c r="BE154" s="81"/>
      <c r="BF154" s="81"/>
      <c r="BG154" s="81"/>
      <c r="BH154" s="81"/>
      <c r="BI154" s="81"/>
      <c r="BJ154" s="81"/>
      <c r="BK154" s="81"/>
      <c r="BL154" s="81"/>
      <c r="BM154" s="81"/>
      <c r="BN154" s="81"/>
      <c r="BO154" s="81"/>
      <c r="BP154" s="81"/>
      <c r="BQ154" s="81"/>
      <c r="BR154" s="81"/>
      <c r="BS154" s="81"/>
      <c r="BT154" s="81"/>
      <c r="BU154" s="81"/>
      <c r="BV154" s="81"/>
      <c r="BW154" s="81"/>
      <c r="BX154" s="81"/>
      <c r="BY154" s="81"/>
      <c r="BZ154" s="81"/>
      <c r="CA154" s="81"/>
      <c r="CB154" s="81"/>
      <c r="CC154" s="81"/>
      <c r="CD154" s="81"/>
      <c r="CE154" s="81"/>
      <c r="CF154" s="81"/>
      <c r="CG154" s="81"/>
      <c r="CH154" s="81"/>
      <c r="CI154" s="81"/>
      <c r="CJ154" s="81"/>
      <c r="CK154" s="81"/>
      <c r="CL154" s="81"/>
      <c r="CM154" s="81"/>
      <c r="CN154" s="81"/>
      <c r="CO154" s="81"/>
      <c r="CP154" s="81"/>
      <c r="CQ154" s="81"/>
      <c r="CR154" s="81"/>
      <c r="CS154" s="81"/>
      <c r="CT154" s="81"/>
      <c r="CU154" s="81"/>
      <c r="CV154" s="81"/>
      <c r="CW154" s="81"/>
      <c r="CX154" s="81"/>
      <c r="CY154" s="81"/>
      <c r="CZ154" s="81"/>
      <c r="DA154" s="81"/>
      <c r="DB154" s="81"/>
      <c r="DC154" s="81"/>
      <c r="DD154" s="81"/>
      <c r="DE154" s="81"/>
      <c r="DF154" s="81"/>
      <c r="DG154" s="81"/>
      <c r="DH154" s="81"/>
      <c r="DI154" s="81"/>
      <c r="DJ154" s="81"/>
      <c r="DK154" s="81"/>
      <c r="DL154" s="81"/>
      <c r="DM154" s="81"/>
      <c r="DN154" s="81"/>
      <c r="DO154" s="81"/>
      <c r="DP154" s="81"/>
      <c r="DQ154" s="81"/>
      <c r="DR154" s="81"/>
      <c r="DS154" s="81"/>
      <c r="DT154" s="81"/>
      <c r="DU154" s="81"/>
      <c r="DV154" s="81"/>
      <c r="DW154" s="81"/>
      <c r="DX154" s="81"/>
      <c r="DY154" s="81"/>
      <c r="DZ154" s="81"/>
      <c r="EA154" s="81"/>
      <c r="EB154" s="81"/>
      <c r="EC154" s="81"/>
      <c r="ED154" s="81"/>
      <c r="EE154" s="81"/>
      <c r="EF154" s="81"/>
      <c r="EG154" s="81"/>
      <c r="EH154" s="81"/>
      <c r="EI154" s="81"/>
      <c r="EJ154" s="81"/>
      <c r="EK154" s="81"/>
      <c r="EL154" s="81"/>
      <c r="EM154" s="81"/>
      <c r="EN154" s="81"/>
      <c r="EO154" s="81"/>
      <c r="EP154" s="81"/>
      <c r="EQ154" s="81"/>
      <c r="ER154" s="81"/>
      <c r="ES154" s="81"/>
      <c r="ET154" s="81"/>
      <c r="EU154" s="81"/>
      <c r="EV154" s="81"/>
      <c r="EW154" s="81"/>
      <c r="EX154" s="81"/>
      <c r="EY154" s="81"/>
      <c r="EZ154" s="81"/>
      <c r="FA154" s="81"/>
      <c r="FB154" s="81"/>
      <c r="FC154" s="81"/>
      <c r="FD154" s="81"/>
      <c r="FE154" s="81"/>
      <c r="FF154" s="81"/>
      <c r="FG154" s="81"/>
      <c r="FH154" s="81"/>
      <c r="FI154" s="81"/>
      <c r="FJ154" s="81"/>
      <c r="FK154" s="81"/>
      <c r="FL154" s="81"/>
      <c r="FM154" s="81"/>
      <c r="FN154" s="81"/>
      <c r="FO154" s="81"/>
      <c r="FP154" s="81"/>
      <c r="FQ154" s="81"/>
      <c r="FR154" s="81"/>
      <c r="FS154" s="81"/>
      <c r="FT154" s="81"/>
      <c r="FU154" s="81"/>
      <c r="FV154" s="81">
        <v>107.64148496753062</v>
      </c>
      <c r="FW154" s="81"/>
      <c r="FX154" s="86"/>
      <c r="FY154" s="81"/>
      <c r="FZ154" s="81"/>
      <c r="GA154" s="81"/>
      <c r="GB154" s="81"/>
      <c r="GC154" s="81"/>
      <c r="GD154" s="81"/>
      <c r="GE154" s="81"/>
      <c r="GF154" s="81"/>
      <c r="GG154" s="81"/>
      <c r="GH154" s="81"/>
    </row>
    <row r="155" spans="1:190" x14ac:dyDescent="0.2">
      <c r="A155" s="82" t="s">
        <v>366</v>
      </c>
      <c r="B155" s="81"/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>
        <v>91.838487646691348</v>
      </c>
      <c r="Q155" s="81">
        <v>23.9281812229843</v>
      </c>
      <c r="R155" s="81">
        <v>38.952981615906999</v>
      </c>
      <c r="S155" s="81">
        <v>3.2046755881152635</v>
      </c>
      <c r="T155" s="81">
        <v>12.796187553731736</v>
      </c>
      <c r="U155" s="81"/>
      <c r="V155" s="81"/>
      <c r="W155" s="81"/>
      <c r="X155" s="81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  <c r="AI155" s="81"/>
      <c r="AJ155" s="81"/>
      <c r="AK155" s="81"/>
      <c r="AL155" s="81"/>
      <c r="AM155" s="81"/>
      <c r="AN155" s="81"/>
      <c r="AO155" s="81"/>
      <c r="AP155" s="81"/>
      <c r="AQ155" s="81"/>
      <c r="AR155" s="81"/>
      <c r="AS155" s="81"/>
      <c r="AT155" s="81"/>
      <c r="AU155" s="81"/>
      <c r="AV155" s="81"/>
      <c r="AW155" s="81"/>
      <c r="AX155" s="81"/>
      <c r="AY155" s="81"/>
      <c r="AZ155" s="81"/>
      <c r="BA155" s="81"/>
      <c r="BB155" s="81"/>
      <c r="BC155" s="81"/>
      <c r="BD155" s="81"/>
      <c r="BE155" s="81"/>
      <c r="BF155" s="81"/>
      <c r="BG155" s="81"/>
      <c r="BH155" s="81"/>
      <c r="BI155" s="81"/>
      <c r="BJ155" s="81"/>
      <c r="BK155" s="81"/>
      <c r="BL155" s="81"/>
      <c r="BM155" s="81"/>
      <c r="BN155" s="81"/>
      <c r="BO155" s="81"/>
      <c r="BP155" s="81"/>
      <c r="BQ155" s="81"/>
      <c r="BR155" s="81"/>
      <c r="BS155" s="81"/>
      <c r="BT155" s="81"/>
      <c r="BU155" s="81"/>
      <c r="BV155" s="81"/>
      <c r="BW155" s="81"/>
      <c r="BX155" s="81"/>
      <c r="BY155" s="81"/>
      <c r="BZ155" s="81"/>
      <c r="CA155" s="81"/>
      <c r="CB155" s="81"/>
      <c r="CC155" s="81"/>
      <c r="CD155" s="81"/>
      <c r="CE155" s="81"/>
      <c r="CF155" s="81"/>
      <c r="CG155" s="81"/>
      <c r="CH155" s="81"/>
      <c r="CI155" s="81"/>
      <c r="CJ155" s="81"/>
      <c r="CK155" s="81"/>
      <c r="CL155" s="81"/>
      <c r="CM155" s="81"/>
      <c r="CN155" s="81"/>
      <c r="CO155" s="81"/>
      <c r="CP155" s="81"/>
      <c r="CQ155" s="81"/>
      <c r="CR155" s="81"/>
      <c r="CS155" s="81"/>
      <c r="CT155" s="81"/>
      <c r="CU155" s="81"/>
      <c r="CV155" s="81"/>
      <c r="CW155" s="81"/>
      <c r="CX155" s="81"/>
      <c r="CY155" s="81"/>
      <c r="CZ155" s="81"/>
      <c r="DA155" s="81"/>
      <c r="DB155" s="81"/>
      <c r="DC155" s="81"/>
      <c r="DD155" s="81"/>
      <c r="DE155" s="81"/>
      <c r="DF155" s="81"/>
      <c r="DG155" s="81"/>
      <c r="DH155" s="81"/>
      <c r="DI155" s="81"/>
      <c r="DJ155" s="81"/>
      <c r="DK155" s="81"/>
      <c r="DL155" s="81"/>
      <c r="DM155" s="81"/>
      <c r="DN155" s="81"/>
      <c r="DO155" s="81"/>
      <c r="DP155" s="81"/>
      <c r="DQ155" s="81"/>
      <c r="DR155" s="81"/>
      <c r="DS155" s="81"/>
      <c r="DT155" s="81"/>
      <c r="DU155" s="81"/>
      <c r="DV155" s="81"/>
      <c r="DW155" s="81"/>
      <c r="DX155" s="81"/>
      <c r="DY155" s="81"/>
      <c r="DZ155" s="81"/>
      <c r="EA155" s="81"/>
      <c r="EB155" s="81"/>
      <c r="EC155" s="81"/>
      <c r="ED155" s="81"/>
      <c r="EE155" s="81"/>
      <c r="EF155" s="81"/>
      <c r="EG155" s="81"/>
      <c r="EH155" s="81"/>
      <c r="EI155" s="81"/>
      <c r="EJ155" s="81"/>
      <c r="EK155" s="81"/>
      <c r="EL155" s="81"/>
      <c r="EM155" s="81"/>
      <c r="EN155" s="81"/>
      <c r="EO155" s="81"/>
      <c r="EP155" s="81"/>
      <c r="EQ155" s="81"/>
      <c r="ER155" s="81"/>
      <c r="ES155" s="81"/>
      <c r="ET155" s="81"/>
      <c r="EU155" s="81"/>
      <c r="EV155" s="81"/>
      <c r="EW155" s="81"/>
      <c r="EX155" s="81"/>
      <c r="EY155" s="81"/>
      <c r="EZ155" s="81"/>
      <c r="FA155" s="81"/>
      <c r="FB155" s="81"/>
      <c r="FC155" s="81"/>
      <c r="FD155" s="81"/>
      <c r="FE155" s="81"/>
      <c r="FF155" s="81"/>
      <c r="FG155" s="81"/>
      <c r="FH155" s="81"/>
      <c r="FI155" s="81"/>
      <c r="FJ155" s="81"/>
      <c r="FK155" s="81"/>
      <c r="FL155" s="81"/>
      <c r="FM155" s="81"/>
      <c r="FN155" s="81"/>
      <c r="FO155" s="81"/>
      <c r="FP155" s="81"/>
      <c r="FQ155" s="81"/>
      <c r="FR155" s="81"/>
      <c r="FS155" s="81"/>
      <c r="FT155" s="81"/>
      <c r="FU155" s="81"/>
      <c r="FV155" s="81">
        <v>170.72051362742963</v>
      </c>
      <c r="FW155" s="81"/>
      <c r="FX155" s="86"/>
      <c r="FY155" s="81"/>
      <c r="FZ155" s="81"/>
      <c r="GA155" s="81"/>
      <c r="GB155" s="81"/>
      <c r="GC155" s="81"/>
      <c r="GD155" s="81"/>
      <c r="GE155" s="81"/>
      <c r="GF155" s="81"/>
      <c r="GG155" s="81"/>
      <c r="GH155" s="81"/>
    </row>
    <row r="156" spans="1:190" x14ac:dyDescent="0.2">
      <c r="A156" s="82" t="s">
        <v>367</v>
      </c>
      <c r="B156" s="81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>
        <v>237.02975015495463</v>
      </c>
      <c r="X156" s="81">
        <v>149.23716801673129</v>
      </c>
      <c r="Y156" s="81">
        <v>48.915793345294375</v>
      </c>
      <c r="Z156" s="81"/>
      <c r="AA156" s="81"/>
      <c r="AB156" s="81"/>
      <c r="AC156" s="81"/>
      <c r="AD156" s="81"/>
      <c r="AE156" s="81"/>
      <c r="AF156" s="81"/>
      <c r="AG156" s="81"/>
      <c r="AH156" s="81"/>
      <c r="AI156" s="81"/>
      <c r="AJ156" s="81"/>
      <c r="AK156" s="81"/>
      <c r="AL156" s="81"/>
      <c r="AM156" s="81"/>
      <c r="AN156" s="81"/>
      <c r="AO156" s="81"/>
      <c r="AP156" s="81"/>
      <c r="AQ156" s="81"/>
      <c r="AR156" s="81"/>
      <c r="AS156" s="81"/>
      <c r="AT156" s="81"/>
      <c r="AU156" s="81"/>
      <c r="AV156" s="81"/>
      <c r="AW156" s="81"/>
      <c r="AX156" s="81"/>
      <c r="AY156" s="81"/>
      <c r="AZ156" s="81"/>
      <c r="BA156" s="81"/>
      <c r="BB156" s="81"/>
      <c r="BC156" s="81"/>
      <c r="BD156" s="81"/>
      <c r="BE156" s="81"/>
      <c r="BF156" s="81"/>
      <c r="BG156" s="81"/>
      <c r="BH156" s="81"/>
      <c r="BI156" s="81"/>
      <c r="BJ156" s="81"/>
      <c r="BK156" s="81"/>
      <c r="BL156" s="81"/>
      <c r="BM156" s="81"/>
      <c r="BN156" s="81"/>
      <c r="BO156" s="81"/>
      <c r="BP156" s="81"/>
      <c r="BQ156" s="81"/>
      <c r="BR156" s="81"/>
      <c r="BS156" s="81"/>
      <c r="BT156" s="81"/>
      <c r="BU156" s="81"/>
      <c r="BV156" s="81"/>
      <c r="BW156" s="81"/>
      <c r="BX156" s="81"/>
      <c r="BY156" s="81"/>
      <c r="BZ156" s="81"/>
      <c r="CA156" s="81"/>
      <c r="CB156" s="81"/>
      <c r="CC156" s="81"/>
      <c r="CD156" s="81"/>
      <c r="CE156" s="81"/>
      <c r="CF156" s="81"/>
      <c r="CG156" s="81"/>
      <c r="CH156" s="81"/>
      <c r="CI156" s="81"/>
      <c r="CJ156" s="81"/>
      <c r="CK156" s="81"/>
      <c r="CL156" s="81"/>
      <c r="CM156" s="81"/>
      <c r="CN156" s="81"/>
      <c r="CO156" s="81"/>
      <c r="CP156" s="81"/>
      <c r="CQ156" s="81"/>
      <c r="CR156" s="81"/>
      <c r="CS156" s="81"/>
      <c r="CT156" s="81"/>
      <c r="CU156" s="81"/>
      <c r="CV156" s="81"/>
      <c r="CW156" s="81"/>
      <c r="CX156" s="81"/>
      <c r="CY156" s="81"/>
      <c r="CZ156" s="81"/>
      <c r="DA156" s="81"/>
      <c r="DB156" s="81"/>
      <c r="DC156" s="81"/>
      <c r="DD156" s="81"/>
      <c r="DE156" s="81"/>
      <c r="DF156" s="81"/>
      <c r="DG156" s="81"/>
      <c r="DH156" s="81"/>
      <c r="DI156" s="81"/>
      <c r="DJ156" s="81"/>
      <c r="DK156" s="81"/>
      <c r="DL156" s="81"/>
      <c r="DM156" s="81"/>
      <c r="DN156" s="81"/>
      <c r="DO156" s="81"/>
      <c r="DP156" s="81"/>
      <c r="DQ156" s="81"/>
      <c r="DR156" s="81"/>
      <c r="DS156" s="81"/>
      <c r="DT156" s="81"/>
      <c r="DU156" s="81"/>
      <c r="DV156" s="81"/>
      <c r="DW156" s="81"/>
      <c r="DX156" s="81"/>
      <c r="DY156" s="81"/>
      <c r="DZ156" s="81"/>
      <c r="EA156" s="81"/>
      <c r="EB156" s="81"/>
      <c r="EC156" s="81"/>
      <c r="ED156" s="81"/>
      <c r="EE156" s="81"/>
      <c r="EF156" s="81"/>
      <c r="EG156" s="81"/>
      <c r="EH156" s="81"/>
      <c r="EI156" s="81"/>
      <c r="EJ156" s="81"/>
      <c r="EK156" s="81"/>
      <c r="EL156" s="81"/>
      <c r="EM156" s="81"/>
      <c r="EN156" s="81"/>
      <c r="EO156" s="81"/>
      <c r="EP156" s="81"/>
      <c r="EQ156" s="81"/>
      <c r="ER156" s="81"/>
      <c r="ES156" s="81"/>
      <c r="ET156" s="81"/>
      <c r="EU156" s="81"/>
      <c r="EV156" s="81"/>
      <c r="EW156" s="81"/>
      <c r="EX156" s="81"/>
      <c r="EY156" s="81"/>
      <c r="EZ156" s="81"/>
      <c r="FA156" s="81"/>
      <c r="FB156" s="81"/>
      <c r="FC156" s="81"/>
      <c r="FD156" s="81"/>
      <c r="FE156" s="81"/>
      <c r="FF156" s="81"/>
      <c r="FG156" s="81"/>
      <c r="FH156" s="81"/>
      <c r="FI156" s="81"/>
      <c r="FJ156" s="81"/>
      <c r="FK156" s="81"/>
      <c r="FL156" s="81"/>
      <c r="FM156" s="81"/>
      <c r="FN156" s="81"/>
      <c r="FO156" s="81"/>
      <c r="FP156" s="81"/>
      <c r="FQ156" s="81"/>
      <c r="FR156" s="81"/>
      <c r="FS156" s="81"/>
      <c r="FT156" s="81"/>
      <c r="FU156" s="81"/>
      <c r="FV156" s="81">
        <v>435.18271151698031</v>
      </c>
      <c r="FW156" s="81"/>
      <c r="FX156" s="86"/>
      <c r="FY156" s="81"/>
      <c r="FZ156" s="81"/>
      <c r="GA156" s="81"/>
      <c r="GB156" s="81"/>
      <c r="GC156" s="81"/>
      <c r="GD156" s="81"/>
      <c r="GE156" s="81"/>
      <c r="GF156" s="81"/>
      <c r="GG156" s="81"/>
      <c r="GH156" s="81"/>
    </row>
    <row r="157" spans="1:190" x14ac:dyDescent="0.2">
      <c r="A157" s="82" t="s">
        <v>368</v>
      </c>
      <c r="B157" s="81"/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>
        <v>0.85258076163727659</v>
      </c>
      <c r="V157" s="81">
        <v>46.61969744348368</v>
      </c>
      <c r="W157" s="81"/>
      <c r="X157" s="81"/>
      <c r="Y157" s="81"/>
      <c r="Z157" s="81">
        <v>4.5194326777891654</v>
      </c>
      <c r="AA157" s="81">
        <v>0.30749375549841457</v>
      </c>
      <c r="AB157" s="81">
        <v>12.46432705862828</v>
      </c>
      <c r="AC157" s="81">
        <v>10.720202202336905</v>
      </c>
      <c r="AD157" s="81">
        <v>10.531767988670675</v>
      </c>
      <c r="AE157" s="81">
        <v>1.7378045330606191</v>
      </c>
      <c r="AF157" s="81">
        <v>0.18374206403909915</v>
      </c>
      <c r="AG157" s="81">
        <v>1.5329598379757139</v>
      </c>
      <c r="AH157" s="81">
        <v>2.0371823328907075</v>
      </c>
      <c r="AI157" s="81">
        <v>1.2152222781422906</v>
      </c>
      <c r="AJ157" s="81">
        <v>15.972713395843304</v>
      </c>
      <c r="AK157" s="81">
        <v>58.867948810370443</v>
      </c>
      <c r="AL157" s="81">
        <v>12.476649205354253</v>
      </c>
      <c r="AM157" s="81">
        <v>4.5147968702850294</v>
      </c>
      <c r="AN157" s="81">
        <v>4.4634195361386944</v>
      </c>
      <c r="AO157" s="81">
        <v>1.5104112930512954</v>
      </c>
      <c r="AP157" s="81">
        <v>10.078120628160455</v>
      </c>
      <c r="AQ157" s="81">
        <v>13.008086189300707</v>
      </c>
      <c r="AR157" s="81">
        <v>5.5771012148403623</v>
      </c>
      <c r="AS157" s="81">
        <v>4.1087584467078662</v>
      </c>
      <c r="AT157" s="81">
        <v>9.6206886273766994</v>
      </c>
      <c r="AU157" s="81">
        <v>196.25394544080058</v>
      </c>
      <c r="AV157" s="81">
        <v>11.052356925880996</v>
      </c>
      <c r="AW157" s="81">
        <v>154.02804724746147</v>
      </c>
      <c r="AX157" s="81">
        <v>65.055872158923435</v>
      </c>
      <c r="AY157" s="81">
        <v>67.531474354541587</v>
      </c>
      <c r="AZ157" s="81">
        <v>13.672998704074068</v>
      </c>
      <c r="BA157" s="81">
        <v>11.356663329646658</v>
      </c>
      <c r="BB157" s="81">
        <v>1.4330830879756713</v>
      </c>
      <c r="BC157" s="81">
        <v>34.470697335617793</v>
      </c>
      <c r="BD157" s="81">
        <v>71.013707353671862</v>
      </c>
      <c r="BE157" s="81">
        <v>14.283554369339754</v>
      </c>
      <c r="BF157" s="81">
        <v>171.22717653622541</v>
      </c>
      <c r="BG157" s="81">
        <v>486.73801109965558</v>
      </c>
      <c r="BH157" s="81">
        <v>158.03081426148168</v>
      </c>
      <c r="BI157" s="81">
        <v>38.206853894986672</v>
      </c>
      <c r="BJ157" s="81">
        <v>71.3549926703555</v>
      </c>
      <c r="BK157" s="81">
        <v>55.714655068885065</v>
      </c>
      <c r="BL157" s="81">
        <v>72.874330101196051</v>
      </c>
      <c r="BM157" s="81">
        <v>253.34802740703026</v>
      </c>
      <c r="BN157" s="81">
        <v>110.82092695420292</v>
      </c>
      <c r="BO157" s="81">
        <v>35.387808046428816</v>
      </c>
      <c r="BP157" s="81">
        <v>43.685238170764919</v>
      </c>
      <c r="BQ157" s="81">
        <v>70.969710456275322</v>
      </c>
      <c r="BR157" s="81">
        <v>84.556155262615675</v>
      </c>
      <c r="BS157" s="81"/>
      <c r="BT157" s="81"/>
      <c r="BU157" s="81"/>
      <c r="BV157" s="81"/>
      <c r="BW157" s="81"/>
      <c r="BX157" s="81"/>
      <c r="BY157" s="81"/>
      <c r="BZ157" s="81"/>
      <c r="CA157" s="81"/>
      <c r="CB157" s="81"/>
      <c r="CC157" s="81"/>
      <c r="CD157" s="81"/>
      <c r="CE157" s="81"/>
      <c r="CF157" s="81"/>
      <c r="CG157" s="81"/>
      <c r="CH157" s="81"/>
      <c r="CI157" s="81"/>
      <c r="CJ157" s="81"/>
      <c r="CK157" s="81"/>
      <c r="CL157" s="81"/>
      <c r="CM157" s="81"/>
      <c r="CN157" s="81"/>
      <c r="CO157" s="81"/>
      <c r="CP157" s="81"/>
      <c r="CQ157" s="81"/>
      <c r="CR157" s="81"/>
      <c r="CS157" s="81"/>
      <c r="CT157" s="81"/>
      <c r="CU157" s="81"/>
      <c r="CV157" s="81"/>
      <c r="CW157" s="81"/>
      <c r="CX157" s="81"/>
      <c r="CY157" s="81"/>
      <c r="CZ157" s="81"/>
      <c r="DA157" s="81"/>
      <c r="DB157" s="81"/>
      <c r="DC157" s="81"/>
      <c r="DD157" s="81"/>
      <c r="DE157" s="81"/>
      <c r="DF157" s="81"/>
      <c r="DG157" s="81"/>
      <c r="DH157" s="81"/>
      <c r="DI157" s="81"/>
      <c r="DJ157" s="81"/>
      <c r="DK157" s="81"/>
      <c r="DL157" s="81"/>
      <c r="DM157" s="81"/>
      <c r="DN157" s="81"/>
      <c r="DO157" s="81"/>
      <c r="DP157" s="81"/>
      <c r="DQ157" s="81"/>
      <c r="DR157" s="81"/>
      <c r="DS157" s="81"/>
      <c r="DT157" s="81"/>
      <c r="DU157" s="81"/>
      <c r="DV157" s="81"/>
      <c r="DW157" s="81"/>
      <c r="DX157" s="81"/>
      <c r="DY157" s="81"/>
      <c r="DZ157" s="81"/>
      <c r="EA157" s="81"/>
      <c r="EB157" s="81"/>
      <c r="EC157" s="81"/>
      <c r="ED157" s="81"/>
      <c r="EE157" s="81"/>
      <c r="EF157" s="81"/>
      <c r="EG157" s="81"/>
      <c r="EH157" s="81"/>
      <c r="EI157" s="81"/>
      <c r="EJ157" s="81"/>
      <c r="EK157" s="81"/>
      <c r="EL157" s="81"/>
      <c r="EM157" s="81"/>
      <c r="EN157" s="81"/>
      <c r="EO157" s="81"/>
      <c r="EP157" s="81"/>
      <c r="EQ157" s="81"/>
      <c r="ER157" s="81"/>
      <c r="ES157" s="81"/>
      <c r="ET157" s="81"/>
      <c r="EU157" s="81"/>
      <c r="EV157" s="81"/>
      <c r="EW157" s="81"/>
      <c r="EX157" s="81"/>
      <c r="EY157" s="81"/>
      <c r="EZ157" s="81"/>
      <c r="FA157" s="81"/>
      <c r="FB157" s="81"/>
      <c r="FC157" s="81"/>
      <c r="FD157" s="81"/>
      <c r="FE157" s="81"/>
      <c r="FF157" s="81"/>
      <c r="FG157" s="81"/>
      <c r="FH157" s="81"/>
      <c r="FI157" s="81"/>
      <c r="FJ157" s="81"/>
      <c r="FK157" s="81"/>
      <c r="FL157" s="81"/>
      <c r="FM157" s="81"/>
      <c r="FN157" s="81"/>
      <c r="FO157" s="81"/>
      <c r="FP157" s="81"/>
      <c r="FQ157" s="81"/>
      <c r="FR157" s="81"/>
      <c r="FS157" s="81"/>
      <c r="FT157" s="81"/>
      <c r="FU157" s="81">
        <v>17.765338453767914</v>
      </c>
      <c r="FV157" s="81">
        <v>2543.7535458433877</v>
      </c>
      <c r="FW157" s="81"/>
      <c r="FX157" s="86"/>
      <c r="FY157" s="81"/>
      <c r="FZ157" s="81"/>
      <c r="GA157" s="81"/>
      <c r="GB157" s="81"/>
      <c r="GC157" s="81"/>
      <c r="GD157" s="81"/>
      <c r="GE157" s="81"/>
      <c r="GF157" s="81"/>
      <c r="GG157" s="81"/>
      <c r="GH157" s="81"/>
    </row>
    <row r="158" spans="1:190" x14ac:dyDescent="0.2">
      <c r="A158" s="82" t="s">
        <v>369</v>
      </c>
      <c r="B158" s="81"/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  <c r="AI158" s="81"/>
      <c r="AJ158" s="81"/>
      <c r="AK158" s="81"/>
      <c r="AL158" s="81"/>
      <c r="AM158" s="81"/>
      <c r="AN158" s="81"/>
      <c r="AO158" s="81"/>
      <c r="AP158" s="81"/>
      <c r="AQ158" s="81"/>
      <c r="AR158" s="81"/>
      <c r="AS158" s="81"/>
      <c r="AT158" s="81"/>
      <c r="AU158" s="81"/>
      <c r="AV158" s="81"/>
      <c r="AW158" s="81"/>
      <c r="AX158" s="81"/>
      <c r="AY158" s="81"/>
      <c r="AZ158" s="81"/>
      <c r="BA158" s="81"/>
      <c r="BB158" s="81"/>
      <c r="BC158" s="81"/>
      <c r="BD158" s="81"/>
      <c r="BE158" s="81"/>
      <c r="BF158" s="81"/>
      <c r="BG158" s="81"/>
      <c r="BH158" s="81"/>
      <c r="BI158" s="81"/>
      <c r="BJ158" s="81"/>
      <c r="BK158" s="81"/>
      <c r="BL158" s="81"/>
      <c r="BM158" s="81"/>
      <c r="BN158" s="81"/>
      <c r="BO158" s="81"/>
      <c r="BP158" s="81"/>
      <c r="BQ158" s="81"/>
      <c r="BR158" s="81"/>
      <c r="BS158" s="81"/>
      <c r="BT158" s="81"/>
      <c r="BU158" s="81"/>
      <c r="BV158" s="81"/>
      <c r="BW158" s="81"/>
      <c r="BX158" s="81"/>
      <c r="BY158" s="81"/>
      <c r="BZ158" s="81"/>
      <c r="CA158" s="81"/>
      <c r="CB158" s="81"/>
      <c r="CC158" s="81"/>
      <c r="CD158" s="81"/>
      <c r="CE158" s="81"/>
      <c r="CF158" s="81"/>
      <c r="CG158" s="81"/>
      <c r="CH158" s="81"/>
      <c r="CI158" s="81"/>
      <c r="CJ158" s="81"/>
      <c r="CK158" s="81"/>
      <c r="CL158" s="81"/>
      <c r="CM158" s="81"/>
      <c r="CN158" s="81"/>
      <c r="CO158" s="81"/>
      <c r="CP158" s="81"/>
      <c r="CQ158" s="81"/>
      <c r="CR158" s="81"/>
      <c r="CS158" s="81"/>
      <c r="CT158" s="81"/>
      <c r="CU158" s="81"/>
      <c r="CV158" s="81"/>
      <c r="CW158" s="81"/>
      <c r="CX158" s="81"/>
      <c r="CY158" s="81"/>
      <c r="CZ158" s="81"/>
      <c r="DA158" s="81"/>
      <c r="DB158" s="81"/>
      <c r="DC158" s="81"/>
      <c r="DD158" s="81"/>
      <c r="DE158" s="81"/>
      <c r="DF158" s="81"/>
      <c r="DG158" s="81"/>
      <c r="DH158" s="81"/>
      <c r="DI158" s="81"/>
      <c r="DJ158" s="81"/>
      <c r="DK158" s="81"/>
      <c r="DL158" s="81"/>
      <c r="DM158" s="81"/>
      <c r="DN158" s="81"/>
      <c r="DO158" s="81"/>
      <c r="DP158" s="81"/>
      <c r="DQ158" s="81"/>
      <c r="DR158" s="81"/>
      <c r="DS158" s="81"/>
      <c r="DT158" s="81"/>
      <c r="DU158" s="81"/>
      <c r="DV158" s="81"/>
      <c r="DW158" s="81"/>
      <c r="DX158" s="81"/>
      <c r="DY158" s="81"/>
      <c r="DZ158" s="81"/>
      <c r="EA158" s="81"/>
      <c r="EB158" s="81"/>
      <c r="EC158" s="81"/>
      <c r="ED158" s="81"/>
      <c r="EE158" s="81"/>
      <c r="EF158" s="81"/>
      <c r="EG158" s="81"/>
      <c r="EH158" s="81"/>
      <c r="EI158" s="81"/>
      <c r="EJ158" s="81"/>
      <c r="EK158" s="81"/>
      <c r="EL158" s="81"/>
      <c r="EM158" s="81" t="s">
        <v>463</v>
      </c>
      <c r="EN158" s="81" t="s">
        <v>464</v>
      </c>
      <c r="EO158" s="81" t="s">
        <v>465</v>
      </c>
      <c r="EP158" s="81"/>
      <c r="EQ158" s="81"/>
      <c r="ER158" s="81"/>
      <c r="ES158" s="81"/>
      <c r="ET158" s="81"/>
      <c r="EU158" s="81"/>
      <c r="EV158" s="81"/>
      <c r="EW158" s="81"/>
      <c r="EX158" s="81"/>
      <c r="EY158" s="81"/>
      <c r="EZ158" s="81">
        <v>219.47586919459229</v>
      </c>
      <c r="FA158" s="81">
        <v>2543.7535458433877</v>
      </c>
      <c r="FB158" s="81"/>
      <c r="FC158" s="81"/>
      <c r="FD158" s="81"/>
      <c r="FE158" s="81"/>
      <c r="FF158" s="81"/>
      <c r="FG158" s="81"/>
      <c r="FH158" s="81"/>
      <c r="FI158" s="81"/>
      <c r="FJ158" s="81"/>
      <c r="FK158" s="81"/>
      <c r="FL158" s="81"/>
      <c r="FM158" s="81">
        <v>542.93536475799135</v>
      </c>
      <c r="FN158" s="81"/>
      <c r="FO158" s="81"/>
      <c r="FP158" s="81"/>
      <c r="FQ158" s="81"/>
      <c r="FR158" s="81"/>
      <c r="FS158" s="81"/>
      <c r="FT158" s="81"/>
      <c r="FU158" s="81">
        <v>2.8442670535068086</v>
      </c>
      <c r="FV158" s="81">
        <v>3309.0090468494782</v>
      </c>
      <c r="FW158" s="81"/>
      <c r="FX158" s="86"/>
      <c r="FY158" s="81"/>
      <c r="FZ158" s="81"/>
      <c r="GA158" s="81"/>
      <c r="GB158" s="81"/>
      <c r="GC158" s="81"/>
      <c r="GD158" s="81"/>
      <c r="GE158" s="81"/>
      <c r="GF158" s="81"/>
      <c r="GG158" s="81"/>
      <c r="GH158" s="81"/>
    </row>
    <row r="159" spans="1:190" ht="16" x14ac:dyDescent="0.2">
      <c r="A159" s="84" t="s">
        <v>370</v>
      </c>
      <c r="B159" s="81"/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  <c r="AI159" s="81"/>
      <c r="AJ159" s="81"/>
      <c r="AK159" s="81"/>
      <c r="AL159" s="81"/>
      <c r="AM159" s="81"/>
      <c r="AN159" s="81"/>
      <c r="AO159" s="81"/>
      <c r="AP159" s="81"/>
      <c r="AQ159" s="81"/>
      <c r="AR159" s="81"/>
      <c r="AS159" s="81"/>
      <c r="AT159" s="81"/>
      <c r="AU159" s="81"/>
      <c r="AV159" s="81"/>
      <c r="AW159" s="81"/>
      <c r="AX159" s="81"/>
      <c r="AY159" s="81"/>
      <c r="AZ159" s="81"/>
      <c r="BA159" s="81"/>
      <c r="BB159" s="81"/>
      <c r="BC159" s="81"/>
      <c r="BD159" s="81"/>
      <c r="BE159" s="81"/>
      <c r="BF159" s="81"/>
      <c r="BG159" s="81"/>
      <c r="BH159" s="81"/>
      <c r="BI159" s="81"/>
      <c r="BJ159" s="81"/>
      <c r="BK159" s="81"/>
      <c r="BL159" s="81"/>
      <c r="BM159" s="81"/>
      <c r="BN159" s="81"/>
      <c r="BO159" s="81"/>
      <c r="BP159" s="81"/>
      <c r="BQ159" s="81"/>
      <c r="BR159" s="81"/>
      <c r="BS159" s="81"/>
      <c r="BT159" s="81"/>
      <c r="BU159" s="81"/>
      <c r="BV159" s="81"/>
      <c r="BW159" s="81"/>
      <c r="BX159" s="81"/>
      <c r="BY159" s="81"/>
      <c r="BZ159" s="81"/>
      <c r="CA159" s="81"/>
      <c r="CB159" s="81"/>
      <c r="CC159" s="81"/>
      <c r="CD159" s="81"/>
      <c r="CE159" s="81"/>
      <c r="CF159" s="81"/>
      <c r="CG159" s="81"/>
      <c r="CH159" s="81"/>
      <c r="CI159" s="81"/>
      <c r="CJ159" s="81"/>
      <c r="CK159" s="81"/>
      <c r="CL159" s="81"/>
      <c r="CM159" s="81"/>
      <c r="CN159" s="81"/>
      <c r="CO159" s="81"/>
      <c r="CP159" s="81"/>
      <c r="CQ159" s="81"/>
      <c r="CR159" s="81"/>
      <c r="CS159" s="81"/>
      <c r="CT159" s="81"/>
      <c r="CU159" s="81"/>
      <c r="CV159" s="81"/>
      <c r="CW159" s="81"/>
      <c r="CX159" s="81"/>
      <c r="CY159" s="81"/>
      <c r="CZ159" s="81"/>
      <c r="DA159" s="81"/>
      <c r="DB159" s="81"/>
      <c r="DC159" s="81"/>
      <c r="DD159" s="81"/>
      <c r="DE159" s="81"/>
      <c r="DF159" s="81"/>
      <c r="DG159" s="81"/>
      <c r="DH159" s="81"/>
      <c r="DI159" s="81"/>
      <c r="DJ159" s="81"/>
      <c r="DK159" s="81"/>
      <c r="DL159" s="81"/>
      <c r="DM159" s="81"/>
      <c r="DN159" s="81"/>
      <c r="DO159" s="81"/>
      <c r="DP159" s="81"/>
      <c r="DQ159" s="81"/>
      <c r="DR159" s="81"/>
      <c r="DS159" s="81"/>
      <c r="DT159" s="81"/>
      <c r="DU159" s="81"/>
      <c r="DV159" s="81"/>
      <c r="DW159" s="81"/>
      <c r="DX159" s="81"/>
      <c r="DY159" s="81"/>
      <c r="DZ159" s="81"/>
      <c r="EA159" s="81"/>
      <c r="EB159" s="81"/>
      <c r="EC159" s="81"/>
      <c r="ED159" s="81"/>
      <c r="EE159" s="81"/>
      <c r="EF159" s="81"/>
      <c r="EG159" s="81"/>
      <c r="EH159" s="81"/>
      <c r="EI159" s="81"/>
      <c r="EJ159" s="81"/>
      <c r="EK159" s="81"/>
      <c r="EL159" s="81"/>
      <c r="EM159" s="92">
        <v>3.6792924886731502</v>
      </c>
      <c r="EN159" s="93">
        <f>EM159/SUM(EO159:EY159)</f>
        <v>2.587574245203415E-2</v>
      </c>
      <c r="EO159" s="90">
        <v>36.153596753339997</v>
      </c>
      <c r="EP159" s="90">
        <v>20.56380720615347</v>
      </c>
      <c r="EQ159" s="90">
        <v>40.275314891682726</v>
      </c>
      <c r="ER159" s="90">
        <v>10.409620450393824</v>
      </c>
      <c r="ES159" s="90"/>
      <c r="ET159" s="90"/>
      <c r="EU159" s="90"/>
      <c r="EV159" s="90"/>
      <c r="EW159" s="94">
        <v>6.7638330612640267</v>
      </c>
      <c r="EX159" s="81">
        <v>10.854652658023282</v>
      </c>
      <c r="EY159" s="81">
        <v>17.169973774325193</v>
      </c>
      <c r="EZ159" s="81"/>
      <c r="FA159" s="81"/>
      <c r="FB159" s="95">
        <v>111.08958054073467</v>
      </c>
      <c r="FC159" s="81"/>
      <c r="FD159" s="81"/>
      <c r="FE159" s="81"/>
      <c r="FF159" s="81"/>
      <c r="FG159" s="81"/>
      <c r="FH159" s="81"/>
      <c r="FI159" s="81"/>
      <c r="FJ159" s="81"/>
      <c r="FK159" s="81"/>
      <c r="FL159" s="81"/>
      <c r="FM159" s="81">
        <v>2.1714018012986358</v>
      </c>
      <c r="FN159" s="81"/>
      <c r="FO159" s="81"/>
      <c r="FP159" s="81"/>
      <c r="FQ159" s="81"/>
      <c r="FR159" s="81"/>
      <c r="FS159" s="81"/>
      <c r="FT159" s="81"/>
      <c r="FU159" s="81">
        <v>20.08521219580355</v>
      </c>
      <c r="FV159" s="81">
        <v>275.53699333301938</v>
      </c>
      <c r="FW159" s="81"/>
      <c r="FX159" s="86"/>
      <c r="FY159" s="81"/>
      <c r="FZ159" s="81"/>
      <c r="GA159" s="81"/>
      <c r="GB159" s="81"/>
      <c r="GC159" s="81"/>
      <c r="GD159" s="81"/>
      <c r="GE159" s="81"/>
      <c r="GF159" s="81"/>
      <c r="GG159" s="81"/>
      <c r="GH159" s="81"/>
    </row>
    <row r="160" spans="1:190" ht="16" x14ac:dyDescent="0.2">
      <c r="A160" s="84" t="s">
        <v>371</v>
      </c>
      <c r="B160" s="81"/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  <c r="AI160" s="81"/>
      <c r="AJ160" s="81"/>
      <c r="AK160" s="81"/>
      <c r="AL160" s="81"/>
      <c r="AM160" s="81"/>
      <c r="AN160" s="81"/>
      <c r="AO160" s="81"/>
      <c r="AP160" s="81"/>
      <c r="AQ160" s="81"/>
      <c r="AR160" s="81"/>
      <c r="AS160" s="81"/>
      <c r="AT160" s="81"/>
      <c r="AU160" s="81"/>
      <c r="AV160" s="81"/>
      <c r="AW160" s="81"/>
      <c r="AX160" s="81"/>
      <c r="AY160" s="81"/>
      <c r="AZ160" s="81"/>
      <c r="BA160" s="81"/>
      <c r="BB160" s="81"/>
      <c r="BC160" s="81"/>
      <c r="BD160" s="81"/>
      <c r="BE160" s="81"/>
      <c r="BF160" s="81"/>
      <c r="BG160" s="81"/>
      <c r="BH160" s="81"/>
      <c r="BI160" s="81"/>
      <c r="BJ160" s="81"/>
      <c r="BK160" s="81"/>
      <c r="BL160" s="81"/>
      <c r="BM160" s="81"/>
      <c r="BN160" s="81"/>
      <c r="BO160" s="81"/>
      <c r="BP160" s="81"/>
      <c r="BQ160" s="81"/>
      <c r="BR160" s="81"/>
      <c r="BS160" s="81"/>
      <c r="BT160" s="81"/>
      <c r="BU160" s="81"/>
      <c r="BV160" s="81"/>
      <c r="BW160" s="81"/>
      <c r="BX160" s="81"/>
      <c r="BY160" s="81"/>
      <c r="BZ160" s="81"/>
      <c r="CA160" s="81"/>
      <c r="CB160" s="81"/>
      <c r="CC160" s="81"/>
      <c r="CD160" s="81"/>
      <c r="CE160" s="81"/>
      <c r="CF160" s="81"/>
      <c r="CG160" s="81"/>
      <c r="CH160" s="81"/>
      <c r="CI160" s="81"/>
      <c r="CJ160" s="81"/>
      <c r="CK160" s="81"/>
      <c r="CL160" s="81"/>
      <c r="CM160" s="81"/>
      <c r="CN160" s="81"/>
      <c r="CO160" s="81"/>
      <c r="CP160" s="81"/>
      <c r="CQ160" s="81"/>
      <c r="CR160" s="81"/>
      <c r="CS160" s="81"/>
      <c r="CT160" s="81"/>
      <c r="CU160" s="81"/>
      <c r="CV160" s="81"/>
      <c r="CW160" s="81"/>
      <c r="CX160" s="81"/>
      <c r="CY160" s="81"/>
      <c r="CZ160" s="81"/>
      <c r="DA160" s="81"/>
      <c r="DB160" s="81"/>
      <c r="DC160" s="81"/>
      <c r="DD160" s="81"/>
      <c r="DE160" s="81"/>
      <c r="DF160" s="81"/>
      <c r="DG160" s="81"/>
      <c r="DH160" s="81"/>
      <c r="DI160" s="81"/>
      <c r="DJ160" s="81"/>
      <c r="DK160" s="81"/>
      <c r="DL160" s="81"/>
      <c r="DM160" s="81"/>
      <c r="DN160" s="81"/>
      <c r="DO160" s="81"/>
      <c r="DP160" s="81"/>
      <c r="DQ160" s="81"/>
      <c r="DR160" s="81"/>
      <c r="DS160" s="81"/>
      <c r="DT160" s="81"/>
      <c r="DU160" s="81"/>
      <c r="DV160" s="81"/>
      <c r="DW160" s="81"/>
      <c r="DX160" s="81"/>
      <c r="DY160" s="81"/>
      <c r="DZ160" s="81"/>
      <c r="EA160" s="81"/>
      <c r="EB160" s="81"/>
      <c r="EC160" s="81"/>
      <c r="ED160" s="81"/>
      <c r="EE160" s="81"/>
      <c r="EF160" s="81"/>
      <c r="EG160" s="81"/>
      <c r="EH160" s="81"/>
      <c r="EI160" s="81"/>
      <c r="EJ160" s="81"/>
      <c r="EK160" s="81"/>
      <c r="EL160" s="81"/>
      <c r="EM160" s="92">
        <v>6.1423105697771678</v>
      </c>
      <c r="EN160" s="93">
        <f t="shared" ref="EN160:EN168" si="0">EM160/SUM(EO160:EY160)</f>
        <v>3.2305838310721882E-2</v>
      </c>
      <c r="EO160" s="90">
        <v>37.845730820592159</v>
      </c>
      <c r="EP160" s="90">
        <v>23.554103657294188</v>
      </c>
      <c r="EQ160" s="90">
        <v>58.78006901812477</v>
      </c>
      <c r="ER160" s="90">
        <v>20.70902713340244</v>
      </c>
      <c r="ES160" s="90"/>
      <c r="ET160" s="90"/>
      <c r="EU160" s="90"/>
      <c r="EV160" s="90"/>
      <c r="EW160" s="94">
        <v>9.5803957345631474</v>
      </c>
      <c r="EX160" s="81">
        <v>15.368068450638452</v>
      </c>
      <c r="EY160" s="81">
        <v>24.292652599712916</v>
      </c>
      <c r="EZ160" s="81"/>
      <c r="FA160" s="81"/>
      <c r="FB160" s="95">
        <v>150.8225988047875</v>
      </c>
      <c r="FC160" s="81"/>
      <c r="FD160" s="81"/>
      <c r="FE160" s="81"/>
      <c r="FF160" s="81"/>
      <c r="FG160" s="81"/>
      <c r="FH160" s="81"/>
      <c r="FI160" s="81"/>
      <c r="FJ160" s="81"/>
      <c r="FK160" s="81"/>
      <c r="FL160" s="81"/>
      <c r="FM160" s="81">
        <v>3.1471111809402008</v>
      </c>
      <c r="FN160" s="81"/>
      <c r="FO160" s="81"/>
      <c r="FP160" s="81"/>
      <c r="FQ160" s="81"/>
      <c r="FR160" s="81"/>
      <c r="FS160" s="81"/>
      <c r="FT160" s="81"/>
      <c r="FU160" s="81">
        <v>44.975464032050141</v>
      </c>
      <c r="FV160" s="81">
        <v>389.07522143210588</v>
      </c>
      <c r="FW160" s="81"/>
      <c r="FX160" s="86"/>
      <c r="FY160" s="81"/>
      <c r="FZ160" s="81"/>
      <c r="GA160" s="81"/>
      <c r="GB160" s="81"/>
      <c r="GC160" s="81"/>
      <c r="GD160" s="81"/>
      <c r="GE160" s="81"/>
      <c r="GF160" s="81"/>
      <c r="GG160" s="81"/>
      <c r="GH160" s="81"/>
    </row>
    <row r="161" spans="1:190" ht="16" x14ac:dyDescent="0.2">
      <c r="A161" s="84" t="s">
        <v>372</v>
      </c>
      <c r="B161" s="81"/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  <c r="AI161" s="81"/>
      <c r="AJ161" s="81"/>
      <c r="AK161" s="81"/>
      <c r="AL161" s="81"/>
      <c r="AM161" s="81"/>
      <c r="AN161" s="81"/>
      <c r="AO161" s="81"/>
      <c r="AP161" s="81"/>
      <c r="AQ161" s="81"/>
      <c r="AR161" s="81"/>
      <c r="AS161" s="81"/>
      <c r="AT161" s="81"/>
      <c r="AU161" s="81"/>
      <c r="AV161" s="81"/>
      <c r="AW161" s="81"/>
      <c r="AX161" s="81"/>
      <c r="AY161" s="81"/>
      <c r="AZ161" s="81"/>
      <c r="BA161" s="81"/>
      <c r="BB161" s="81"/>
      <c r="BC161" s="81"/>
      <c r="BD161" s="81"/>
      <c r="BE161" s="81"/>
      <c r="BF161" s="81"/>
      <c r="BG161" s="81"/>
      <c r="BH161" s="81"/>
      <c r="BI161" s="81"/>
      <c r="BJ161" s="81"/>
      <c r="BK161" s="81"/>
      <c r="BL161" s="81"/>
      <c r="BM161" s="81"/>
      <c r="BN161" s="81"/>
      <c r="BO161" s="81"/>
      <c r="BP161" s="81"/>
      <c r="BQ161" s="81"/>
      <c r="BR161" s="81"/>
      <c r="BS161" s="81"/>
      <c r="BT161" s="81"/>
      <c r="BU161" s="81"/>
      <c r="BV161" s="81"/>
      <c r="BW161" s="81"/>
      <c r="BX161" s="81"/>
      <c r="BY161" s="81"/>
      <c r="BZ161" s="81"/>
      <c r="CA161" s="81"/>
      <c r="CB161" s="81"/>
      <c r="CC161" s="81"/>
      <c r="CD161" s="81"/>
      <c r="CE161" s="81"/>
      <c r="CF161" s="81"/>
      <c r="CG161" s="81"/>
      <c r="CH161" s="81"/>
      <c r="CI161" s="81"/>
      <c r="CJ161" s="81"/>
      <c r="CK161" s="81"/>
      <c r="CL161" s="81"/>
      <c r="CM161" s="81"/>
      <c r="CN161" s="81"/>
      <c r="CO161" s="81"/>
      <c r="CP161" s="81"/>
      <c r="CQ161" s="81"/>
      <c r="CR161" s="81"/>
      <c r="CS161" s="81"/>
      <c r="CT161" s="81"/>
      <c r="CU161" s="81"/>
      <c r="CV161" s="81"/>
      <c r="CW161" s="81"/>
      <c r="CX161" s="81"/>
      <c r="CY161" s="81"/>
      <c r="CZ161" s="81"/>
      <c r="DA161" s="81"/>
      <c r="DB161" s="81"/>
      <c r="DC161" s="81"/>
      <c r="DD161" s="81"/>
      <c r="DE161" s="81"/>
      <c r="DF161" s="81"/>
      <c r="DG161" s="81"/>
      <c r="DH161" s="81"/>
      <c r="DI161" s="81"/>
      <c r="DJ161" s="81"/>
      <c r="DK161" s="81"/>
      <c r="DL161" s="81"/>
      <c r="DM161" s="81"/>
      <c r="DN161" s="81"/>
      <c r="DO161" s="81"/>
      <c r="DP161" s="81"/>
      <c r="DQ161" s="81"/>
      <c r="DR161" s="81"/>
      <c r="DS161" s="81"/>
      <c r="DT161" s="81"/>
      <c r="DU161" s="81"/>
      <c r="DV161" s="81"/>
      <c r="DW161" s="81"/>
      <c r="DX161" s="81"/>
      <c r="DY161" s="81"/>
      <c r="DZ161" s="81"/>
      <c r="EA161" s="81"/>
      <c r="EB161" s="81"/>
      <c r="EC161" s="81"/>
      <c r="ED161" s="81"/>
      <c r="EE161" s="81"/>
      <c r="EF161" s="81"/>
      <c r="EG161" s="81"/>
      <c r="EH161" s="81"/>
      <c r="EI161" s="81"/>
      <c r="EJ161" s="81"/>
      <c r="EK161" s="81"/>
      <c r="EL161" s="81"/>
      <c r="EM161" s="92">
        <v>7.3219429345410587</v>
      </c>
      <c r="EN161" s="93">
        <f t="shared" si="0"/>
        <v>3.5283333850989272E-2</v>
      </c>
      <c r="EO161" s="90">
        <v>35.971002078218298</v>
      </c>
      <c r="EP161" s="90">
        <v>23.828161499850257</v>
      </c>
      <c r="EQ161" s="90">
        <v>63.298804160659678</v>
      </c>
      <c r="ER161" s="90">
        <v>27.923945063344366</v>
      </c>
      <c r="ES161" s="90"/>
      <c r="ET161" s="90"/>
      <c r="EU161" s="90"/>
      <c r="EV161" s="90"/>
      <c r="EW161" s="94">
        <v>10.994879458888045</v>
      </c>
      <c r="EX161" s="81">
        <v>17.634202758777825</v>
      </c>
      <c r="EY161" s="81">
        <v>27.867460165464092</v>
      </c>
      <c r="EZ161" s="81"/>
      <c r="FA161" s="81"/>
      <c r="FB161" s="95">
        <v>173.86973558498212</v>
      </c>
      <c r="FC161" s="81"/>
      <c r="FD161" s="81"/>
      <c r="FE161" s="81"/>
      <c r="FF161" s="81"/>
      <c r="FG161" s="81"/>
      <c r="FH161" s="81"/>
      <c r="FI161" s="81"/>
      <c r="FJ161" s="81"/>
      <c r="FK161" s="81"/>
      <c r="FL161" s="81"/>
      <c r="FM161" s="81">
        <v>4.3324880633057683</v>
      </c>
      <c r="FN161" s="81"/>
      <c r="FO161" s="81"/>
      <c r="FP161" s="81"/>
      <c r="FQ161" s="81"/>
      <c r="FR161" s="81"/>
      <c r="FS161" s="81"/>
      <c r="FT161" s="81"/>
      <c r="FU161" s="81">
        <v>59.967630278648642</v>
      </c>
      <c r="FV161" s="81">
        <v>445.68830911213911</v>
      </c>
      <c r="FW161" s="81"/>
      <c r="FX161" s="86"/>
      <c r="FY161" s="81"/>
      <c r="FZ161" s="81"/>
      <c r="GA161" s="81"/>
      <c r="GB161" s="81"/>
      <c r="GC161" s="81"/>
      <c r="GD161" s="81"/>
      <c r="GE161" s="81"/>
      <c r="GF161" s="81"/>
      <c r="GG161" s="81"/>
      <c r="GH161" s="81"/>
    </row>
    <row r="162" spans="1:190" ht="16" x14ac:dyDescent="0.2">
      <c r="A162" s="84" t="s">
        <v>373</v>
      </c>
      <c r="B162" s="81"/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  <c r="AI162" s="81"/>
      <c r="AJ162" s="81"/>
      <c r="AK162" s="81"/>
      <c r="AL162" s="81"/>
      <c r="AM162" s="81"/>
      <c r="AN162" s="81"/>
      <c r="AO162" s="81"/>
      <c r="AP162" s="81"/>
      <c r="AQ162" s="81"/>
      <c r="AR162" s="81"/>
      <c r="AS162" s="81"/>
      <c r="AT162" s="81"/>
      <c r="AU162" s="81"/>
      <c r="AV162" s="81"/>
      <c r="AW162" s="81"/>
      <c r="AX162" s="81"/>
      <c r="AY162" s="81"/>
      <c r="AZ162" s="81"/>
      <c r="BA162" s="81"/>
      <c r="BB162" s="81"/>
      <c r="BC162" s="81"/>
      <c r="BD162" s="81"/>
      <c r="BE162" s="81"/>
      <c r="BF162" s="81"/>
      <c r="BG162" s="81"/>
      <c r="BH162" s="81"/>
      <c r="BI162" s="81"/>
      <c r="BJ162" s="81"/>
      <c r="BK162" s="81"/>
      <c r="BL162" s="81"/>
      <c r="BM162" s="81"/>
      <c r="BN162" s="81"/>
      <c r="BO162" s="81"/>
      <c r="BP162" s="81"/>
      <c r="BQ162" s="81"/>
      <c r="BR162" s="81"/>
      <c r="BS162" s="81"/>
      <c r="BT162" s="81"/>
      <c r="BU162" s="81"/>
      <c r="BV162" s="81"/>
      <c r="BW162" s="81"/>
      <c r="BX162" s="81"/>
      <c r="BY162" s="81"/>
      <c r="BZ162" s="81"/>
      <c r="CA162" s="81"/>
      <c r="CB162" s="81"/>
      <c r="CC162" s="81"/>
      <c r="CD162" s="81"/>
      <c r="CE162" s="81"/>
      <c r="CF162" s="81"/>
      <c r="CG162" s="81"/>
      <c r="CH162" s="81"/>
      <c r="CI162" s="81"/>
      <c r="CJ162" s="81"/>
      <c r="CK162" s="81"/>
      <c r="CL162" s="81"/>
      <c r="CM162" s="81"/>
      <c r="CN162" s="81"/>
      <c r="CO162" s="81"/>
      <c r="CP162" s="81"/>
      <c r="CQ162" s="81"/>
      <c r="CR162" s="81"/>
      <c r="CS162" s="81"/>
      <c r="CT162" s="81"/>
      <c r="CU162" s="81"/>
      <c r="CV162" s="81"/>
      <c r="CW162" s="81"/>
      <c r="CX162" s="81"/>
      <c r="CY162" s="81"/>
      <c r="CZ162" s="81"/>
      <c r="DA162" s="81"/>
      <c r="DB162" s="81"/>
      <c r="DC162" s="81"/>
      <c r="DD162" s="81"/>
      <c r="DE162" s="81"/>
      <c r="DF162" s="81"/>
      <c r="DG162" s="81"/>
      <c r="DH162" s="81"/>
      <c r="DI162" s="81"/>
      <c r="DJ162" s="81"/>
      <c r="DK162" s="81"/>
      <c r="DL162" s="81"/>
      <c r="DM162" s="81"/>
      <c r="DN162" s="81"/>
      <c r="DO162" s="81"/>
      <c r="DP162" s="81"/>
      <c r="DQ162" s="81"/>
      <c r="DR162" s="81"/>
      <c r="DS162" s="81"/>
      <c r="DT162" s="81"/>
      <c r="DU162" s="81"/>
      <c r="DV162" s="81"/>
      <c r="DW162" s="81"/>
      <c r="DX162" s="81"/>
      <c r="DY162" s="81"/>
      <c r="DZ162" s="81"/>
      <c r="EA162" s="81"/>
      <c r="EB162" s="81"/>
      <c r="EC162" s="81"/>
      <c r="ED162" s="81"/>
      <c r="EE162" s="81"/>
      <c r="EF162" s="81"/>
      <c r="EG162" s="81"/>
      <c r="EH162" s="81"/>
      <c r="EI162" s="81"/>
      <c r="EJ162" s="81"/>
      <c r="EK162" s="81"/>
      <c r="EL162" s="81"/>
      <c r="EM162" s="92">
        <v>9.1533113267838981</v>
      </c>
      <c r="EN162" s="93">
        <f t="shared" si="0"/>
        <v>3.7188706810925898E-2</v>
      </c>
      <c r="EO162" s="90">
        <v>37.937348874453122</v>
      </c>
      <c r="EP162" s="90">
        <v>22.79754133460202</v>
      </c>
      <c r="EQ162" s="90">
        <v>66.388154884226736</v>
      </c>
      <c r="ER162" s="90">
        <v>40.69907723209878</v>
      </c>
      <c r="ES162" s="90"/>
      <c r="ET162" s="90"/>
      <c r="EU162" s="90"/>
      <c r="EV162" s="90"/>
      <c r="EW162" s="94">
        <v>15.243140620520144</v>
      </c>
      <c r="EX162" s="81">
        <v>24.4447765894068</v>
      </c>
      <c r="EY162" s="81">
        <v>38.621437241257517</v>
      </c>
      <c r="EZ162" s="81"/>
      <c r="FA162" s="81"/>
      <c r="FB162" s="95">
        <v>203.34342077348896</v>
      </c>
      <c r="FC162" s="81"/>
      <c r="FD162" s="81"/>
      <c r="FE162" s="81"/>
      <c r="FF162" s="81"/>
      <c r="FG162" s="81"/>
      <c r="FH162" s="81"/>
      <c r="FI162" s="81"/>
      <c r="FJ162" s="81"/>
      <c r="FK162" s="81"/>
      <c r="FL162" s="81"/>
      <c r="FM162" s="81">
        <v>6.2492642259330191</v>
      </c>
      <c r="FN162" s="81"/>
      <c r="FO162" s="81"/>
      <c r="FP162" s="81"/>
      <c r="FQ162" s="81"/>
      <c r="FR162" s="81"/>
      <c r="FS162" s="81"/>
      <c r="FT162" s="81"/>
      <c r="FU162" s="81">
        <v>88.822946122600086</v>
      </c>
      <c r="FV162" s="81">
        <v>544.54710789858723</v>
      </c>
      <c r="FW162" s="81"/>
      <c r="FX162" s="86"/>
      <c r="FY162" s="81"/>
      <c r="FZ162" s="81"/>
      <c r="GA162" s="81"/>
      <c r="GB162" s="81"/>
      <c r="GC162" s="81"/>
      <c r="GD162" s="81"/>
      <c r="GE162" s="81"/>
      <c r="GF162" s="81"/>
      <c r="GG162" s="81"/>
      <c r="GH162" s="81"/>
    </row>
    <row r="163" spans="1:190" ht="16" x14ac:dyDescent="0.2">
      <c r="A163" s="84" t="s">
        <v>374</v>
      </c>
      <c r="B163" s="81"/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  <c r="AI163" s="81"/>
      <c r="AJ163" s="81"/>
      <c r="AK163" s="81"/>
      <c r="AL163" s="81"/>
      <c r="AM163" s="81"/>
      <c r="AN163" s="81"/>
      <c r="AO163" s="81"/>
      <c r="AP163" s="81"/>
      <c r="AQ163" s="81"/>
      <c r="AR163" s="81"/>
      <c r="AS163" s="81"/>
      <c r="AT163" s="81"/>
      <c r="AU163" s="81"/>
      <c r="AV163" s="81"/>
      <c r="AW163" s="81"/>
      <c r="AX163" s="81"/>
      <c r="AY163" s="81"/>
      <c r="AZ163" s="81"/>
      <c r="BA163" s="81"/>
      <c r="BB163" s="81"/>
      <c r="BC163" s="81"/>
      <c r="BD163" s="81"/>
      <c r="BE163" s="81"/>
      <c r="BF163" s="81"/>
      <c r="BG163" s="81"/>
      <c r="BH163" s="81"/>
      <c r="BI163" s="81"/>
      <c r="BJ163" s="81"/>
      <c r="BK163" s="81"/>
      <c r="BL163" s="81"/>
      <c r="BM163" s="81"/>
      <c r="BN163" s="81"/>
      <c r="BO163" s="81"/>
      <c r="BP163" s="81"/>
      <c r="BQ163" s="81"/>
      <c r="BR163" s="81"/>
      <c r="BS163" s="81"/>
      <c r="BT163" s="81"/>
      <c r="BU163" s="81"/>
      <c r="BV163" s="81"/>
      <c r="BW163" s="81"/>
      <c r="BX163" s="81"/>
      <c r="BY163" s="81"/>
      <c r="BZ163" s="81"/>
      <c r="CA163" s="81"/>
      <c r="CB163" s="81"/>
      <c r="CC163" s="81"/>
      <c r="CD163" s="81"/>
      <c r="CE163" s="81"/>
      <c r="CF163" s="81"/>
      <c r="CG163" s="81"/>
      <c r="CH163" s="81"/>
      <c r="CI163" s="81"/>
      <c r="CJ163" s="81"/>
      <c r="CK163" s="81"/>
      <c r="CL163" s="81"/>
      <c r="CM163" s="81"/>
      <c r="CN163" s="81"/>
      <c r="CO163" s="81"/>
      <c r="CP163" s="81"/>
      <c r="CQ163" s="81"/>
      <c r="CR163" s="81"/>
      <c r="CS163" s="81"/>
      <c r="CT163" s="81"/>
      <c r="CU163" s="81"/>
      <c r="CV163" s="81"/>
      <c r="CW163" s="81"/>
      <c r="CX163" s="81"/>
      <c r="CY163" s="81"/>
      <c r="CZ163" s="81"/>
      <c r="DA163" s="81"/>
      <c r="DB163" s="81"/>
      <c r="DC163" s="81"/>
      <c r="DD163" s="81"/>
      <c r="DE163" s="81"/>
      <c r="DF163" s="81"/>
      <c r="DG163" s="81"/>
      <c r="DH163" s="81"/>
      <c r="DI163" s="81"/>
      <c r="DJ163" s="81"/>
      <c r="DK163" s="81"/>
      <c r="DL163" s="81"/>
      <c r="DM163" s="81"/>
      <c r="DN163" s="81"/>
      <c r="DO163" s="81"/>
      <c r="DP163" s="81"/>
      <c r="DQ163" s="81"/>
      <c r="DR163" s="81"/>
      <c r="DS163" s="81"/>
      <c r="DT163" s="81"/>
      <c r="DU163" s="81"/>
      <c r="DV163" s="81"/>
      <c r="DW163" s="81"/>
      <c r="DX163" s="81"/>
      <c r="DY163" s="81"/>
      <c r="DZ163" s="81"/>
      <c r="EA163" s="81"/>
      <c r="EB163" s="81"/>
      <c r="EC163" s="81"/>
      <c r="ED163" s="81"/>
      <c r="EE163" s="81"/>
      <c r="EF163" s="81"/>
      <c r="EG163" s="81"/>
      <c r="EH163" s="81"/>
      <c r="EI163" s="81"/>
      <c r="EJ163" s="81"/>
      <c r="EK163" s="81"/>
      <c r="EL163" s="81"/>
      <c r="EM163" s="92">
        <v>10.295193784426878</v>
      </c>
      <c r="EN163" s="93">
        <f>EM163/SUM(EO163:EY163)</f>
        <v>4.0542074254996945E-2</v>
      </c>
      <c r="EO163" s="90">
        <v>33.118079695016135</v>
      </c>
      <c r="EP163" s="90">
        <v>16.926963430370861</v>
      </c>
      <c r="EQ163" s="90">
        <v>57.680498336451912</v>
      </c>
      <c r="ER163" s="90">
        <v>48.440856175867282</v>
      </c>
      <c r="ES163" s="90"/>
      <c r="ET163" s="90"/>
      <c r="EU163" s="90"/>
      <c r="EV163" s="90"/>
      <c r="EW163" s="94">
        <v>19.035608226783314</v>
      </c>
      <c r="EX163" s="81">
        <v>30.522836070811444</v>
      </c>
      <c r="EY163" s="81">
        <v>48.213664507988909</v>
      </c>
      <c r="EZ163" s="81"/>
      <c r="FA163" s="81"/>
      <c r="FB163" s="95">
        <v>246.56787097909569</v>
      </c>
      <c r="FC163" s="81"/>
      <c r="FD163" s="81"/>
      <c r="FE163" s="81"/>
      <c r="FF163" s="81"/>
      <c r="FG163" s="81"/>
      <c r="FH163" s="81"/>
      <c r="FI163" s="81"/>
      <c r="FJ163" s="81"/>
      <c r="FK163" s="81"/>
      <c r="FL163" s="81"/>
      <c r="FM163" s="81">
        <v>10.118831163323376</v>
      </c>
      <c r="FN163" s="81"/>
      <c r="FO163" s="81"/>
      <c r="FP163" s="81"/>
      <c r="FQ163" s="81"/>
      <c r="FR163" s="81"/>
      <c r="FS163" s="81"/>
      <c r="FT163" s="81"/>
      <c r="FU163" s="81">
        <v>97.900920983201857</v>
      </c>
      <c r="FV163" s="81">
        <v>608.52612956891073</v>
      </c>
      <c r="FW163" s="81"/>
      <c r="FX163" s="86"/>
      <c r="FY163" s="81"/>
      <c r="FZ163" s="81"/>
      <c r="GA163" s="81"/>
      <c r="GB163" s="81"/>
      <c r="GC163" s="81"/>
      <c r="GD163" s="81"/>
      <c r="GE163" s="81"/>
      <c r="GF163" s="81"/>
      <c r="GG163" s="81"/>
      <c r="GH163" s="81"/>
    </row>
    <row r="164" spans="1:190" ht="16" x14ac:dyDescent="0.2">
      <c r="A164" s="82" t="s">
        <v>375</v>
      </c>
      <c r="B164" s="81"/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  <c r="AI164" s="81"/>
      <c r="AJ164" s="81"/>
      <c r="AK164" s="81"/>
      <c r="AL164" s="81"/>
      <c r="AM164" s="81"/>
      <c r="AN164" s="81"/>
      <c r="AO164" s="81"/>
      <c r="AP164" s="81"/>
      <c r="AQ164" s="81"/>
      <c r="AR164" s="81"/>
      <c r="AS164" s="81"/>
      <c r="AT164" s="81"/>
      <c r="AU164" s="81"/>
      <c r="AV164" s="81"/>
      <c r="AW164" s="81"/>
      <c r="AX164" s="81"/>
      <c r="AY164" s="81"/>
      <c r="AZ164" s="81"/>
      <c r="BA164" s="81"/>
      <c r="BB164" s="81"/>
      <c r="BC164" s="81"/>
      <c r="BD164" s="81"/>
      <c r="BE164" s="81"/>
      <c r="BF164" s="81"/>
      <c r="BG164" s="81"/>
      <c r="BH164" s="81"/>
      <c r="BI164" s="81"/>
      <c r="BJ164" s="81"/>
      <c r="BK164" s="81"/>
      <c r="BL164" s="81"/>
      <c r="BM164" s="81"/>
      <c r="BN164" s="81"/>
      <c r="BO164" s="81"/>
      <c r="BP164" s="81"/>
      <c r="BQ164" s="81"/>
      <c r="BR164" s="81"/>
      <c r="BS164" s="81"/>
      <c r="BT164" s="81"/>
      <c r="BU164" s="81"/>
      <c r="BV164" s="81"/>
      <c r="BW164" s="81"/>
      <c r="BX164" s="81"/>
      <c r="BY164" s="81"/>
      <c r="BZ164" s="81"/>
      <c r="CA164" s="81"/>
      <c r="CB164" s="81"/>
      <c r="CC164" s="81"/>
      <c r="CD164" s="81"/>
      <c r="CE164" s="81"/>
      <c r="CF164" s="81"/>
      <c r="CG164" s="81"/>
      <c r="CH164" s="81"/>
      <c r="CI164" s="81"/>
      <c r="CJ164" s="81"/>
      <c r="CK164" s="81"/>
      <c r="CL164" s="81"/>
      <c r="CM164" s="81"/>
      <c r="CN164" s="81"/>
      <c r="CO164" s="81"/>
      <c r="CP164" s="81"/>
      <c r="CQ164" s="81"/>
      <c r="CR164" s="81"/>
      <c r="CS164" s="81"/>
      <c r="CT164" s="81"/>
      <c r="CU164" s="81"/>
      <c r="CV164" s="81"/>
      <c r="CW164" s="81"/>
      <c r="CX164" s="81"/>
      <c r="CY164" s="81"/>
      <c r="CZ164" s="81"/>
      <c r="DA164" s="81"/>
      <c r="DB164" s="81"/>
      <c r="DC164" s="81"/>
      <c r="DD164" s="81"/>
      <c r="DE164" s="81"/>
      <c r="DF164" s="81"/>
      <c r="DG164" s="81"/>
      <c r="DH164" s="81"/>
      <c r="DI164" s="81"/>
      <c r="DJ164" s="81"/>
      <c r="DK164" s="81"/>
      <c r="DL164" s="81"/>
      <c r="DM164" s="81"/>
      <c r="DN164" s="81"/>
      <c r="DO164" s="81"/>
      <c r="DP164" s="81"/>
      <c r="DQ164" s="81"/>
      <c r="DR164" s="81"/>
      <c r="DS164" s="81"/>
      <c r="DT164" s="81"/>
      <c r="DU164" s="81"/>
      <c r="DV164" s="81"/>
      <c r="DW164" s="81"/>
      <c r="DX164" s="81"/>
      <c r="DY164" s="81"/>
      <c r="DZ164" s="81"/>
      <c r="EA164" s="81"/>
      <c r="EB164" s="81"/>
      <c r="EC164" s="81"/>
      <c r="ED164" s="81"/>
      <c r="EE164" s="81"/>
      <c r="EF164" s="81"/>
      <c r="EG164" s="81"/>
      <c r="EH164" s="81"/>
      <c r="EI164" s="81"/>
      <c r="EJ164" s="81"/>
      <c r="EK164" s="81"/>
      <c r="EL164" s="81"/>
      <c r="EM164" s="92">
        <v>1.6589630530629935</v>
      </c>
      <c r="EN164" s="93">
        <f t="shared" si="0"/>
        <v>3.0035544400826404E-2</v>
      </c>
      <c r="EO164" s="90"/>
      <c r="EP164" s="90"/>
      <c r="EQ164" s="90"/>
      <c r="ER164" s="90"/>
      <c r="ES164" s="90">
        <v>15.215676107014492</v>
      </c>
      <c r="ET164" s="90">
        <v>11.345232097332774</v>
      </c>
      <c r="EU164" s="90">
        <v>18.055399707990556</v>
      </c>
      <c r="EV164" s="90">
        <v>8.2585121231239338</v>
      </c>
      <c r="EW164" s="94">
        <v>0.45895007418004119</v>
      </c>
      <c r="EX164" s="81">
        <v>0.73611191673856768</v>
      </c>
      <c r="EY164" s="81">
        <v>1.1634452249595104</v>
      </c>
      <c r="EZ164" s="81"/>
      <c r="FA164" s="81"/>
      <c r="FB164" s="95">
        <v>69.478139876066493</v>
      </c>
      <c r="FC164" s="81"/>
      <c r="FD164" s="81"/>
      <c r="FE164" s="81"/>
      <c r="FF164" s="81"/>
      <c r="FG164" s="81"/>
      <c r="FH164" s="81"/>
      <c r="FI164" s="81"/>
      <c r="FJ164" s="81"/>
      <c r="FK164" s="81"/>
      <c r="FL164" s="81"/>
      <c r="FM164" s="81">
        <v>1.1152093982920042</v>
      </c>
      <c r="FN164" s="81"/>
      <c r="FO164" s="81"/>
      <c r="FP164" s="81"/>
      <c r="FQ164" s="81"/>
      <c r="FR164" s="81"/>
      <c r="FS164" s="81"/>
      <c r="FT164" s="81"/>
      <c r="FU164" s="81">
        <v>2.7312614652146974</v>
      </c>
      <c r="FV164" s="81">
        <v>128.55793799091308</v>
      </c>
      <c r="FW164" s="81"/>
      <c r="FX164" s="86"/>
      <c r="FY164" s="81"/>
      <c r="FZ164" s="81"/>
      <c r="GA164" s="81"/>
      <c r="GB164" s="81"/>
      <c r="GC164" s="81"/>
      <c r="GD164" s="81"/>
      <c r="GE164" s="81"/>
      <c r="GF164" s="81"/>
      <c r="GG164" s="81"/>
      <c r="GH164" s="81"/>
    </row>
    <row r="165" spans="1:190" ht="16" x14ac:dyDescent="0.2">
      <c r="A165" s="82" t="s">
        <v>376</v>
      </c>
      <c r="B165" s="81"/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  <c r="AI165" s="81"/>
      <c r="AJ165" s="81"/>
      <c r="AK165" s="81"/>
      <c r="AL165" s="81"/>
      <c r="AM165" s="81"/>
      <c r="AN165" s="81"/>
      <c r="AO165" s="81"/>
      <c r="AP165" s="81"/>
      <c r="AQ165" s="81"/>
      <c r="AR165" s="81"/>
      <c r="AS165" s="81"/>
      <c r="AT165" s="81"/>
      <c r="AU165" s="81"/>
      <c r="AV165" s="81"/>
      <c r="AW165" s="81"/>
      <c r="AX165" s="81"/>
      <c r="AY165" s="81"/>
      <c r="AZ165" s="81"/>
      <c r="BA165" s="81"/>
      <c r="BB165" s="81"/>
      <c r="BC165" s="81"/>
      <c r="BD165" s="81"/>
      <c r="BE165" s="81"/>
      <c r="BF165" s="81"/>
      <c r="BG165" s="81"/>
      <c r="BH165" s="81"/>
      <c r="BI165" s="81"/>
      <c r="BJ165" s="81"/>
      <c r="BK165" s="81"/>
      <c r="BL165" s="81"/>
      <c r="BM165" s="81"/>
      <c r="BN165" s="81"/>
      <c r="BO165" s="81"/>
      <c r="BP165" s="81"/>
      <c r="BQ165" s="81"/>
      <c r="BR165" s="81"/>
      <c r="BS165" s="81"/>
      <c r="BT165" s="81"/>
      <c r="BU165" s="81"/>
      <c r="BV165" s="81"/>
      <c r="BW165" s="81"/>
      <c r="BX165" s="81"/>
      <c r="BY165" s="81"/>
      <c r="BZ165" s="81"/>
      <c r="CA165" s="81"/>
      <c r="CB165" s="81"/>
      <c r="CC165" s="81"/>
      <c r="CD165" s="81"/>
      <c r="CE165" s="81"/>
      <c r="CF165" s="81"/>
      <c r="CG165" s="81"/>
      <c r="CH165" s="81"/>
      <c r="CI165" s="81"/>
      <c r="CJ165" s="81"/>
      <c r="CK165" s="81"/>
      <c r="CL165" s="81"/>
      <c r="CM165" s="81"/>
      <c r="CN165" s="81"/>
      <c r="CO165" s="81"/>
      <c r="CP165" s="81"/>
      <c r="CQ165" s="81"/>
      <c r="CR165" s="81"/>
      <c r="CS165" s="81"/>
      <c r="CT165" s="81"/>
      <c r="CU165" s="81"/>
      <c r="CV165" s="81"/>
      <c r="CW165" s="81"/>
      <c r="CX165" s="81"/>
      <c r="CY165" s="81"/>
      <c r="CZ165" s="81"/>
      <c r="DA165" s="81"/>
      <c r="DB165" s="81"/>
      <c r="DC165" s="81"/>
      <c r="DD165" s="81"/>
      <c r="DE165" s="81"/>
      <c r="DF165" s="81"/>
      <c r="DG165" s="81"/>
      <c r="DH165" s="81"/>
      <c r="DI165" s="81"/>
      <c r="DJ165" s="81"/>
      <c r="DK165" s="81"/>
      <c r="DL165" s="81"/>
      <c r="DM165" s="81"/>
      <c r="DN165" s="81"/>
      <c r="DO165" s="81"/>
      <c r="DP165" s="81"/>
      <c r="DQ165" s="81"/>
      <c r="DR165" s="81"/>
      <c r="DS165" s="81"/>
      <c r="DT165" s="81"/>
      <c r="DU165" s="81"/>
      <c r="DV165" s="81"/>
      <c r="DW165" s="81"/>
      <c r="DX165" s="81"/>
      <c r="DY165" s="81"/>
      <c r="DZ165" s="81"/>
      <c r="EA165" s="81"/>
      <c r="EB165" s="81"/>
      <c r="EC165" s="81"/>
      <c r="ED165" s="81"/>
      <c r="EE165" s="81"/>
      <c r="EF165" s="81"/>
      <c r="EG165" s="81"/>
      <c r="EH165" s="81"/>
      <c r="EI165" s="81"/>
      <c r="EJ165" s="81"/>
      <c r="EK165" s="81"/>
      <c r="EL165" s="81"/>
      <c r="EM165" s="92">
        <v>3.7373788321753212</v>
      </c>
      <c r="EN165" s="93">
        <f t="shared" si="0"/>
        <v>4.4623168129406594E-2</v>
      </c>
      <c r="EO165" s="90"/>
      <c r="EP165" s="90"/>
      <c r="EQ165" s="90"/>
      <c r="ER165" s="90"/>
      <c r="ES165" s="90">
        <v>17.650087275538215</v>
      </c>
      <c r="ET165" s="90">
        <v>13.447487646288454</v>
      </c>
      <c r="EU165" s="90">
        <v>32.399289048574516</v>
      </c>
      <c r="EV165" s="90">
        <v>16.73159869156666</v>
      </c>
      <c r="EW165" s="94">
        <v>0.68610114758355434</v>
      </c>
      <c r="EX165" s="81">
        <v>1.1004298837609663</v>
      </c>
      <c r="EY165" s="81">
        <v>1.7392305997044699</v>
      </c>
      <c r="EZ165" s="81"/>
      <c r="FA165" s="81"/>
      <c r="FB165" s="95">
        <v>111.3081271635328</v>
      </c>
      <c r="FC165" s="81"/>
      <c r="FD165" s="81"/>
      <c r="FE165" s="81"/>
      <c r="FF165" s="81"/>
      <c r="FG165" s="81"/>
      <c r="FH165" s="81"/>
      <c r="FI165" s="81"/>
      <c r="FJ165" s="81"/>
      <c r="FK165" s="81"/>
      <c r="FL165" s="81"/>
      <c r="FM165" s="81">
        <v>2.568037974423266</v>
      </c>
      <c r="FN165" s="81"/>
      <c r="FO165" s="81"/>
      <c r="FP165" s="81"/>
      <c r="FQ165" s="81"/>
      <c r="FR165" s="81"/>
      <c r="FS165" s="81"/>
      <c r="FT165" s="81"/>
      <c r="FU165" s="81">
        <v>10.873604218491584</v>
      </c>
      <c r="FV165" s="81">
        <v>208.50399364946452</v>
      </c>
      <c r="FW165" s="81"/>
      <c r="FX165" s="86"/>
      <c r="FY165" s="81"/>
      <c r="FZ165" s="81"/>
      <c r="GA165" s="81"/>
      <c r="GB165" s="81"/>
      <c r="GC165" s="81"/>
      <c r="GD165" s="81"/>
      <c r="GE165" s="81"/>
      <c r="GF165" s="81"/>
      <c r="GG165" s="81"/>
      <c r="GH165" s="81"/>
    </row>
    <row r="166" spans="1:190" ht="16" x14ac:dyDescent="0.2">
      <c r="A166" s="82" t="s">
        <v>377</v>
      </c>
      <c r="B166" s="81"/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  <c r="AI166" s="81"/>
      <c r="AJ166" s="81"/>
      <c r="AK166" s="81"/>
      <c r="AL166" s="81"/>
      <c r="AM166" s="81"/>
      <c r="AN166" s="81"/>
      <c r="AO166" s="81"/>
      <c r="AP166" s="81"/>
      <c r="AQ166" s="81"/>
      <c r="AR166" s="81"/>
      <c r="AS166" s="81"/>
      <c r="AT166" s="81"/>
      <c r="AU166" s="81"/>
      <c r="AV166" s="81"/>
      <c r="AW166" s="81"/>
      <c r="AX166" s="81"/>
      <c r="AY166" s="81"/>
      <c r="AZ166" s="81"/>
      <c r="BA166" s="81"/>
      <c r="BB166" s="81"/>
      <c r="BC166" s="81"/>
      <c r="BD166" s="81"/>
      <c r="BE166" s="81"/>
      <c r="BF166" s="81"/>
      <c r="BG166" s="81"/>
      <c r="BH166" s="81"/>
      <c r="BI166" s="81"/>
      <c r="BJ166" s="81"/>
      <c r="BK166" s="81"/>
      <c r="BL166" s="81"/>
      <c r="BM166" s="81"/>
      <c r="BN166" s="81"/>
      <c r="BO166" s="81"/>
      <c r="BP166" s="81"/>
      <c r="BQ166" s="81"/>
      <c r="BR166" s="81"/>
      <c r="BS166" s="81"/>
      <c r="BT166" s="81"/>
      <c r="BU166" s="81"/>
      <c r="BV166" s="81"/>
      <c r="BW166" s="81"/>
      <c r="BX166" s="81"/>
      <c r="BY166" s="81"/>
      <c r="BZ166" s="81"/>
      <c r="CA166" s="81"/>
      <c r="CB166" s="81"/>
      <c r="CC166" s="81"/>
      <c r="CD166" s="81"/>
      <c r="CE166" s="81"/>
      <c r="CF166" s="81"/>
      <c r="CG166" s="81"/>
      <c r="CH166" s="81"/>
      <c r="CI166" s="81"/>
      <c r="CJ166" s="81"/>
      <c r="CK166" s="81"/>
      <c r="CL166" s="81"/>
      <c r="CM166" s="81"/>
      <c r="CN166" s="81"/>
      <c r="CO166" s="81"/>
      <c r="CP166" s="81"/>
      <c r="CQ166" s="81"/>
      <c r="CR166" s="81"/>
      <c r="CS166" s="81"/>
      <c r="CT166" s="81"/>
      <c r="CU166" s="81"/>
      <c r="CV166" s="81"/>
      <c r="CW166" s="81"/>
      <c r="CX166" s="81"/>
      <c r="CY166" s="81"/>
      <c r="CZ166" s="81"/>
      <c r="DA166" s="81"/>
      <c r="DB166" s="81"/>
      <c r="DC166" s="81"/>
      <c r="DD166" s="81"/>
      <c r="DE166" s="81"/>
      <c r="DF166" s="81"/>
      <c r="DG166" s="81"/>
      <c r="DH166" s="81"/>
      <c r="DI166" s="81"/>
      <c r="DJ166" s="81"/>
      <c r="DK166" s="81"/>
      <c r="DL166" s="81"/>
      <c r="DM166" s="81"/>
      <c r="DN166" s="81"/>
      <c r="DO166" s="81"/>
      <c r="DP166" s="81"/>
      <c r="DQ166" s="81"/>
      <c r="DR166" s="81"/>
      <c r="DS166" s="81"/>
      <c r="DT166" s="81"/>
      <c r="DU166" s="81"/>
      <c r="DV166" s="81"/>
      <c r="DW166" s="81"/>
      <c r="DX166" s="81"/>
      <c r="DY166" s="81"/>
      <c r="DZ166" s="81"/>
      <c r="EA166" s="81"/>
      <c r="EB166" s="81"/>
      <c r="EC166" s="81"/>
      <c r="ED166" s="81"/>
      <c r="EE166" s="81"/>
      <c r="EF166" s="81"/>
      <c r="EG166" s="81"/>
      <c r="EH166" s="81"/>
      <c r="EI166" s="81"/>
      <c r="EJ166" s="81"/>
      <c r="EK166" s="81"/>
      <c r="EL166" s="81"/>
      <c r="EM166" s="92">
        <v>6.1862736359668409</v>
      </c>
      <c r="EN166" s="93">
        <f t="shared" si="0"/>
        <v>4.839225554973265E-2</v>
      </c>
      <c r="EO166" s="90"/>
      <c r="EP166" s="90"/>
      <c r="EQ166" s="90"/>
      <c r="ER166" s="90"/>
      <c r="ES166" s="90">
        <v>19.964487303600947</v>
      </c>
      <c r="ET166" s="90">
        <v>17.391530716026562</v>
      </c>
      <c r="EU166" s="90">
        <v>48.632222601847644</v>
      </c>
      <c r="EV166" s="90">
        <v>36.211132845953109</v>
      </c>
      <c r="EW166" s="94">
        <v>0.97611942344579661</v>
      </c>
      <c r="EX166" s="81">
        <v>1.5655922876130195</v>
      </c>
      <c r="EY166" s="81">
        <v>3.0949407659786905</v>
      </c>
      <c r="EZ166" s="81"/>
      <c r="FA166" s="81"/>
      <c r="FB166" s="95">
        <v>167.82087748560812</v>
      </c>
      <c r="FC166" s="81"/>
      <c r="FD166" s="81"/>
      <c r="FE166" s="81"/>
      <c r="FF166" s="81"/>
      <c r="FG166" s="81"/>
      <c r="FH166" s="81"/>
      <c r="FI166" s="81"/>
      <c r="FJ166" s="81"/>
      <c r="FK166" s="81"/>
      <c r="FL166" s="81"/>
      <c r="FM166" s="81">
        <v>4.2662050709706278</v>
      </c>
      <c r="FN166" s="81"/>
      <c r="FO166" s="81"/>
      <c r="FP166" s="81"/>
      <c r="FQ166" s="81"/>
      <c r="FR166" s="81"/>
      <c r="FS166" s="81"/>
      <c r="FT166" s="81"/>
      <c r="FU166" s="81">
        <v>8.472840492599655</v>
      </c>
      <c r="FV166" s="81">
        <v>308.39594899364414</v>
      </c>
      <c r="FW166" s="81"/>
      <c r="FX166" s="86"/>
      <c r="FY166" s="81"/>
      <c r="FZ166" s="81"/>
      <c r="GA166" s="81"/>
      <c r="GB166" s="81"/>
      <c r="GC166" s="81"/>
      <c r="GD166" s="81"/>
      <c r="GE166" s="81"/>
      <c r="GF166" s="81"/>
      <c r="GG166" s="81"/>
      <c r="GH166" s="81"/>
    </row>
    <row r="167" spans="1:190" ht="16" x14ac:dyDescent="0.2">
      <c r="A167" s="82" t="s">
        <v>378</v>
      </c>
      <c r="B167" s="81"/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  <c r="AI167" s="81"/>
      <c r="AJ167" s="81"/>
      <c r="AK167" s="81"/>
      <c r="AL167" s="81"/>
      <c r="AM167" s="81"/>
      <c r="AN167" s="81"/>
      <c r="AO167" s="81"/>
      <c r="AP167" s="81"/>
      <c r="AQ167" s="81"/>
      <c r="AR167" s="81"/>
      <c r="AS167" s="81"/>
      <c r="AT167" s="81"/>
      <c r="AU167" s="81"/>
      <c r="AV167" s="81"/>
      <c r="AW167" s="81"/>
      <c r="AX167" s="81"/>
      <c r="AY167" s="81"/>
      <c r="AZ167" s="81"/>
      <c r="BA167" s="81"/>
      <c r="BB167" s="81"/>
      <c r="BC167" s="81"/>
      <c r="BD167" s="81"/>
      <c r="BE167" s="81"/>
      <c r="BF167" s="81"/>
      <c r="BG167" s="81"/>
      <c r="BH167" s="81"/>
      <c r="BI167" s="81"/>
      <c r="BJ167" s="81"/>
      <c r="BK167" s="81"/>
      <c r="BL167" s="81"/>
      <c r="BM167" s="81"/>
      <c r="BN167" s="81"/>
      <c r="BO167" s="81"/>
      <c r="BP167" s="81"/>
      <c r="BQ167" s="81"/>
      <c r="BR167" s="81"/>
      <c r="BS167" s="81"/>
      <c r="BT167" s="81"/>
      <c r="BU167" s="81"/>
      <c r="BV167" s="81"/>
      <c r="BW167" s="81"/>
      <c r="BX167" s="81"/>
      <c r="BY167" s="81"/>
      <c r="BZ167" s="81"/>
      <c r="CA167" s="81"/>
      <c r="CB167" s="81"/>
      <c r="CC167" s="81"/>
      <c r="CD167" s="81"/>
      <c r="CE167" s="81"/>
      <c r="CF167" s="81"/>
      <c r="CG167" s="81"/>
      <c r="CH167" s="81"/>
      <c r="CI167" s="81"/>
      <c r="CJ167" s="81"/>
      <c r="CK167" s="81"/>
      <c r="CL167" s="81"/>
      <c r="CM167" s="81"/>
      <c r="CN167" s="81"/>
      <c r="CO167" s="81"/>
      <c r="CP167" s="81"/>
      <c r="CQ167" s="81"/>
      <c r="CR167" s="81"/>
      <c r="CS167" s="81"/>
      <c r="CT167" s="81"/>
      <c r="CU167" s="81"/>
      <c r="CV167" s="81"/>
      <c r="CW167" s="81"/>
      <c r="CX167" s="81"/>
      <c r="CY167" s="81"/>
      <c r="CZ167" s="81"/>
      <c r="DA167" s="81"/>
      <c r="DB167" s="81"/>
      <c r="DC167" s="81"/>
      <c r="DD167" s="81"/>
      <c r="DE167" s="81"/>
      <c r="DF167" s="81"/>
      <c r="DG167" s="81"/>
      <c r="DH167" s="81"/>
      <c r="DI167" s="81"/>
      <c r="DJ167" s="81"/>
      <c r="DK167" s="81"/>
      <c r="DL167" s="81"/>
      <c r="DM167" s="81"/>
      <c r="DN167" s="81"/>
      <c r="DO167" s="81"/>
      <c r="DP167" s="81"/>
      <c r="DQ167" s="81"/>
      <c r="DR167" s="81"/>
      <c r="DS167" s="81"/>
      <c r="DT167" s="81"/>
      <c r="DU167" s="81"/>
      <c r="DV167" s="81"/>
      <c r="DW167" s="81"/>
      <c r="DX167" s="81"/>
      <c r="DY167" s="81"/>
      <c r="DZ167" s="81"/>
      <c r="EA167" s="81"/>
      <c r="EB167" s="81"/>
      <c r="EC167" s="81"/>
      <c r="ED167" s="81"/>
      <c r="EE167" s="81"/>
      <c r="EF167" s="81"/>
      <c r="EG167" s="81"/>
      <c r="EH167" s="81"/>
      <c r="EI167" s="81"/>
      <c r="EJ167" s="81"/>
      <c r="EK167" s="81"/>
      <c r="EL167" s="81"/>
      <c r="EM167" s="92">
        <v>9.6216013307986721</v>
      </c>
      <c r="EN167" s="93">
        <f t="shared" si="0"/>
        <v>5.4988759818972784E-2</v>
      </c>
      <c r="EO167" s="90"/>
      <c r="EP167" s="90"/>
      <c r="EQ167" s="90"/>
      <c r="ER167" s="90"/>
      <c r="ES167" s="90">
        <v>21.952808113032795</v>
      </c>
      <c r="ET167" s="90">
        <v>19.997914030621036</v>
      </c>
      <c r="EU167" s="90">
        <v>63.700729302710016</v>
      </c>
      <c r="EV167" s="90">
        <v>62.21375434534724</v>
      </c>
      <c r="EW167" s="94">
        <v>1.3833391638908865</v>
      </c>
      <c r="EX167" s="81">
        <v>2.2187274537805295</v>
      </c>
      <c r="EY167" s="81">
        <v>3.5066924967859774</v>
      </c>
      <c r="EZ167" s="81"/>
      <c r="FA167" s="81"/>
      <c r="FB167" s="95">
        <v>231.50390517073873</v>
      </c>
      <c r="FC167" s="81"/>
      <c r="FD167" s="81"/>
      <c r="FE167" s="81"/>
      <c r="FF167" s="81"/>
      <c r="FG167" s="81"/>
      <c r="FH167" s="81"/>
      <c r="FI167" s="81"/>
      <c r="FJ167" s="81"/>
      <c r="FK167" s="81"/>
      <c r="FL167" s="81"/>
      <c r="FM167" s="81">
        <v>8.853938715820572</v>
      </c>
      <c r="FN167" s="81"/>
      <c r="FO167" s="81"/>
      <c r="FP167" s="81"/>
      <c r="FQ167" s="81"/>
      <c r="FR167" s="81"/>
      <c r="FS167" s="81"/>
      <c r="FT167" s="81"/>
      <c r="FU167" s="81">
        <v>35.460212812383183</v>
      </c>
      <c r="FV167" s="81">
        <v>450.79202160511102</v>
      </c>
      <c r="FW167" s="81"/>
      <c r="FX167" s="86"/>
      <c r="FY167" s="81"/>
      <c r="FZ167" s="81"/>
      <c r="GA167" s="81"/>
      <c r="GB167" s="81"/>
      <c r="GC167" s="81"/>
      <c r="GD167" s="81"/>
      <c r="GE167" s="81"/>
      <c r="GF167" s="81"/>
      <c r="GG167" s="81"/>
      <c r="GH167" s="81"/>
    </row>
    <row r="168" spans="1:190" ht="16" x14ac:dyDescent="0.2">
      <c r="A168" s="82" t="s">
        <v>379</v>
      </c>
      <c r="B168" s="81"/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  <c r="AI168" s="81"/>
      <c r="AJ168" s="81"/>
      <c r="AK168" s="81"/>
      <c r="AL168" s="81"/>
      <c r="AM168" s="81"/>
      <c r="AN168" s="81"/>
      <c r="AO168" s="81"/>
      <c r="AP168" s="81"/>
      <c r="AQ168" s="81"/>
      <c r="AR168" s="81"/>
      <c r="AS168" s="81"/>
      <c r="AT168" s="81"/>
      <c r="AU168" s="81"/>
      <c r="AV168" s="81"/>
      <c r="AW168" s="81"/>
      <c r="AX168" s="81"/>
      <c r="AY168" s="81"/>
      <c r="AZ168" s="81"/>
      <c r="BA168" s="81"/>
      <c r="BB168" s="81"/>
      <c r="BC168" s="81"/>
      <c r="BD168" s="81"/>
      <c r="BE168" s="81"/>
      <c r="BF168" s="81"/>
      <c r="BG168" s="81"/>
      <c r="BH168" s="81"/>
      <c r="BI168" s="81"/>
      <c r="BJ168" s="81"/>
      <c r="BK168" s="81"/>
      <c r="BL168" s="81"/>
      <c r="BM168" s="81"/>
      <c r="BN168" s="81"/>
      <c r="BO168" s="81"/>
      <c r="BP168" s="81"/>
      <c r="BQ168" s="81"/>
      <c r="BR168" s="81"/>
      <c r="BS168" s="81"/>
      <c r="BT168" s="81"/>
      <c r="BU168" s="81"/>
      <c r="BV168" s="81"/>
      <c r="BW168" s="81"/>
      <c r="BX168" s="81"/>
      <c r="BY168" s="81"/>
      <c r="BZ168" s="81"/>
      <c r="CA168" s="81"/>
      <c r="CB168" s="81"/>
      <c r="CC168" s="81"/>
      <c r="CD168" s="81"/>
      <c r="CE168" s="81"/>
      <c r="CF168" s="81"/>
      <c r="CG168" s="81"/>
      <c r="CH168" s="81"/>
      <c r="CI168" s="81"/>
      <c r="CJ168" s="81"/>
      <c r="CK168" s="81"/>
      <c r="CL168" s="81"/>
      <c r="CM168" s="81"/>
      <c r="CN168" s="81"/>
      <c r="CO168" s="81"/>
      <c r="CP168" s="81"/>
      <c r="CQ168" s="81"/>
      <c r="CR168" s="81"/>
      <c r="CS168" s="81"/>
      <c r="CT168" s="81"/>
      <c r="CU168" s="81"/>
      <c r="CV168" s="81"/>
      <c r="CW168" s="81"/>
      <c r="CX168" s="81"/>
      <c r="CY168" s="81"/>
      <c r="CZ168" s="81"/>
      <c r="DA168" s="81"/>
      <c r="DB168" s="81"/>
      <c r="DC168" s="81"/>
      <c r="DD168" s="81"/>
      <c r="DE168" s="81"/>
      <c r="DF168" s="81"/>
      <c r="DG168" s="81"/>
      <c r="DH168" s="81"/>
      <c r="DI168" s="81"/>
      <c r="DJ168" s="81"/>
      <c r="DK168" s="81"/>
      <c r="DL168" s="81"/>
      <c r="DM168" s="81"/>
      <c r="DN168" s="81"/>
      <c r="DO168" s="81"/>
      <c r="DP168" s="81"/>
      <c r="DQ168" s="81"/>
      <c r="DR168" s="81"/>
      <c r="DS168" s="81"/>
      <c r="DT168" s="81"/>
      <c r="DU168" s="81"/>
      <c r="DV168" s="81"/>
      <c r="DW168" s="81"/>
      <c r="DX168" s="81"/>
      <c r="DY168" s="81"/>
      <c r="DZ168" s="81"/>
      <c r="EA168" s="81"/>
      <c r="EB168" s="81"/>
      <c r="EC168" s="81"/>
      <c r="ED168" s="81"/>
      <c r="EE168" s="81"/>
      <c r="EF168" s="81"/>
      <c r="EG168" s="81"/>
      <c r="EH168" s="81"/>
      <c r="EI168" s="81"/>
      <c r="EJ168" s="81"/>
      <c r="EK168" s="81"/>
      <c r="EL168" s="81"/>
      <c r="EM168" s="92">
        <v>28.972067669629649</v>
      </c>
      <c r="EN168" s="93">
        <f t="shared" si="0"/>
        <v>6.5644214039459914E-2</v>
      </c>
      <c r="EO168" s="90"/>
      <c r="EP168" s="90"/>
      <c r="EQ168" s="90"/>
      <c r="ER168" s="90"/>
      <c r="ES168" s="90">
        <v>19.499982834542443</v>
      </c>
      <c r="ET168" s="90">
        <v>19.221642122326184</v>
      </c>
      <c r="EU168" s="90">
        <v>81.592338420251252</v>
      </c>
      <c r="EV168" s="90">
        <v>310.79603990795476</v>
      </c>
      <c r="EW168" s="94">
        <v>1.9927991676404406</v>
      </c>
      <c r="EX168" s="81">
        <v>3.1960868979797583</v>
      </c>
      <c r="EY168" s="81">
        <v>5.0510162512523298</v>
      </c>
      <c r="EZ168" s="81"/>
      <c r="FA168" s="81"/>
      <c r="FB168" s="95">
        <v>771.66845174060938</v>
      </c>
      <c r="FC168" s="81"/>
      <c r="FD168" s="81"/>
      <c r="FE168" s="81"/>
      <c r="FF168" s="81"/>
      <c r="FG168" s="81"/>
      <c r="FH168" s="81"/>
      <c r="FI168" s="81"/>
      <c r="FJ168" s="81"/>
      <c r="FK168" s="81"/>
      <c r="FL168" s="81"/>
      <c r="FM168" s="81">
        <v>31.542887671065497</v>
      </c>
      <c r="FN168" s="81"/>
      <c r="FO168" s="81"/>
      <c r="FP168" s="81"/>
      <c r="FQ168" s="81"/>
      <c r="FR168" s="81"/>
      <c r="FS168" s="81"/>
      <c r="FT168" s="81"/>
      <c r="FU168" s="81">
        <v>93.233560260231116</v>
      </c>
      <c r="FV168" s="81">
        <v>1337.7948052738532</v>
      </c>
      <c r="FW168" s="81"/>
      <c r="FX168" s="86"/>
      <c r="FY168" s="81"/>
      <c r="FZ168" s="81"/>
      <c r="GA168" s="81"/>
      <c r="GB168" s="81"/>
      <c r="GC168" s="81"/>
      <c r="GD168" s="81"/>
      <c r="GE168" s="81"/>
      <c r="GF168" s="81"/>
      <c r="GG168" s="81"/>
      <c r="GH168" s="81"/>
    </row>
    <row r="169" spans="1:190" x14ac:dyDescent="0.2">
      <c r="A169" s="82" t="s">
        <v>380</v>
      </c>
      <c r="B169" s="81"/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  <c r="AI169" s="81"/>
      <c r="AJ169" s="81"/>
      <c r="AK169" s="81"/>
      <c r="AL169" s="81"/>
      <c r="AM169" s="81"/>
      <c r="AN169" s="81"/>
      <c r="AO169" s="81"/>
      <c r="AP169" s="81"/>
      <c r="AQ169" s="81"/>
      <c r="AR169" s="81"/>
      <c r="AS169" s="81"/>
      <c r="AT169" s="81"/>
      <c r="AU169" s="81"/>
      <c r="AV169" s="81"/>
      <c r="AW169" s="81"/>
      <c r="AX169" s="81"/>
      <c r="AY169" s="81"/>
      <c r="AZ169" s="81"/>
      <c r="BA169" s="81"/>
      <c r="BB169" s="81"/>
      <c r="BC169" s="81"/>
      <c r="BD169" s="81"/>
      <c r="BE169" s="81"/>
      <c r="BF169" s="81"/>
      <c r="BG169" s="81"/>
      <c r="BH169" s="81"/>
      <c r="BI169" s="81"/>
      <c r="BJ169" s="81"/>
      <c r="BK169" s="81"/>
      <c r="BL169" s="81"/>
      <c r="BM169" s="81"/>
      <c r="BN169" s="81"/>
      <c r="BO169" s="81"/>
      <c r="BP169" s="81"/>
      <c r="BQ169" s="81"/>
      <c r="BR169" s="81"/>
      <c r="BS169" s="81"/>
      <c r="BT169" s="81"/>
      <c r="BU169" s="81"/>
      <c r="BV169" s="81"/>
      <c r="BW169" s="81"/>
      <c r="BX169" s="81"/>
      <c r="BY169" s="81"/>
      <c r="BZ169" s="81"/>
      <c r="CA169" s="81"/>
      <c r="CB169" s="81"/>
      <c r="CC169" s="81"/>
      <c r="CD169" s="81"/>
      <c r="CE169" s="81"/>
      <c r="CF169" s="81"/>
      <c r="CG169" s="81"/>
      <c r="CH169" s="81"/>
      <c r="CI169" s="81"/>
      <c r="CJ169" s="81"/>
      <c r="CK169" s="81"/>
      <c r="CL169" s="81"/>
      <c r="CM169" s="81"/>
      <c r="CN169" s="81"/>
      <c r="CO169" s="81"/>
      <c r="CP169" s="81"/>
      <c r="CQ169" s="81"/>
      <c r="CR169" s="81"/>
      <c r="CS169" s="81"/>
      <c r="CT169" s="81"/>
      <c r="CU169" s="81"/>
      <c r="CV169" s="81"/>
      <c r="CW169" s="81"/>
      <c r="CX169" s="81"/>
      <c r="CY169" s="81"/>
      <c r="CZ169" s="81"/>
      <c r="DA169" s="81"/>
      <c r="DB169" s="81"/>
      <c r="DC169" s="81"/>
      <c r="DD169" s="81"/>
      <c r="DE169" s="81"/>
      <c r="DF169" s="81"/>
      <c r="DG169" s="81"/>
      <c r="DH169" s="81"/>
      <c r="DI169" s="81"/>
      <c r="DJ169" s="81"/>
      <c r="DK169" s="81"/>
      <c r="DL169" s="81"/>
      <c r="DM169" s="81"/>
      <c r="DN169" s="81"/>
      <c r="DO169" s="81"/>
      <c r="DP169" s="81"/>
      <c r="DQ169" s="81"/>
      <c r="DR169" s="81"/>
      <c r="DS169" s="81"/>
      <c r="DT169" s="81"/>
      <c r="DU169" s="81"/>
      <c r="DV169" s="81"/>
      <c r="DW169" s="81"/>
      <c r="DX169" s="81"/>
      <c r="DY169" s="81"/>
      <c r="DZ169" s="81"/>
      <c r="EA169" s="81"/>
      <c r="EB169" s="81"/>
      <c r="EC169" s="81"/>
      <c r="ED169" s="81"/>
      <c r="EE169" s="81"/>
      <c r="EF169" s="81"/>
      <c r="EG169" s="81"/>
      <c r="EH169" s="81"/>
      <c r="EI169" s="81"/>
      <c r="EJ169" s="81"/>
      <c r="EK169" s="81"/>
      <c r="EL169" s="81"/>
      <c r="EM169" s="81"/>
      <c r="EN169" s="81"/>
      <c r="EO169" s="81"/>
      <c r="EP169" s="81"/>
      <c r="EQ169" s="81"/>
      <c r="ER169" s="81"/>
      <c r="ES169" s="81"/>
      <c r="ET169" s="81"/>
      <c r="EU169" s="81"/>
      <c r="EV169" s="81"/>
      <c r="EW169" s="81"/>
      <c r="EX169" s="81"/>
      <c r="EY169" s="81"/>
      <c r="EZ169" s="81"/>
      <c r="FA169" s="81"/>
      <c r="FB169" s="81">
        <v>200.5356988626917</v>
      </c>
      <c r="FC169" s="81">
        <v>6.5607264424748485E-2</v>
      </c>
      <c r="FD169" s="81">
        <v>0.10954696075165286</v>
      </c>
      <c r="FE169" s="81">
        <v>0.12536636676334398</v>
      </c>
      <c r="FF169" s="81">
        <v>0.15548016120175706</v>
      </c>
      <c r="FG169" s="81">
        <v>0.17648141247233759</v>
      </c>
      <c r="FH169" s="81">
        <v>2.957228944497443E-2</v>
      </c>
      <c r="FI169" s="81">
        <v>6.6634059132051462E-2</v>
      </c>
      <c r="FJ169" s="81">
        <v>0.11032003960374931</v>
      </c>
      <c r="FK169" s="81">
        <v>0.17162242189894886</v>
      </c>
      <c r="FL169" s="81">
        <v>0.51699996327437681</v>
      </c>
      <c r="FM169" s="81"/>
      <c r="FN169" s="81">
        <v>285.6742396414619</v>
      </c>
      <c r="FO169" s="81">
        <v>4.8563916766908672</v>
      </c>
      <c r="FP169" s="81">
        <v>40.42012492275186</v>
      </c>
      <c r="FQ169" s="81">
        <v>309.89915980604241</v>
      </c>
      <c r="FR169" s="81">
        <v>-200.60727123785821</v>
      </c>
      <c r="FS169" s="81"/>
      <c r="FT169" s="81"/>
      <c r="FU169" s="81">
        <v>2.6107840807819684</v>
      </c>
      <c r="FV169" s="81">
        <v>644.9167586915305</v>
      </c>
      <c r="FW169" s="81"/>
      <c r="FX169" s="86"/>
      <c r="FY169" s="81"/>
      <c r="FZ169" s="81"/>
      <c r="GA169" s="81"/>
      <c r="GB169" s="81"/>
      <c r="GC169" s="81"/>
      <c r="GD169" s="81"/>
      <c r="GE169" s="81"/>
      <c r="GF169" s="81"/>
      <c r="GG169" s="81"/>
      <c r="GH169" s="81"/>
    </row>
    <row r="170" spans="1:190" x14ac:dyDescent="0.2">
      <c r="A170" s="82" t="s">
        <v>381</v>
      </c>
      <c r="B170" s="81"/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  <c r="AI170" s="81"/>
      <c r="AJ170" s="81"/>
      <c r="AK170" s="81"/>
      <c r="AL170" s="81"/>
      <c r="AM170" s="81"/>
      <c r="AN170" s="81"/>
      <c r="AO170" s="81"/>
      <c r="AP170" s="81"/>
      <c r="AQ170" s="81"/>
      <c r="AR170" s="81"/>
      <c r="AS170" s="81"/>
      <c r="AT170" s="81"/>
      <c r="AU170" s="81"/>
      <c r="AV170" s="81"/>
      <c r="AW170" s="81"/>
      <c r="AX170" s="81"/>
      <c r="AY170" s="81"/>
      <c r="AZ170" s="81"/>
      <c r="BA170" s="81"/>
      <c r="BB170" s="81"/>
      <c r="BC170" s="81"/>
      <c r="BD170" s="81"/>
      <c r="BE170" s="81"/>
      <c r="BF170" s="81"/>
      <c r="BG170" s="81"/>
      <c r="BH170" s="81"/>
      <c r="BI170" s="81"/>
      <c r="BJ170" s="81"/>
      <c r="BK170" s="81"/>
      <c r="BL170" s="81"/>
      <c r="BM170" s="81"/>
      <c r="BN170" s="81"/>
      <c r="BO170" s="81"/>
      <c r="BP170" s="81"/>
      <c r="BQ170" s="81"/>
      <c r="BR170" s="81"/>
      <c r="BS170" s="81"/>
      <c r="BT170" s="81"/>
      <c r="BU170" s="81"/>
      <c r="BV170" s="81"/>
      <c r="BW170" s="81"/>
      <c r="BX170" s="81"/>
      <c r="BY170" s="81"/>
      <c r="BZ170" s="81"/>
      <c r="CA170" s="81"/>
      <c r="CB170" s="81"/>
      <c r="CC170" s="81"/>
      <c r="CD170" s="81"/>
      <c r="CE170" s="81"/>
      <c r="CF170" s="81"/>
      <c r="CG170" s="81"/>
      <c r="CH170" s="81"/>
      <c r="CI170" s="81"/>
      <c r="CJ170" s="81"/>
      <c r="CK170" s="81"/>
      <c r="CL170" s="81"/>
      <c r="CM170" s="81"/>
      <c r="CN170" s="81"/>
      <c r="CO170" s="81"/>
      <c r="CP170" s="81"/>
      <c r="CQ170" s="81"/>
      <c r="CR170" s="81"/>
      <c r="CS170" s="81"/>
      <c r="CT170" s="81"/>
      <c r="CU170" s="81"/>
      <c r="CV170" s="81"/>
      <c r="CW170" s="81"/>
      <c r="CX170" s="81"/>
      <c r="CY170" s="81"/>
      <c r="CZ170" s="81"/>
      <c r="DA170" s="81"/>
      <c r="DB170" s="81"/>
      <c r="DC170" s="81"/>
      <c r="DD170" s="81"/>
      <c r="DE170" s="81"/>
      <c r="DF170" s="81"/>
      <c r="DG170" s="81"/>
      <c r="DH170" s="81"/>
      <c r="DI170" s="81"/>
      <c r="DJ170" s="81"/>
      <c r="DK170" s="81"/>
      <c r="DL170" s="81"/>
      <c r="DM170" s="81"/>
      <c r="DN170" s="81"/>
      <c r="DO170" s="81"/>
      <c r="DP170" s="81"/>
      <c r="DQ170" s="81"/>
      <c r="DR170" s="81"/>
      <c r="DS170" s="81"/>
      <c r="DT170" s="81"/>
      <c r="DU170" s="81"/>
      <c r="DV170" s="81"/>
      <c r="DW170" s="81"/>
      <c r="DX170" s="81"/>
      <c r="DY170" s="81"/>
      <c r="DZ170" s="81"/>
      <c r="EA170" s="81"/>
      <c r="EB170" s="81"/>
      <c r="EC170" s="81"/>
      <c r="ED170" s="81"/>
      <c r="EE170" s="81"/>
      <c r="EF170" s="81"/>
      <c r="EG170" s="81"/>
      <c r="EH170" s="81"/>
      <c r="EI170" s="81"/>
      <c r="EJ170" s="81"/>
      <c r="EK170" s="81"/>
      <c r="EL170" s="81"/>
      <c r="EM170" s="96"/>
      <c r="EN170" s="81"/>
      <c r="EO170" s="81"/>
      <c r="EP170" s="81"/>
      <c r="EQ170" s="81"/>
      <c r="ER170" s="81"/>
      <c r="ES170" s="81"/>
      <c r="ET170" s="81"/>
      <c r="EU170" s="81"/>
      <c r="EV170" s="81"/>
      <c r="EW170" s="81"/>
      <c r="EX170" s="81"/>
      <c r="EY170" s="81"/>
      <c r="EZ170" s="81"/>
      <c r="FA170" s="81"/>
      <c r="FB170" s="81">
        <v>198.90590401562633</v>
      </c>
      <c r="FC170" s="92">
        <v>3.679292488673148</v>
      </c>
      <c r="FD170" s="92">
        <v>6.1423105697771678</v>
      </c>
      <c r="FE170" s="92">
        <v>7.3219429345410587</v>
      </c>
      <c r="FF170" s="92">
        <v>9.1533113267838981</v>
      </c>
      <c r="FG170" s="92">
        <v>10.295193784426878</v>
      </c>
      <c r="FH170" s="92">
        <v>1.6589630530629935</v>
      </c>
      <c r="FI170" s="92">
        <v>3.7373788321753212</v>
      </c>
      <c r="FJ170" s="92">
        <v>6.1862736359668409</v>
      </c>
      <c r="FK170" s="92">
        <v>9.6216013307986721</v>
      </c>
      <c r="FL170" s="92">
        <v>28.972067669629649</v>
      </c>
      <c r="FM170" s="81"/>
      <c r="FN170" s="81"/>
      <c r="FO170" s="81"/>
      <c r="FP170" s="81"/>
      <c r="FQ170" s="81"/>
      <c r="FR170" s="81"/>
      <c r="FS170" s="81"/>
      <c r="FT170" s="81"/>
      <c r="FU170" s="81"/>
      <c r="FV170" s="81">
        <v>285.67423964146201</v>
      </c>
      <c r="FW170" s="81"/>
      <c r="FX170" s="86"/>
      <c r="FY170" s="81"/>
      <c r="FZ170" s="81"/>
      <c r="GA170" s="81"/>
      <c r="GB170" s="81"/>
      <c r="GC170" s="81"/>
      <c r="GD170" s="81"/>
      <c r="GE170" s="81"/>
      <c r="GF170" s="81"/>
      <c r="GG170" s="81"/>
      <c r="GH170" s="81"/>
    </row>
    <row r="171" spans="1:190" x14ac:dyDescent="0.2">
      <c r="A171" s="82" t="s">
        <v>382</v>
      </c>
      <c r="B171" s="81"/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  <c r="AI171" s="81"/>
      <c r="AJ171" s="81"/>
      <c r="AK171" s="81"/>
      <c r="AL171" s="81"/>
      <c r="AM171" s="81"/>
      <c r="AN171" s="81"/>
      <c r="AO171" s="81"/>
      <c r="AP171" s="81"/>
      <c r="AQ171" s="81"/>
      <c r="AR171" s="81"/>
      <c r="AS171" s="81"/>
      <c r="AT171" s="81"/>
      <c r="AU171" s="81"/>
      <c r="AV171" s="81"/>
      <c r="AW171" s="81"/>
      <c r="AX171" s="81"/>
      <c r="AY171" s="81"/>
      <c r="AZ171" s="81"/>
      <c r="BA171" s="81"/>
      <c r="BB171" s="81"/>
      <c r="BC171" s="81"/>
      <c r="BD171" s="81"/>
      <c r="BE171" s="81"/>
      <c r="BF171" s="81"/>
      <c r="BG171" s="81"/>
      <c r="BH171" s="81"/>
      <c r="BI171" s="81"/>
      <c r="BJ171" s="81"/>
      <c r="BK171" s="81"/>
      <c r="BL171" s="81"/>
      <c r="BM171" s="81"/>
      <c r="BN171" s="81"/>
      <c r="BO171" s="81"/>
      <c r="BP171" s="81"/>
      <c r="BQ171" s="81"/>
      <c r="BR171" s="81"/>
      <c r="BS171" s="81"/>
      <c r="BT171" s="81"/>
      <c r="BU171" s="81"/>
      <c r="BV171" s="81"/>
      <c r="BW171" s="81"/>
      <c r="BX171" s="81"/>
      <c r="BY171" s="81"/>
      <c r="BZ171" s="81"/>
      <c r="CA171" s="81"/>
      <c r="CB171" s="81"/>
      <c r="CC171" s="81"/>
      <c r="CD171" s="81"/>
      <c r="CE171" s="81"/>
      <c r="CF171" s="81"/>
      <c r="CG171" s="81"/>
      <c r="CH171" s="81"/>
      <c r="CI171" s="81"/>
      <c r="CJ171" s="81"/>
      <c r="CK171" s="81"/>
      <c r="CL171" s="81"/>
      <c r="CM171" s="81"/>
      <c r="CN171" s="81"/>
      <c r="CO171" s="81"/>
      <c r="CP171" s="81"/>
      <c r="CQ171" s="81"/>
      <c r="CR171" s="81"/>
      <c r="CS171" s="81"/>
      <c r="CT171" s="81"/>
      <c r="CU171" s="81"/>
      <c r="CV171" s="81"/>
      <c r="CW171" s="81"/>
      <c r="CX171" s="81"/>
      <c r="CY171" s="81"/>
      <c r="CZ171" s="81"/>
      <c r="DA171" s="81"/>
      <c r="DB171" s="81"/>
      <c r="DC171" s="81"/>
      <c r="DD171" s="81"/>
      <c r="DE171" s="81"/>
      <c r="DF171" s="81"/>
      <c r="DG171" s="81"/>
      <c r="DH171" s="81"/>
      <c r="DI171" s="81"/>
      <c r="DJ171" s="81"/>
      <c r="DK171" s="81"/>
      <c r="DL171" s="81"/>
      <c r="DM171" s="81"/>
      <c r="DN171" s="81"/>
      <c r="DO171" s="81"/>
      <c r="DP171" s="81"/>
      <c r="DQ171" s="81"/>
      <c r="DR171" s="81"/>
      <c r="DS171" s="81"/>
      <c r="DT171" s="81"/>
      <c r="DU171" s="81"/>
      <c r="DV171" s="81"/>
      <c r="DW171" s="81"/>
      <c r="DX171" s="81"/>
      <c r="DY171" s="81"/>
      <c r="DZ171" s="81"/>
      <c r="EA171" s="81"/>
      <c r="EB171" s="81"/>
      <c r="EC171" s="81"/>
      <c r="ED171" s="81"/>
      <c r="EE171" s="81"/>
      <c r="EF171" s="81"/>
      <c r="EG171" s="81"/>
      <c r="EH171" s="81"/>
      <c r="EI171" s="81"/>
      <c r="EJ171" s="81"/>
      <c r="EK171" s="81"/>
      <c r="EL171" s="81"/>
      <c r="EM171" s="81"/>
      <c r="EN171" s="81"/>
      <c r="EO171" s="81"/>
      <c r="EP171" s="81"/>
      <c r="EQ171" s="81"/>
      <c r="ER171" s="81"/>
      <c r="ES171" s="81"/>
      <c r="ET171" s="81"/>
      <c r="EU171" s="81"/>
      <c r="EV171" s="81"/>
      <c r="EW171" s="81"/>
      <c r="EX171" s="81"/>
      <c r="EY171" s="81"/>
      <c r="EZ171" s="81">
        <v>4.8563916766908672</v>
      </c>
      <c r="FA171" s="81"/>
      <c r="FB171" s="81"/>
      <c r="FC171" s="81"/>
      <c r="FD171" s="81"/>
      <c r="FE171" s="81"/>
      <c r="FF171" s="81"/>
      <c r="FG171" s="81"/>
      <c r="FH171" s="81"/>
      <c r="FI171" s="81"/>
      <c r="FJ171" s="81"/>
      <c r="FK171" s="81"/>
      <c r="FL171" s="81"/>
      <c r="FM171" s="81"/>
      <c r="FN171" s="81"/>
      <c r="FO171" s="81"/>
      <c r="FP171" s="81"/>
      <c r="FQ171" s="81"/>
      <c r="FR171" s="81"/>
      <c r="FS171" s="81"/>
      <c r="FT171" s="81"/>
      <c r="FU171" s="81"/>
      <c r="FV171" s="81">
        <v>4.8563916766908672</v>
      </c>
      <c r="FW171" s="81"/>
      <c r="FX171" s="86"/>
      <c r="FY171" s="81"/>
      <c r="FZ171" s="81"/>
      <c r="GA171" s="81"/>
      <c r="GB171" s="81"/>
      <c r="GC171" s="81"/>
      <c r="GD171" s="81"/>
      <c r="GE171" s="81"/>
      <c r="GF171" s="81"/>
      <c r="GG171" s="81"/>
      <c r="GH171" s="81"/>
    </row>
    <row r="172" spans="1:190" x14ac:dyDescent="0.2">
      <c r="A172" s="82" t="s">
        <v>383</v>
      </c>
      <c r="B172" s="81"/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  <c r="AI172" s="81"/>
      <c r="AJ172" s="81"/>
      <c r="AK172" s="81"/>
      <c r="AL172" s="81"/>
      <c r="AM172" s="81"/>
      <c r="AN172" s="81"/>
      <c r="AO172" s="81"/>
      <c r="AP172" s="81"/>
      <c r="AQ172" s="81"/>
      <c r="AR172" s="81"/>
      <c r="AS172" s="81"/>
      <c r="AT172" s="81"/>
      <c r="AU172" s="81"/>
      <c r="AV172" s="81"/>
      <c r="AW172" s="81"/>
      <c r="AX172" s="81"/>
      <c r="AY172" s="81"/>
      <c r="AZ172" s="81"/>
      <c r="BA172" s="81"/>
      <c r="BB172" s="81"/>
      <c r="BC172" s="81"/>
      <c r="BD172" s="81"/>
      <c r="BE172" s="81"/>
      <c r="BF172" s="81"/>
      <c r="BG172" s="81"/>
      <c r="BH172" s="81"/>
      <c r="BI172" s="81"/>
      <c r="BJ172" s="81"/>
      <c r="BK172" s="81"/>
      <c r="BL172" s="81"/>
      <c r="BM172" s="81"/>
      <c r="BN172" s="81"/>
      <c r="BO172" s="81"/>
      <c r="BP172" s="81"/>
      <c r="BQ172" s="81"/>
      <c r="BR172" s="81"/>
      <c r="BS172" s="97"/>
      <c r="BT172" s="97"/>
      <c r="BU172" s="97"/>
      <c r="BV172" s="97"/>
      <c r="BW172" s="97">
        <v>2.697002158140276E-3</v>
      </c>
      <c r="BX172" s="97">
        <v>1.6715552593885284E-3</v>
      </c>
      <c r="BY172" s="97">
        <v>3.1238395633282965E-5</v>
      </c>
      <c r="BZ172" s="97">
        <v>4.6304756424315696E-2</v>
      </c>
      <c r="CA172" s="97">
        <v>5.1043821136370921E-3</v>
      </c>
      <c r="CB172" s="97">
        <v>2.2505594976778321E-4</v>
      </c>
      <c r="CC172" s="97">
        <v>1.6375532965491588E-4</v>
      </c>
      <c r="CD172" s="97">
        <v>0.18359452112878186</v>
      </c>
      <c r="CE172" s="97"/>
      <c r="CF172" s="97">
        <v>0.61701757875162466</v>
      </c>
      <c r="CG172" s="97">
        <v>1.6349709622349818E-2</v>
      </c>
      <c r="CH172" s="97"/>
      <c r="CI172" s="97"/>
      <c r="CJ172" s="97"/>
      <c r="CK172" s="97"/>
      <c r="CL172" s="97"/>
      <c r="CM172" s="97"/>
      <c r="CN172" s="97">
        <v>1.2578381942527646E-4</v>
      </c>
      <c r="CO172" s="97">
        <v>1.3218132395974452E-2</v>
      </c>
      <c r="CP172" s="97">
        <v>7.2103170264511843E-4</v>
      </c>
      <c r="CQ172" s="97">
        <v>2.17382733168868E-4</v>
      </c>
      <c r="CR172" s="97"/>
      <c r="CS172" s="97"/>
      <c r="CT172" s="97">
        <v>3.0056374660932576E-2</v>
      </c>
      <c r="CU172" s="97">
        <v>0.81210214640857425</v>
      </c>
      <c r="CV172" s="97">
        <v>0.19837823283676428</v>
      </c>
      <c r="CW172" s="97">
        <v>6.3383316211087254E-2</v>
      </c>
      <c r="CX172" s="97">
        <v>0.15790276378186047</v>
      </c>
      <c r="CY172" s="97">
        <v>0.26453614550883681</v>
      </c>
      <c r="CZ172" s="97">
        <v>1.0741852454166948E-3</v>
      </c>
      <c r="DA172" s="97"/>
      <c r="DB172" s="97"/>
      <c r="DC172" s="97">
        <v>1.1469341857041507E-3</v>
      </c>
      <c r="DD172" s="97">
        <v>4.3584636354353209E-2</v>
      </c>
      <c r="DE172" s="97">
        <v>0.31390616360557877</v>
      </c>
      <c r="DF172" s="97">
        <v>5.8529958859657842</v>
      </c>
      <c r="DG172" s="97">
        <v>1.7978328403496245E-2</v>
      </c>
      <c r="DH172" s="97">
        <v>2.3318648792408275E-2</v>
      </c>
      <c r="DI172" s="97">
        <v>0.53282703861970659</v>
      </c>
      <c r="DJ172" s="97"/>
      <c r="DK172" s="97">
        <v>5.6961685215221234</v>
      </c>
      <c r="DL172" s="97">
        <v>1.3499358476810739</v>
      </c>
      <c r="DM172" s="97">
        <v>0.58047925264083522</v>
      </c>
      <c r="DN172" s="97">
        <v>0.39775425134428299</v>
      </c>
      <c r="DO172" s="97">
        <v>0.45613818713327042</v>
      </c>
      <c r="DP172" s="97">
        <v>5.704386712239827E-2</v>
      </c>
      <c r="DQ172" s="97">
        <v>2.8510796481799126E-2</v>
      </c>
      <c r="DR172" s="97">
        <v>1.7422158223769288</v>
      </c>
      <c r="DS172" s="97">
        <v>0.45692818446731825</v>
      </c>
      <c r="DT172" s="97">
        <v>1.9579082910745875</v>
      </c>
      <c r="DU172" s="97">
        <v>2.9919400285823645</v>
      </c>
      <c r="DV172" s="97">
        <v>2.366628399395033</v>
      </c>
      <c r="DW172" s="97">
        <v>12.79955153208134</v>
      </c>
      <c r="DX172" s="97">
        <v>0.33828851229424395</v>
      </c>
      <c r="DY172" s="97">
        <v>7.4218922680033301E-7</v>
      </c>
      <c r="DZ172" s="97"/>
      <c r="EA172" s="97"/>
      <c r="EB172" s="97"/>
      <c r="EC172" s="97"/>
      <c r="ED172" s="97"/>
      <c r="EE172" s="97"/>
      <c r="EF172" s="97"/>
      <c r="EG172" s="97"/>
      <c r="EH172" s="97"/>
      <c r="EI172" s="97"/>
      <c r="EJ172" s="97"/>
      <c r="EK172" s="97"/>
      <c r="EL172" s="97"/>
      <c r="EM172" s="97"/>
      <c r="EN172" s="81"/>
      <c r="EO172" s="81"/>
      <c r="EP172" s="81"/>
      <c r="EQ172" s="81"/>
      <c r="ER172" s="81"/>
      <c r="ES172" s="81"/>
      <c r="ET172" s="81"/>
      <c r="EU172" s="81"/>
      <c r="EV172" s="81"/>
      <c r="EW172" s="81"/>
      <c r="EX172" s="81"/>
      <c r="EY172" s="81"/>
      <c r="EZ172" s="81"/>
      <c r="FA172" s="81"/>
      <c r="FB172" s="81"/>
      <c r="FC172" s="81"/>
      <c r="FD172" s="81"/>
      <c r="FE172" s="81"/>
      <c r="FF172" s="81"/>
      <c r="FG172" s="81"/>
      <c r="FH172" s="81"/>
      <c r="FI172" s="81"/>
      <c r="FJ172" s="81"/>
      <c r="FK172" s="81"/>
      <c r="FL172" s="81"/>
      <c r="FM172" s="81"/>
      <c r="FN172" s="81"/>
      <c r="FO172" s="81"/>
      <c r="FP172" s="81"/>
      <c r="FQ172" s="81"/>
      <c r="FR172" s="81"/>
      <c r="FS172" s="81"/>
      <c r="FT172" s="81"/>
      <c r="FU172" s="81"/>
      <c r="FV172" s="81">
        <v>40.420124922751832</v>
      </c>
      <c r="FW172" s="81"/>
      <c r="FX172" s="86"/>
      <c r="FY172" s="81"/>
      <c r="FZ172" s="92"/>
      <c r="GA172" s="81"/>
      <c r="GB172" s="81"/>
      <c r="GC172" s="81"/>
      <c r="GD172" s="81"/>
      <c r="GE172" s="81"/>
      <c r="GF172" s="81"/>
      <c r="GG172" s="81"/>
      <c r="GH172" s="81"/>
    </row>
    <row r="173" spans="1:190" x14ac:dyDescent="0.2">
      <c r="A173" s="82" t="s">
        <v>384</v>
      </c>
      <c r="B173" s="81"/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  <c r="AI173" s="81"/>
      <c r="AJ173" s="81"/>
      <c r="AK173" s="81"/>
      <c r="AL173" s="81"/>
      <c r="AM173" s="81"/>
      <c r="AN173" s="81"/>
      <c r="AO173" s="81"/>
      <c r="AP173" s="81"/>
      <c r="AQ173" s="81"/>
      <c r="AR173" s="81"/>
      <c r="AS173" s="81"/>
      <c r="AT173" s="81"/>
      <c r="AU173" s="81"/>
      <c r="AV173" s="81"/>
      <c r="AW173" s="81"/>
      <c r="AX173" s="81"/>
      <c r="AY173" s="81"/>
      <c r="AZ173" s="81"/>
      <c r="BA173" s="81"/>
      <c r="BB173" s="81"/>
      <c r="BC173" s="81"/>
      <c r="BD173" s="81"/>
      <c r="BE173" s="81"/>
      <c r="BF173" s="81"/>
      <c r="BG173" s="81"/>
      <c r="BH173" s="81"/>
      <c r="BI173" s="81"/>
      <c r="BJ173" s="81"/>
      <c r="BK173" s="81"/>
      <c r="BL173" s="81"/>
      <c r="BM173" s="81"/>
      <c r="BN173" s="81"/>
      <c r="BO173" s="81"/>
      <c r="BP173" s="81"/>
      <c r="BQ173" s="81"/>
      <c r="BR173" s="81"/>
      <c r="BS173" s="97">
        <v>2.3201439014593106</v>
      </c>
      <c r="BT173" s="97">
        <v>0.24576414257648516</v>
      </c>
      <c r="BU173" s="97">
        <v>0.78402533150214182</v>
      </c>
      <c r="BV173" s="97">
        <v>1.9875331401858005</v>
      </c>
      <c r="BW173" s="97">
        <v>4.2760053918217571E-2</v>
      </c>
      <c r="BX173" s="97">
        <v>0.29960442765973427</v>
      </c>
      <c r="BY173" s="97">
        <v>0.38155548885301221</v>
      </c>
      <c r="BZ173" s="97">
        <v>0.6679769872997513</v>
      </c>
      <c r="CA173" s="97">
        <v>0.13415520999573713</v>
      </c>
      <c r="CB173" s="97">
        <v>0.45013869328746586</v>
      </c>
      <c r="CC173" s="97"/>
      <c r="CD173" s="97"/>
      <c r="CE173" s="97">
        <v>3.6886645954934176E-2</v>
      </c>
      <c r="CF173" s="97">
        <v>1.1834819806597106</v>
      </c>
      <c r="CG173" s="97">
        <v>0.2815912267489904</v>
      </c>
      <c r="CH173" s="97"/>
      <c r="CI173" s="97">
        <v>6.8633374757534932E-5</v>
      </c>
      <c r="CJ173" s="97">
        <v>0.18469133513858851</v>
      </c>
      <c r="CK173" s="97"/>
      <c r="CL173" s="97">
        <v>4.8622587338736983E-3</v>
      </c>
      <c r="CM173" s="97"/>
      <c r="CN173" s="97">
        <v>9.7316914731136704E-3</v>
      </c>
      <c r="CO173" s="97">
        <v>2.4063066401069373E-2</v>
      </c>
      <c r="CP173" s="97">
        <v>7.8603583619191674E-4</v>
      </c>
      <c r="CQ173" s="97">
        <v>5.9940319727681109E-2</v>
      </c>
      <c r="CR173" s="97"/>
      <c r="CS173" s="97"/>
      <c r="CT173" s="97">
        <v>0.61136186509247359</v>
      </c>
      <c r="CU173" s="97">
        <v>0.79230407268455172</v>
      </c>
      <c r="CV173" s="97">
        <v>0.22364948311997399</v>
      </c>
      <c r="CW173" s="97">
        <v>2.8365146387475058</v>
      </c>
      <c r="CX173" s="97">
        <v>2.7602797967963121E-2</v>
      </c>
      <c r="CY173" s="97">
        <v>6.2905073449510435E-2</v>
      </c>
      <c r="CZ173" s="97">
        <v>6.9113675055226557E-3</v>
      </c>
      <c r="DA173" s="97">
        <v>7.2926549878962743E-4</v>
      </c>
      <c r="DB173" s="97">
        <v>9.0224964213355876E-3</v>
      </c>
      <c r="DC173" s="97">
        <v>1.0563605836535419E-2</v>
      </c>
      <c r="DD173" s="97">
        <v>4.0517193192958082E-3</v>
      </c>
      <c r="DE173" s="97">
        <v>7.0583586793235786E-2</v>
      </c>
      <c r="DF173" s="97">
        <v>0.19445948026403209</v>
      </c>
      <c r="DG173" s="97">
        <v>1.3593217020478632E-2</v>
      </c>
      <c r="DH173" s="97">
        <v>0.52826909562010005</v>
      </c>
      <c r="DI173" s="97">
        <v>82.094386592776615</v>
      </c>
      <c r="DJ173" s="97">
        <v>0.46435351958518034</v>
      </c>
      <c r="DK173" s="97">
        <v>2.6429825842866226</v>
      </c>
      <c r="DL173" s="97">
        <v>4.4982936550732413</v>
      </c>
      <c r="DM173" s="97">
        <v>0.10569058963400113</v>
      </c>
      <c r="DN173" s="97">
        <v>1.8336909913397546</v>
      </c>
      <c r="DO173" s="97">
        <v>2.23659184390372</v>
      </c>
      <c r="DP173" s="97">
        <v>51.943577617009282</v>
      </c>
      <c r="DQ173" s="97">
        <v>0.18123615095136428</v>
      </c>
      <c r="DR173" s="97">
        <v>36.921424758398871</v>
      </c>
      <c r="DS173" s="97">
        <v>3.867796452062366</v>
      </c>
      <c r="DT173" s="97">
        <v>11.038649172292271</v>
      </c>
      <c r="DU173" s="97">
        <v>8.6662463513232222</v>
      </c>
      <c r="DV173" s="97">
        <v>10.604246655822735</v>
      </c>
      <c r="DW173" s="97">
        <v>12.934192760349736</v>
      </c>
      <c r="DX173" s="97">
        <v>1.0737042792405536</v>
      </c>
      <c r="DY173" s="97">
        <v>0.63809484731210631</v>
      </c>
      <c r="DZ173" s="97">
        <v>0.48428085062163384</v>
      </c>
      <c r="EA173" s="97">
        <v>2.7725120977517843</v>
      </c>
      <c r="EB173" s="97"/>
      <c r="EC173" s="97">
        <v>0.7073890198059023</v>
      </c>
      <c r="ED173" s="97">
        <v>1.4596588305886822</v>
      </c>
      <c r="EE173" s="97">
        <v>1.5688563575910153</v>
      </c>
      <c r="EF173" s="97">
        <v>5.0593976655499597</v>
      </c>
      <c r="EG173" s="97">
        <v>41.841018588593826</v>
      </c>
      <c r="EH173" s="97"/>
      <c r="EI173" s="97">
        <v>0.47934333458464934</v>
      </c>
      <c r="EJ173" s="97">
        <v>7.4202464025820429</v>
      </c>
      <c r="EK173" s="97"/>
      <c r="EL173" s="97"/>
      <c r="EM173" s="97">
        <v>1.8690155008834084</v>
      </c>
      <c r="EN173" s="81"/>
      <c r="EO173" s="81"/>
      <c r="EP173" s="81"/>
      <c r="EQ173" s="81"/>
      <c r="ER173" s="81"/>
      <c r="ES173" s="81"/>
      <c r="ET173" s="81"/>
      <c r="EU173" s="81"/>
      <c r="EV173" s="81"/>
      <c r="EW173" s="81"/>
      <c r="EX173" s="81"/>
      <c r="EY173" s="81"/>
      <c r="EZ173" s="81"/>
      <c r="FA173" s="81"/>
      <c r="FB173" s="81"/>
      <c r="FC173" s="81"/>
      <c r="FD173" s="81"/>
      <c r="FE173" s="81"/>
      <c r="FF173" s="81"/>
      <c r="FG173" s="81"/>
      <c r="FH173" s="81"/>
      <c r="FI173" s="81"/>
      <c r="FJ173" s="81"/>
      <c r="FK173" s="81"/>
      <c r="FL173" s="81"/>
      <c r="FM173" s="81"/>
      <c r="FN173" s="81"/>
      <c r="FO173" s="81"/>
      <c r="FP173" s="81"/>
      <c r="FQ173" s="81"/>
      <c r="FR173" s="81"/>
      <c r="FS173" s="81"/>
      <c r="FT173" s="81"/>
      <c r="FU173" s="81"/>
      <c r="FV173" s="81">
        <v>309.89915980604246</v>
      </c>
      <c r="FW173" s="81"/>
      <c r="FX173" s="86"/>
      <c r="FY173" s="81"/>
      <c r="FZ173" s="81"/>
      <c r="GA173" s="81"/>
      <c r="GB173" s="81"/>
      <c r="GC173" s="81"/>
      <c r="GD173" s="81"/>
      <c r="GE173" s="81"/>
      <c r="GF173" s="81"/>
      <c r="GG173" s="81"/>
      <c r="GH173" s="81"/>
    </row>
    <row r="174" spans="1:190" x14ac:dyDescent="0.2">
      <c r="A174" s="82" t="s">
        <v>385</v>
      </c>
      <c r="B174" s="81"/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  <c r="AI174" s="81"/>
      <c r="AJ174" s="81"/>
      <c r="AK174" s="81"/>
      <c r="AL174" s="81"/>
      <c r="AM174" s="81"/>
      <c r="AN174" s="81"/>
      <c r="AO174" s="81"/>
      <c r="AP174" s="81"/>
      <c r="AQ174" s="81"/>
      <c r="AR174" s="81"/>
      <c r="AS174" s="81"/>
      <c r="AT174" s="81"/>
      <c r="AU174" s="81"/>
      <c r="AV174" s="81"/>
      <c r="AW174" s="81"/>
      <c r="AX174" s="81"/>
      <c r="AY174" s="81"/>
      <c r="AZ174" s="81"/>
      <c r="BA174" s="81"/>
      <c r="BB174" s="81"/>
      <c r="BC174" s="81"/>
      <c r="BD174" s="81"/>
      <c r="BE174" s="81"/>
      <c r="BF174" s="81"/>
      <c r="BG174" s="81"/>
      <c r="BH174" s="81"/>
      <c r="BI174" s="81"/>
      <c r="BJ174" s="81"/>
      <c r="BK174" s="81"/>
      <c r="BL174" s="81"/>
      <c r="BM174" s="81"/>
      <c r="BN174" s="81"/>
      <c r="BO174" s="81"/>
      <c r="BP174" s="81"/>
      <c r="BQ174" s="81"/>
      <c r="BR174" s="81"/>
      <c r="BS174" s="98">
        <v>-1.8253731235881514E-5</v>
      </c>
      <c r="BT174" s="98"/>
      <c r="BU174" s="98">
        <v>-1.1088339841014076E-3</v>
      </c>
      <c r="BV174" s="98">
        <v>-3.7789452533882732E-3</v>
      </c>
      <c r="BW174" s="98"/>
      <c r="BX174" s="98"/>
      <c r="BY174" s="98">
        <v>-0.13697390122686867</v>
      </c>
      <c r="BZ174" s="98"/>
      <c r="CA174" s="98">
        <v>-0.19868761776676128</v>
      </c>
      <c r="CB174" s="98">
        <v>-0.75766249829538723</v>
      </c>
      <c r="CC174" s="98">
        <v>-9.3543907798351259E-4</v>
      </c>
      <c r="CD174" s="98">
        <v>-3.9177757771989655E-5</v>
      </c>
      <c r="CE174" s="98">
        <v>-2.0077002637373449E-2</v>
      </c>
      <c r="CF174" s="98">
        <v>-1.4704389555385864</v>
      </c>
      <c r="CG174" s="98">
        <v>-9.2848629360315557E-2</v>
      </c>
      <c r="CH174" s="98"/>
      <c r="CI174" s="98"/>
      <c r="CJ174" s="98">
        <v>-3.3913648530151372E-7</v>
      </c>
      <c r="CK174" s="98">
        <v>-3.3480983782378848E-2</v>
      </c>
      <c r="CL174" s="98"/>
      <c r="CM174" s="98"/>
      <c r="CN174" s="98">
        <v>-2.3213630737923476E-3</v>
      </c>
      <c r="CO174" s="98">
        <v>-9.2029035234200002E-3</v>
      </c>
      <c r="CP174" s="98">
        <v>-2.6694596720175691E-2</v>
      </c>
      <c r="CQ174" s="98"/>
      <c r="CR174" s="98"/>
      <c r="CS174" s="98"/>
      <c r="CT174" s="98"/>
      <c r="CU174" s="98">
        <v>-9.0504205407308386E-3</v>
      </c>
      <c r="CV174" s="98">
        <v>-1.4349321619381516E-3</v>
      </c>
      <c r="CW174" s="98">
        <v>-0.21037712486413787</v>
      </c>
      <c r="CX174" s="98">
        <v>-1.7122910671133946E-3</v>
      </c>
      <c r="CY174" s="98">
        <v>-1.643469861036833E-2</v>
      </c>
      <c r="CZ174" s="98">
        <v>-1.6003825311910838</v>
      </c>
      <c r="DA174" s="98">
        <v>-0.17143570588677987</v>
      </c>
      <c r="DB174" s="98">
        <v>-2.3285097686125553</v>
      </c>
      <c r="DC174" s="98">
        <v>-1.8483772329333956</v>
      </c>
      <c r="DD174" s="98">
        <v>-1.4049781702095716E-3</v>
      </c>
      <c r="DE174" s="98">
        <v>-19.823534102798138</v>
      </c>
      <c r="DF174" s="98">
        <v>-54.267842744235978</v>
      </c>
      <c r="DG174" s="98">
        <v>-3.4610724291595639E-2</v>
      </c>
      <c r="DH174" s="98"/>
      <c r="DI174" s="98"/>
      <c r="DJ174" s="98"/>
      <c r="DK174" s="98"/>
      <c r="DL174" s="98"/>
      <c r="DM174" s="98"/>
      <c r="DN174" s="98"/>
      <c r="DO174" s="98"/>
      <c r="DP174" s="98">
        <v>-104.31721718317206</v>
      </c>
      <c r="DQ174" s="98"/>
      <c r="DR174" s="98"/>
      <c r="DS174" s="98"/>
      <c r="DT174" s="98"/>
      <c r="DU174" s="98"/>
      <c r="DV174" s="98"/>
      <c r="DW174" s="98"/>
      <c r="DX174" s="98"/>
      <c r="DY174" s="98">
        <v>-6.6069516074811672</v>
      </c>
      <c r="DZ174" s="98"/>
      <c r="EA174" s="98"/>
      <c r="EB174" s="98"/>
      <c r="EC174" s="98">
        <v>-1.8851365315995106</v>
      </c>
      <c r="ED174" s="98"/>
      <c r="EE174" s="98"/>
      <c r="EF174" s="98"/>
      <c r="EG174" s="98">
        <v>-2.6463370680041063</v>
      </c>
      <c r="EH174" s="98"/>
      <c r="EI174" s="98"/>
      <c r="EJ174" s="98"/>
      <c r="EK174" s="98"/>
      <c r="EL174" s="98">
        <v>-2.082252151371033</v>
      </c>
      <c r="EM174" s="98"/>
      <c r="EN174" s="81"/>
      <c r="EO174" s="81"/>
      <c r="EP174" s="81"/>
      <c r="EQ174" s="81"/>
      <c r="ER174" s="81"/>
      <c r="ES174" s="81"/>
      <c r="ET174" s="81"/>
      <c r="EU174" s="81"/>
      <c r="EV174" s="81"/>
      <c r="EW174" s="81"/>
      <c r="EX174" s="81"/>
      <c r="EY174" s="81"/>
      <c r="EZ174" s="81"/>
      <c r="FA174" s="81"/>
      <c r="FB174" s="81"/>
      <c r="FC174" s="81"/>
      <c r="FD174" s="81"/>
      <c r="FE174" s="81"/>
      <c r="FF174" s="81"/>
      <c r="FG174" s="81"/>
      <c r="FH174" s="81"/>
      <c r="FI174" s="81"/>
      <c r="FJ174" s="81"/>
      <c r="FK174" s="81"/>
      <c r="FL174" s="81"/>
      <c r="FM174" s="81"/>
      <c r="FN174" s="81"/>
      <c r="FO174" s="81"/>
      <c r="FP174" s="81"/>
      <c r="FQ174" s="81"/>
      <c r="FR174" s="81"/>
      <c r="FS174" s="81"/>
      <c r="FT174" s="81"/>
      <c r="FU174" s="81"/>
      <c r="FV174" s="81">
        <v>-200.6072712378579</v>
      </c>
      <c r="FW174" s="81"/>
      <c r="FX174" s="86"/>
      <c r="FY174" s="81"/>
      <c r="FZ174" s="81"/>
      <c r="GA174" s="81"/>
      <c r="GB174" s="81"/>
      <c r="GC174" s="81"/>
      <c r="GD174" s="81"/>
      <c r="GE174" s="81"/>
      <c r="GF174" s="81"/>
      <c r="GG174" s="81"/>
      <c r="GH174" s="81"/>
    </row>
    <row r="175" spans="1:190" x14ac:dyDescent="0.2">
      <c r="A175" s="82" t="s">
        <v>386</v>
      </c>
      <c r="B175" s="81"/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  <c r="AI175" s="81"/>
      <c r="AJ175" s="81"/>
      <c r="AK175" s="81"/>
      <c r="AL175" s="81"/>
      <c r="AM175" s="81"/>
      <c r="AN175" s="81"/>
      <c r="AO175" s="81"/>
      <c r="AP175" s="81"/>
      <c r="AQ175" s="81"/>
      <c r="AR175" s="81"/>
      <c r="AS175" s="81"/>
      <c r="AT175" s="81"/>
      <c r="AU175" s="81"/>
      <c r="AV175" s="81"/>
      <c r="AW175" s="81"/>
      <c r="AX175" s="81"/>
      <c r="AY175" s="81"/>
      <c r="AZ175" s="81"/>
      <c r="BA175" s="81"/>
      <c r="BB175" s="81"/>
      <c r="BC175" s="81"/>
      <c r="BD175" s="81"/>
      <c r="BE175" s="81"/>
      <c r="BF175" s="81"/>
      <c r="BG175" s="81"/>
      <c r="BH175" s="81"/>
      <c r="BI175" s="81"/>
      <c r="BJ175" s="81"/>
      <c r="BK175" s="81"/>
      <c r="BL175" s="81"/>
      <c r="BM175" s="81"/>
      <c r="BN175" s="81"/>
      <c r="BO175" s="81"/>
      <c r="BP175" s="81"/>
      <c r="BQ175" s="81"/>
      <c r="BR175" s="81"/>
      <c r="BS175" s="81"/>
      <c r="BT175" s="81"/>
      <c r="BU175" s="81"/>
      <c r="BV175" s="81"/>
      <c r="BW175" s="81"/>
      <c r="BX175" s="81"/>
      <c r="BY175" s="81"/>
      <c r="BZ175" s="81"/>
      <c r="CA175" s="81"/>
      <c r="CB175" s="81"/>
      <c r="CC175" s="81"/>
      <c r="CD175" s="81"/>
      <c r="CE175" s="81"/>
      <c r="CF175" s="81"/>
      <c r="CG175" s="81"/>
      <c r="CH175" s="81"/>
      <c r="CI175" s="81"/>
      <c r="CJ175" s="81"/>
      <c r="CK175" s="81"/>
      <c r="CL175" s="81"/>
      <c r="CM175" s="81"/>
      <c r="CN175" s="81"/>
      <c r="CO175" s="81"/>
      <c r="CP175" s="81"/>
      <c r="CQ175" s="81"/>
      <c r="CR175" s="81"/>
      <c r="CS175" s="81"/>
      <c r="CT175" s="81"/>
      <c r="CU175" s="81"/>
      <c r="CV175" s="81"/>
      <c r="CW175" s="81"/>
      <c r="CX175" s="81"/>
      <c r="CY175" s="81"/>
      <c r="CZ175" s="81"/>
      <c r="DA175" s="81"/>
      <c r="DB175" s="81"/>
      <c r="DC175" s="81"/>
      <c r="DD175" s="81"/>
      <c r="DE175" s="81"/>
      <c r="DF175" s="81"/>
      <c r="DG175" s="81"/>
      <c r="DH175" s="81"/>
      <c r="DI175" s="81"/>
      <c r="DJ175" s="81"/>
      <c r="DK175" s="81"/>
      <c r="DL175" s="81"/>
      <c r="DM175" s="81"/>
      <c r="DN175" s="81"/>
      <c r="DO175" s="81"/>
      <c r="DP175" s="81"/>
      <c r="DQ175" s="81"/>
      <c r="DR175" s="81"/>
      <c r="DS175" s="81"/>
      <c r="DT175" s="81"/>
      <c r="DU175" s="81"/>
      <c r="DV175" s="81"/>
      <c r="DW175" s="81"/>
      <c r="DX175" s="81"/>
      <c r="DY175" s="81"/>
      <c r="DZ175" s="81"/>
      <c r="EA175" s="81"/>
      <c r="EB175" s="81"/>
      <c r="EC175" s="81"/>
      <c r="ED175" s="81"/>
      <c r="EE175" s="81"/>
      <c r="EF175" s="81"/>
      <c r="EG175" s="81"/>
      <c r="EH175" s="81"/>
      <c r="EI175" s="81"/>
      <c r="EJ175" s="81"/>
      <c r="EK175" s="81"/>
      <c r="EL175" s="81"/>
      <c r="EM175" s="81"/>
      <c r="EN175" s="81"/>
      <c r="EO175" s="81"/>
      <c r="EP175" s="81"/>
      <c r="EQ175" s="81"/>
      <c r="ER175" s="81"/>
      <c r="ES175" s="81"/>
      <c r="ET175" s="81"/>
      <c r="EU175" s="81"/>
      <c r="EV175" s="81"/>
      <c r="EW175" s="81"/>
      <c r="EX175" s="81"/>
      <c r="EY175" s="81"/>
      <c r="EZ175" s="81"/>
      <c r="FA175" s="81"/>
      <c r="FB175" s="81">
        <v>672.07956336489815</v>
      </c>
      <c r="FC175" s="81">
        <v>19.694712240307538</v>
      </c>
      <c r="FD175" s="81">
        <v>36.481654219723467</v>
      </c>
      <c r="FE175" s="81">
        <v>43.322246371662963</v>
      </c>
      <c r="FF175" s="81">
        <v>56.23690830938191</v>
      </c>
      <c r="FG175" s="81">
        <v>63.233282889316804</v>
      </c>
      <c r="FH175" s="81">
        <v>10.660840107826822</v>
      </c>
      <c r="FI175" s="81">
        <v>24.490927586578636</v>
      </c>
      <c r="FJ175" s="81">
        <v>36.812343464703012</v>
      </c>
      <c r="FK175" s="81">
        <v>55.677504506543627</v>
      </c>
      <c r="FL175" s="81">
        <v>206.47960139980083</v>
      </c>
      <c r="FM175" s="81">
        <v>-440.8292028808512</v>
      </c>
      <c r="FN175" s="81"/>
      <c r="FO175" s="81"/>
      <c r="FP175" s="81"/>
      <c r="FQ175" s="81"/>
      <c r="FR175" s="81"/>
      <c r="FS175" s="81"/>
      <c r="FT175" s="81"/>
      <c r="FU175" s="81">
        <v>225.56265392854692</v>
      </c>
      <c r="FV175" s="81">
        <v>1009.9030355084396</v>
      </c>
      <c r="FW175" s="81"/>
      <c r="FX175" s="86"/>
      <c r="FY175" s="81"/>
      <c r="FZ175" s="81"/>
      <c r="GA175" s="81"/>
      <c r="GB175" s="81"/>
      <c r="GC175" s="81"/>
      <c r="GD175" s="81"/>
      <c r="GE175" s="81"/>
      <c r="GF175" s="81"/>
      <c r="GG175" s="81"/>
      <c r="GH175" s="81"/>
    </row>
    <row r="176" spans="1:190" x14ac:dyDescent="0.2">
      <c r="A176" s="82" t="s">
        <v>387</v>
      </c>
      <c r="B176" s="81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  <c r="AI176" s="81"/>
      <c r="AJ176" s="81"/>
      <c r="AK176" s="81"/>
      <c r="AL176" s="81"/>
      <c r="AM176" s="81"/>
      <c r="AN176" s="81"/>
      <c r="AO176" s="81"/>
      <c r="AP176" s="81"/>
      <c r="AQ176" s="81"/>
      <c r="AR176" s="81"/>
      <c r="AS176" s="81"/>
      <c r="AT176" s="81"/>
      <c r="AU176" s="81"/>
      <c r="AV176" s="81"/>
      <c r="AW176" s="81"/>
      <c r="AX176" s="81"/>
      <c r="AY176" s="81"/>
      <c r="AZ176" s="81"/>
      <c r="BA176" s="81"/>
      <c r="BB176" s="81"/>
      <c r="BC176" s="81"/>
      <c r="BD176" s="81"/>
      <c r="BE176" s="81"/>
      <c r="BF176" s="81"/>
      <c r="BG176" s="81"/>
      <c r="BH176" s="81"/>
      <c r="BI176" s="81"/>
      <c r="BJ176" s="81"/>
      <c r="BK176" s="81"/>
      <c r="BL176" s="81"/>
      <c r="BM176" s="81"/>
      <c r="BN176" s="81"/>
      <c r="BO176" s="81"/>
      <c r="BP176" s="81"/>
      <c r="BQ176" s="81"/>
      <c r="BR176" s="81"/>
      <c r="BS176" s="81"/>
      <c r="BT176" s="81"/>
      <c r="BU176" s="81"/>
      <c r="BV176" s="81"/>
      <c r="BW176" s="81"/>
      <c r="BX176" s="81"/>
      <c r="BY176" s="81"/>
      <c r="BZ176" s="81"/>
      <c r="CA176" s="81"/>
      <c r="CB176" s="81"/>
      <c r="CC176" s="81"/>
      <c r="CD176" s="81"/>
      <c r="CE176" s="81"/>
      <c r="CF176" s="81"/>
      <c r="CG176" s="81"/>
      <c r="CH176" s="81"/>
      <c r="CI176" s="81"/>
      <c r="CJ176" s="81"/>
      <c r="CK176" s="81"/>
      <c r="CL176" s="81"/>
      <c r="CM176" s="81"/>
      <c r="CN176" s="81"/>
      <c r="CO176" s="81"/>
      <c r="CP176" s="81"/>
      <c r="CQ176" s="81"/>
      <c r="CR176" s="81"/>
      <c r="CS176" s="81"/>
      <c r="CT176" s="81"/>
      <c r="CU176" s="81"/>
      <c r="CV176" s="81"/>
      <c r="CW176" s="81"/>
      <c r="CX176" s="81"/>
      <c r="CY176" s="81"/>
      <c r="CZ176" s="81"/>
      <c r="DA176" s="81"/>
      <c r="DB176" s="81"/>
      <c r="DC176" s="81"/>
      <c r="DD176" s="81"/>
      <c r="DE176" s="81"/>
      <c r="DF176" s="81"/>
      <c r="DG176" s="81"/>
      <c r="DH176" s="81"/>
      <c r="DI176" s="81"/>
      <c r="DJ176" s="81"/>
      <c r="DK176" s="81"/>
      <c r="DL176" s="81"/>
      <c r="DM176" s="81"/>
      <c r="DN176" s="81"/>
      <c r="DO176" s="81"/>
      <c r="DP176" s="81"/>
      <c r="DQ176" s="81"/>
      <c r="DR176" s="81"/>
      <c r="DS176" s="81"/>
      <c r="DT176" s="81"/>
      <c r="DU176" s="81"/>
      <c r="DV176" s="81"/>
      <c r="DW176" s="81"/>
      <c r="DX176" s="81"/>
      <c r="DY176" s="81"/>
      <c r="DZ176" s="81"/>
      <c r="EA176" s="81"/>
      <c r="EB176" s="81"/>
      <c r="EC176" s="81"/>
      <c r="ED176" s="81"/>
      <c r="EE176" s="81"/>
      <c r="EF176" s="81"/>
      <c r="EG176" s="81"/>
      <c r="EH176" s="81"/>
      <c r="EI176" s="81"/>
      <c r="EJ176" s="81"/>
      <c r="EK176" s="81"/>
      <c r="EL176" s="81"/>
      <c r="EM176" s="81"/>
      <c r="EN176" s="81"/>
      <c r="EO176" s="81"/>
      <c r="EP176" s="81"/>
      <c r="EQ176" s="81"/>
      <c r="ER176" s="81"/>
      <c r="ES176" s="81"/>
      <c r="ET176" s="81"/>
      <c r="EU176" s="81"/>
      <c r="EV176" s="81"/>
      <c r="EW176" s="81"/>
      <c r="EX176" s="81"/>
      <c r="EY176" s="81"/>
      <c r="EZ176" s="81"/>
      <c r="FA176" s="81"/>
      <c r="FB176" s="81"/>
      <c r="FC176" s="81"/>
      <c r="FD176" s="81"/>
      <c r="FE176" s="81"/>
      <c r="FF176" s="81"/>
      <c r="FG176" s="81"/>
      <c r="FH176" s="81"/>
      <c r="FI176" s="81"/>
      <c r="FJ176" s="81"/>
      <c r="FK176" s="81"/>
      <c r="FL176" s="81"/>
      <c r="FM176" s="81"/>
      <c r="FN176" s="81"/>
      <c r="FO176" s="81"/>
      <c r="FP176" s="81"/>
      <c r="FQ176" s="81"/>
      <c r="FR176" s="81"/>
      <c r="FS176" s="81">
        <v>51.960150128292057</v>
      </c>
      <c r="FT176" s="81"/>
      <c r="FU176" s="81"/>
      <c r="FV176" s="81">
        <v>51.960150128292057</v>
      </c>
      <c r="FW176" s="81"/>
      <c r="FX176" s="86"/>
      <c r="FY176" s="81"/>
      <c r="FZ176" s="81"/>
      <c r="GA176" s="81"/>
      <c r="GB176" s="81"/>
      <c r="GC176" s="81"/>
      <c r="GD176" s="81"/>
      <c r="GE176" s="81"/>
      <c r="GF176" s="81"/>
      <c r="GG176" s="81"/>
      <c r="GH176" s="81"/>
    </row>
    <row r="177" spans="1:190" x14ac:dyDescent="0.2">
      <c r="A177" s="82" t="s">
        <v>388</v>
      </c>
      <c r="B177" s="81"/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  <c r="AI177" s="81"/>
      <c r="AJ177" s="81"/>
      <c r="AK177" s="81"/>
      <c r="AL177" s="81"/>
      <c r="AM177" s="81"/>
      <c r="AN177" s="81"/>
      <c r="AO177" s="81"/>
      <c r="AP177" s="81"/>
      <c r="AQ177" s="81"/>
      <c r="AR177" s="81"/>
      <c r="AS177" s="81"/>
      <c r="AT177" s="81"/>
      <c r="AU177" s="81"/>
      <c r="AV177" s="81"/>
      <c r="AW177" s="81"/>
      <c r="AX177" s="81"/>
      <c r="AY177" s="81"/>
      <c r="AZ177" s="81"/>
      <c r="BA177" s="81"/>
      <c r="BB177" s="81"/>
      <c r="BC177" s="81"/>
      <c r="BD177" s="81"/>
      <c r="BE177" s="81"/>
      <c r="BF177" s="81"/>
      <c r="BG177" s="81"/>
      <c r="BH177" s="81"/>
      <c r="BI177" s="81"/>
      <c r="BJ177" s="81"/>
      <c r="BK177" s="81"/>
      <c r="BL177" s="81"/>
      <c r="BM177" s="81"/>
      <c r="BN177" s="81"/>
      <c r="BO177" s="81"/>
      <c r="BP177" s="81"/>
      <c r="BQ177" s="81"/>
      <c r="BR177" s="81"/>
      <c r="BS177" s="81">
        <v>25.547171466852966</v>
      </c>
      <c r="BT177" s="81">
        <v>1.7183454001318797E-2</v>
      </c>
      <c r="BU177" s="81">
        <v>2.9314358075938171E-2</v>
      </c>
      <c r="BV177" s="81">
        <v>14.803147158978497</v>
      </c>
      <c r="BW177" s="81">
        <v>7.821718550279777E-2</v>
      </c>
      <c r="BX177" s="81">
        <v>12.057953022284932</v>
      </c>
      <c r="BY177" s="81">
        <v>8.1054662969002218E-3</v>
      </c>
      <c r="BZ177" s="81">
        <v>26.529983662401481</v>
      </c>
      <c r="CA177" s="81">
        <v>1.281837313050247</v>
      </c>
      <c r="CB177" s="81">
        <v>5.5709714317557862E-2</v>
      </c>
      <c r="CC177" s="81">
        <v>0.65706568910393159</v>
      </c>
      <c r="CD177" s="81">
        <v>2.815286406524677</v>
      </c>
      <c r="CE177" s="81">
        <v>3.2532166071280768</v>
      </c>
      <c r="CF177" s="81">
        <v>7.4422981715101333</v>
      </c>
      <c r="CG177" s="81">
        <v>1.9945075836148285</v>
      </c>
      <c r="CH177" s="81">
        <v>2.9517796018486893E-5</v>
      </c>
      <c r="CI177" s="81">
        <v>14.660784837730867</v>
      </c>
      <c r="CJ177" s="81">
        <v>2.3092194993861841</v>
      </c>
      <c r="CK177" s="81"/>
      <c r="CL177" s="81">
        <v>0.36666818801345863</v>
      </c>
      <c r="CM177" s="81">
        <v>2.039847017626812E-2</v>
      </c>
      <c r="CN177" s="81">
        <v>0.17225642103632818</v>
      </c>
      <c r="CO177" s="81">
        <v>0.438347433453386</v>
      </c>
      <c r="CP177" s="81">
        <v>0.3686847504033367</v>
      </c>
      <c r="CQ177" s="81">
        <v>2.4371821470515718</v>
      </c>
      <c r="CR177" s="81">
        <v>35.847548752640719</v>
      </c>
      <c r="CS177" s="81"/>
      <c r="CT177" s="81">
        <v>29.14365124653731</v>
      </c>
      <c r="CU177" s="81">
        <v>30.026000198493723</v>
      </c>
      <c r="CV177" s="81">
        <v>15.940846237644585</v>
      </c>
      <c r="CW177" s="81">
        <v>8.1442493035529004</v>
      </c>
      <c r="CX177" s="81">
        <v>1.4802565546839423</v>
      </c>
      <c r="CY177" s="81">
        <v>17.837426133226362</v>
      </c>
      <c r="CZ177" s="81">
        <v>6.498401131883251E-2</v>
      </c>
      <c r="DA177" s="81"/>
      <c r="DB177" s="81">
        <v>3.7389587115654459</v>
      </c>
      <c r="DC177" s="81">
        <v>0.12094753720525313</v>
      </c>
      <c r="DD177" s="81">
        <v>4.2500128705827711</v>
      </c>
      <c r="DE177" s="81">
        <v>4.5066775911738706</v>
      </c>
      <c r="DF177" s="81">
        <v>9.2251535608640527</v>
      </c>
      <c r="DG177" s="81">
        <v>1.5660007875591864</v>
      </c>
      <c r="DH177" s="81">
        <v>1.0451036727092355</v>
      </c>
      <c r="DI177" s="81">
        <v>3.0547487018846216</v>
      </c>
      <c r="DJ177" s="81"/>
      <c r="DK177" s="81">
        <v>52.268806336627215</v>
      </c>
      <c r="DL177" s="81">
        <v>5.2311398847643087</v>
      </c>
      <c r="DM177" s="81">
        <v>2.2172700248741091</v>
      </c>
      <c r="DN177" s="81">
        <v>17.481500359330337</v>
      </c>
      <c r="DO177" s="81">
        <v>21.554255264267539</v>
      </c>
      <c r="DP177" s="81">
        <v>95.058315587262001</v>
      </c>
      <c r="DQ177" s="81">
        <v>2.7618402287988948</v>
      </c>
      <c r="DR177" s="81">
        <v>159.16959961019163</v>
      </c>
      <c r="DS177" s="81">
        <v>7.4635606529309406</v>
      </c>
      <c r="DT177" s="81">
        <v>95.763312810546992</v>
      </c>
      <c r="DU177" s="81">
        <v>75.845281531464437</v>
      </c>
      <c r="DV177" s="81">
        <v>108.150270464318</v>
      </c>
      <c r="DW177" s="81">
        <v>61.408966361870689</v>
      </c>
      <c r="DX177" s="81">
        <v>6.6811052042394072</v>
      </c>
      <c r="DY177" s="81">
        <v>5.9408732531832109E-4</v>
      </c>
      <c r="DZ177" s="81"/>
      <c r="EA177" s="81">
        <v>6.9983873071189571</v>
      </c>
      <c r="EB177" s="81"/>
      <c r="EC177" s="81">
        <v>149.91299392538804</v>
      </c>
      <c r="ED177" s="81">
        <v>62.828924316439839</v>
      </c>
      <c r="EE177" s="81"/>
      <c r="EF177" s="81"/>
      <c r="EG177" s="81">
        <v>30.241429114409026</v>
      </c>
      <c r="EH177" s="81"/>
      <c r="EI177" s="81">
        <v>104.00485625724055</v>
      </c>
      <c r="EJ177" s="81">
        <v>13.2456453228061</v>
      </c>
      <c r="EK177" s="81"/>
      <c r="EL177" s="81"/>
      <c r="EM177" s="81">
        <v>1.9993408351567745</v>
      </c>
      <c r="EN177" s="81"/>
      <c r="EO177" s="81"/>
      <c r="EP177" s="81"/>
      <c r="EQ177" s="81"/>
      <c r="ER177" s="81"/>
      <c r="ES177" s="81"/>
      <c r="ET177" s="81"/>
      <c r="EU177" s="81"/>
      <c r="EV177" s="81"/>
      <c r="EW177" s="81"/>
      <c r="EX177" s="81"/>
      <c r="EY177" s="81"/>
      <c r="EZ177" s="81">
        <v>210.85045064569715</v>
      </c>
      <c r="FA177" s="81"/>
      <c r="FB177" s="81">
        <v>1.5172486618267506E-2</v>
      </c>
      <c r="FC177" s="81">
        <v>0.32186000510638929</v>
      </c>
      <c r="FD177" s="81">
        <v>0.77687761858528781</v>
      </c>
      <c r="FE177" s="81">
        <v>1.0615528526503784</v>
      </c>
      <c r="FF177" s="81">
        <v>1.5774300978915914</v>
      </c>
      <c r="FG177" s="81">
        <v>1.7630994637595028</v>
      </c>
      <c r="FH177" s="81">
        <v>4.5387669445086237E-2</v>
      </c>
      <c r="FI177" s="81">
        <v>0.17576595044457111</v>
      </c>
      <c r="FJ177" s="81">
        <v>0.12392741767309441</v>
      </c>
      <c r="FK177" s="81">
        <v>0.55755537854986514</v>
      </c>
      <c r="FL177" s="81">
        <v>1.5791199289356965</v>
      </c>
      <c r="FM177" s="81">
        <v>35.012669931464146</v>
      </c>
      <c r="FN177" s="81"/>
      <c r="FO177" s="81"/>
      <c r="FP177" s="81"/>
      <c r="FQ177" s="81"/>
      <c r="FR177" s="81"/>
      <c r="FS177" s="81"/>
      <c r="FT177" s="81"/>
      <c r="FU177" s="81"/>
      <c r="FV177" s="81">
        <v>1617.4853993305271</v>
      </c>
      <c r="FW177" s="81"/>
      <c r="FX177" s="86"/>
      <c r="FY177" s="81"/>
      <c r="FZ177" s="81"/>
      <c r="GA177" s="81"/>
      <c r="GB177" s="81"/>
      <c r="GC177" s="81"/>
      <c r="GD177" s="81"/>
      <c r="GE177" s="81"/>
      <c r="GF177" s="81"/>
      <c r="GG177" s="81"/>
      <c r="GH177" s="81"/>
    </row>
    <row r="178" spans="1:190" x14ac:dyDescent="0.2">
      <c r="A178" s="82" t="s">
        <v>389</v>
      </c>
      <c r="B178" s="81">
        <v>55.057779068910762</v>
      </c>
      <c r="C178" s="81">
        <v>7.8211119697185021</v>
      </c>
      <c r="D178" s="81">
        <v>25.714953845220627</v>
      </c>
      <c r="E178" s="81">
        <v>21.049468638474675</v>
      </c>
      <c r="F178" s="81">
        <v>1.615473665760913</v>
      </c>
      <c r="G178" s="81">
        <v>3.8336724332837471</v>
      </c>
      <c r="H178" s="81">
        <v>19.152592375582806</v>
      </c>
      <c r="I178" s="81">
        <v>7.582212677345991</v>
      </c>
      <c r="J178" s="81">
        <v>34.654623623799928</v>
      </c>
      <c r="K178" s="81">
        <v>117.4207306157756</v>
      </c>
      <c r="L178" s="81">
        <v>27.932591565444298</v>
      </c>
      <c r="M178" s="81">
        <v>1.53535121801303</v>
      </c>
      <c r="N178" s="81">
        <v>103.50877903186097</v>
      </c>
      <c r="O178" s="81">
        <v>0.85604406943427591</v>
      </c>
      <c r="P178" s="81">
        <v>142.38787815919949</v>
      </c>
      <c r="Q178" s="81">
        <v>39.007377562508324</v>
      </c>
      <c r="R178" s="81">
        <v>134.57482243875094</v>
      </c>
      <c r="S178" s="81">
        <v>5.513627846217287</v>
      </c>
      <c r="T178" s="81">
        <v>22.424418540942757</v>
      </c>
      <c r="U178" s="81">
        <v>6.3359279315266015</v>
      </c>
      <c r="V178" s="81">
        <v>72.70389657070416</v>
      </c>
      <c r="W178" s="81">
        <v>299.77128219367103</v>
      </c>
      <c r="X178" s="81">
        <v>167.98515370707412</v>
      </c>
      <c r="Y178" s="81">
        <v>106.48252089148639</v>
      </c>
      <c r="Z178" s="81">
        <v>24.669296424017013</v>
      </c>
      <c r="AA178" s="81">
        <v>2.2966605059375484</v>
      </c>
      <c r="AB178" s="81">
        <v>80.329639102197319</v>
      </c>
      <c r="AC178" s="81">
        <v>35.344032150776798</v>
      </c>
      <c r="AD178" s="81">
        <v>60.347296220355858</v>
      </c>
      <c r="AE178" s="81">
        <v>9.1416252497754176</v>
      </c>
      <c r="AF178" s="81">
        <v>0.99011215447804113</v>
      </c>
      <c r="AG178" s="81">
        <v>8.028883958109871</v>
      </c>
      <c r="AH178" s="81">
        <v>18.392424032078601</v>
      </c>
      <c r="AI178" s="81">
        <v>1.9234475414475618</v>
      </c>
      <c r="AJ178" s="81">
        <v>64.831307513471302</v>
      </c>
      <c r="AK178" s="81">
        <v>215.23004336354037</v>
      </c>
      <c r="AL178" s="81">
        <v>18.815943643033222</v>
      </c>
      <c r="AM178" s="81">
        <v>18.155035214624714</v>
      </c>
      <c r="AN178" s="81">
        <v>49.885998691053508</v>
      </c>
      <c r="AO178" s="81">
        <v>15.666274985734344</v>
      </c>
      <c r="AP178" s="81">
        <v>80.96690466702546</v>
      </c>
      <c r="AQ178" s="81">
        <v>115.03579684190611</v>
      </c>
      <c r="AR178" s="81">
        <v>10.678210498984221</v>
      </c>
      <c r="AS178" s="81">
        <v>9.6534324511979932</v>
      </c>
      <c r="AT178" s="81">
        <v>52.03967841048901</v>
      </c>
      <c r="AU178" s="81">
        <v>614.11923094793724</v>
      </c>
      <c r="AV178" s="81">
        <v>63.477185602970536</v>
      </c>
      <c r="AW178" s="81">
        <v>561.88746364639792</v>
      </c>
      <c r="AX178" s="81">
        <v>206.28512323747015</v>
      </c>
      <c r="AY178" s="81">
        <v>246.7035489426458</v>
      </c>
      <c r="AZ178" s="81">
        <v>88.054007147862336</v>
      </c>
      <c r="BA178" s="81">
        <v>72.421451647364393</v>
      </c>
      <c r="BB178" s="81">
        <v>11.321718642857544</v>
      </c>
      <c r="BC178" s="81">
        <v>72.720041773097023</v>
      </c>
      <c r="BD178" s="81">
        <v>241.05338229814978</v>
      </c>
      <c r="BE178" s="81">
        <v>55.771842541823261</v>
      </c>
      <c r="BF178" s="81">
        <v>598.49667640002269</v>
      </c>
      <c r="BG178" s="81">
        <v>680.53823044102444</v>
      </c>
      <c r="BH178" s="81">
        <v>490.12071741931942</v>
      </c>
      <c r="BI178" s="81">
        <v>150.01935870680941</v>
      </c>
      <c r="BJ178" s="81">
        <v>217.28937083352977</v>
      </c>
      <c r="BK178" s="81">
        <v>166.65433548452421</v>
      </c>
      <c r="BL178" s="81">
        <v>131.56570357575498</v>
      </c>
      <c r="BM178" s="81">
        <v>513.4084214699551</v>
      </c>
      <c r="BN178" s="81">
        <v>351.27282159733272</v>
      </c>
      <c r="BO178" s="81">
        <v>222.19030018611841</v>
      </c>
      <c r="BP178" s="81">
        <v>238.4374144649658</v>
      </c>
      <c r="BQ178" s="81">
        <v>196.04316161969416</v>
      </c>
      <c r="BR178" s="81">
        <v>163.17295045023238</v>
      </c>
      <c r="BS178" s="81">
        <v>89.639472727145403</v>
      </c>
      <c r="BT178" s="81">
        <v>8.6120840959378491</v>
      </c>
      <c r="BU178" s="81">
        <v>28.332559863310625</v>
      </c>
      <c r="BV178" s="81">
        <v>39.421773848971654</v>
      </c>
      <c r="BW178" s="81">
        <v>2.144756927771116</v>
      </c>
      <c r="BX178" s="81">
        <v>17.383923242261922</v>
      </c>
      <c r="BY178" s="81">
        <v>20.6812691132697</v>
      </c>
      <c r="BZ178" s="81">
        <v>36.955999997436678</v>
      </c>
      <c r="CA178" s="81">
        <v>39.205044826050035</v>
      </c>
      <c r="CB178" s="81">
        <v>155.66835719083659</v>
      </c>
      <c r="CC178" s="81">
        <v>37.88316763652378</v>
      </c>
      <c r="CD178" s="81">
        <v>4.6835787917194445</v>
      </c>
      <c r="CE178" s="81">
        <v>16.664997210186172</v>
      </c>
      <c r="CF178" s="81">
        <v>133.46190712689304</v>
      </c>
      <c r="CG178" s="81">
        <v>2.359447319996741</v>
      </c>
      <c r="CH178" s="81">
        <v>3.1904049722091412E-5</v>
      </c>
      <c r="CI178" s="81">
        <v>16.77143319284092</v>
      </c>
      <c r="CJ178" s="81">
        <v>158.93494851843013</v>
      </c>
      <c r="CK178" s="81">
        <v>43.877489247070038</v>
      </c>
      <c r="CL178" s="81">
        <v>149.0350653536928</v>
      </c>
      <c r="CM178" s="81">
        <v>5.9537655455601968</v>
      </c>
      <c r="CN178" s="81">
        <v>25.868048116495579</v>
      </c>
      <c r="CO178" s="81">
        <v>6.8089620403595896</v>
      </c>
      <c r="CP178" s="81">
        <v>73.790351996101151</v>
      </c>
      <c r="CQ178" s="81">
        <v>2.749522198875006</v>
      </c>
      <c r="CR178" s="81">
        <v>372.64716430086742</v>
      </c>
      <c r="CS178" s="81">
        <v>177.92982458393701</v>
      </c>
      <c r="CT178" s="81">
        <v>137.14305105017436</v>
      </c>
      <c r="CU178" s="81">
        <v>73.267006345086372</v>
      </c>
      <c r="CV178" s="81">
        <v>25.029311215506766</v>
      </c>
      <c r="CW178" s="81">
        <v>111.86176826263606</v>
      </c>
      <c r="CX178" s="81">
        <v>40.031539249544274</v>
      </c>
      <c r="CY178" s="81">
        <v>85.014383266807755</v>
      </c>
      <c r="CZ178" s="81">
        <v>8.3449950000656248</v>
      </c>
      <c r="DA178" s="81">
        <v>0.89650545240842194</v>
      </c>
      <c r="DB178" s="81">
        <v>10.165057204628877</v>
      </c>
      <c r="DC178" s="81">
        <v>18.025610332825167</v>
      </c>
      <c r="DD178" s="81">
        <v>8.9965532311910543</v>
      </c>
      <c r="DE178" s="81">
        <v>58.663432873674637</v>
      </c>
      <c r="DF178" s="81">
        <v>191.16659127803888</v>
      </c>
      <c r="DG178" s="81">
        <v>25.036418894020528</v>
      </c>
      <c r="DH178" s="81">
        <v>21.783320022021453</v>
      </c>
      <c r="DI178" s="81">
        <v>144.20515411155924</v>
      </c>
      <c r="DJ178" s="81">
        <v>18.209159700706795</v>
      </c>
      <c r="DK178" s="81">
        <v>150.22927215320627</v>
      </c>
      <c r="DL178" s="81">
        <v>176.48295859522167</v>
      </c>
      <c r="DM178" s="81">
        <v>15.909991852227312</v>
      </c>
      <c r="DN178" s="81">
        <v>33.688342995702378</v>
      </c>
      <c r="DO178" s="81">
        <v>88.40193546196798</v>
      </c>
      <c r="DP178" s="81">
        <v>723.10817013071028</v>
      </c>
      <c r="DQ178" s="81">
        <v>72.734783129358732</v>
      </c>
      <c r="DR178" s="81">
        <v>826.36896043132913</v>
      </c>
      <c r="DS178" s="81">
        <v>245.94609188773296</v>
      </c>
      <c r="DT178" s="81">
        <v>386.49045266500269</v>
      </c>
      <c r="DU178" s="81">
        <v>194.66767510230704</v>
      </c>
      <c r="DV178" s="81">
        <v>210.2047429082275</v>
      </c>
      <c r="DW178" s="81">
        <v>115.57774466563184</v>
      </c>
      <c r="DX178" s="81">
        <v>86.96822607650671</v>
      </c>
      <c r="DY178" s="81">
        <v>235.08512036749534</v>
      </c>
      <c r="DZ178" s="81">
        <v>56.256123392444863</v>
      </c>
      <c r="EA178" s="81">
        <v>608.26757580489345</v>
      </c>
      <c r="EB178" s="81">
        <v>680.53823044102467</v>
      </c>
      <c r="EC178" s="81">
        <v>638.85596383291363</v>
      </c>
      <c r="ED178" s="81">
        <v>214.30794185383789</v>
      </c>
      <c r="EE178" s="81">
        <v>218.85822719112079</v>
      </c>
      <c r="EF178" s="81">
        <v>171.71373315007395</v>
      </c>
      <c r="EG178" s="81">
        <v>201.00181421075396</v>
      </c>
      <c r="EH178" s="81">
        <v>513.40842146995442</v>
      </c>
      <c r="EI178" s="81">
        <v>455.75702118915763</v>
      </c>
      <c r="EJ178" s="81">
        <v>242.85619191150627</v>
      </c>
      <c r="EK178" s="81">
        <v>238.43741446496603</v>
      </c>
      <c r="EL178" s="81">
        <v>193.96090946832319</v>
      </c>
      <c r="EM178" s="81">
        <v>167.0413067862728</v>
      </c>
      <c r="EN178" s="81">
        <v>624.72481128391428</v>
      </c>
      <c r="EO178" s="81">
        <v>181.0257582216197</v>
      </c>
      <c r="EP178" s="81">
        <v>107.67057712827079</v>
      </c>
      <c r="EQ178" s="81">
        <v>286.4228412911458</v>
      </c>
      <c r="ER178" s="81">
        <v>148.18252605510668</v>
      </c>
      <c r="ES178" s="81">
        <v>94.283041633728885</v>
      </c>
      <c r="ET178" s="81">
        <v>81.403806612595005</v>
      </c>
      <c r="EU178" s="81">
        <v>244.37997908137399</v>
      </c>
      <c r="EV178" s="81">
        <v>434.21103791394569</v>
      </c>
      <c r="EW178" s="81">
        <v>67.115166078759387</v>
      </c>
      <c r="EX178" s="81">
        <v>107.64148496753064</v>
      </c>
      <c r="EY178" s="81">
        <v>170.72051362742957</v>
      </c>
      <c r="EZ178" s="81">
        <v>435.18271151698031</v>
      </c>
      <c r="FA178" s="81">
        <v>2543.7535458433877</v>
      </c>
      <c r="FB178" s="81">
        <v>3309.0090468494791</v>
      </c>
      <c r="FC178" s="81">
        <v>275.53699333301932</v>
      </c>
      <c r="FD178" s="81">
        <v>389.07522143210588</v>
      </c>
      <c r="FE178" s="81">
        <v>445.68830911213945</v>
      </c>
      <c r="FF178" s="81">
        <v>544.54710789858711</v>
      </c>
      <c r="FG178" s="81">
        <v>608.52612956891073</v>
      </c>
      <c r="FH178" s="81">
        <v>128.55793799091302</v>
      </c>
      <c r="FI178" s="81">
        <v>208.50399364946441</v>
      </c>
      <c r="FJ178" s="81">
        <v>308.39594899364391</v>
      </c>
      <c r="FK178" s="81">
        <v>450.79202160511079</v>
      </c>
      <c r="FL178" s="81">
        <v>1337.7948052738525</v>
      </c>
      <c r="FM178" s="81">
        <v>644.9167586915305</v>
      </c>
      <c r="FN178" s="81">
        <v>285.6742396414619</v>
      </c>
      <c r="FO178" s="81">
        <v>4.8563916766908672</v>
      </c>
      <c r="FP178" s="81">
        <v>40.42012492275186</v>
      </c>
      <c r="FQ178" s="81">
        <v>309.89915980604241</v>
      </c>
      <c r="FR178" s="81">
        <v>-200.60727123785821</v>
      </c>
      <c r="FS178" s="81">
        <v>1009.9030355084395</v>
      </c>
      <c r="FT178" s="81">
        <v>51.960150128292021</v>
      </c>
      <c r="FU178" s="81">
        <v>1617.485399330528</v>
      </c>
      <c r="FV178" s="81"/>
      <c r="FW178" s="81"/>
      <c r="FX178" s="86"/>
      <c r="FY178" s="81"/>
      <c r="FZ178" s="81"/>
      <c r="GA178" s="81"/>
      <c r="GB178" s="81"/>
      <c r="GC178" s="81"/>
      <c r="GD178" s="81"/>
      <c r="GE178" s="81"/>
      <c r="GF178" s="81"/>
      <c r="GG178" s="81"/>
      <c r="GH178" s="81"/>
    </row>
    <row r="179" spans="1:190" x14ac:dyDescent="0.2">
      <c r="A179" s="82"/>
      <c r="B179" s="81"/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  <c r="AI179" s="81"/>
      <c r="AJ179" s="81"/>
      <c r="AK179" s="81"/>
      <c r="AL179" s="81"/>
      <c r="AM179" s="81"/>
      <c r="AN179" s="81"/>
      <c r="AO179" s="81"/>
      <c r="AP179" s="81"/>
      <c r="AQ179" s="81"/>
      <c r="AR179" s="81"/>
      <c r="AS179" s="81"/>
      <c r="AT179" s="81"/>
      <c r="AU179" s="81"/>
      <c r="AV179" s="81"/>
      <c r="AW179" s="81"/>
      <c r="AX179" s="81"/>
      <c r="AY179" s="81"/>
      <c r="AZ179" s="81"/>
      <c r="BA179" s="81"/>
      <c r="BB179" s="81"/>
      <c r="BC179" s="81"/>
      <c r="BD179" s="81"/>
      <c r="BE179" s="81"/>
      <c r="BF179" s="81"/>
      <c r="BG179" s="81"/>
      <c r="BH179" s="81"/>
      <c r="BI179" s="81"/>
      <c r="BJ179" s="81"/>
      <c r="BK179" s="81"/>
      <c r="BL179" s="81"/>
      <c r="BM179" s="81"/>
      <c r="BN179" s="81"/>
      <c r="BO179" s="81"/>
      <c r="BP179" s="81"/>
      <c r="BQ179" s="81"/>
      <c r="BR179" s="81"/>
      <c r="BS179" s="81"/>
      <c r="BT179" s="81"/>
      <c r="BU179" s="81"/>
      <c r="BV179" s="81"/>
      <c r="BW179" s="81"/>
      <c r="BX179" s="81"/>
      <c r="BY179" s="81"/>
      <c r="BZ179" s="81"/>
      <c r="CA179" s="81"/>
      <c r="CB179" s="81"/>
      <c r="CC179" s="81"/>
      <c r="CD179" s="81"/>
      <c r="CE179" s="81"/>
      <c r="CF179" s="81"/>
      <c r="CG179" s="81"/>
      <c r="CH179" s="81"/>
      <c r="CI179" s="81"/>
      <c r="CJ179" s="81"/>
      <c r="CK179" s="81"/>
      <c r="CL179" s="81"/>
      <c r="CM179" s="81"/>
      <c r="CN179" s="81"/>
      <c r="CO179" s="81"/>
      <c r="CP179" s="81"/>
      <c r="CQ179" s="81"/>
      <c r="CR179" s="81"/>
      <c r="CS179" s="81"/>
      <c r="CT179" s="81"/>
      <c r="CU179" s="81"/>
      <c r="CV179" s="81"/>
      <c r="CW179" s="81"/>
      <c r="CX179" s="81"/>
      <c r="CY179" s="81"/>
      <c r="CZ179" s="81"/>
      <c r="DA179" s="81"/>
      <c r="DB179" s="81"/>
      <c r="DC179" s="81"/>
      <c r="DD179" s="81"/>
      <c r="DE179" s="81"/>
      <c r="DF179" s="81"/>
      <c r="DG179" s="81"/>
      <c r="DH179" s="81"/>
      <c r="DI179" s="81"/>
      <c r="DJ179" s="81"/>
      <c r="DK179" s="81"/>
      <c r="DL179" s="81"/>
      <c r="DM179" s="81"/>
      <c r="DN179" s="81"/>
      <c r="DO179" s="81"/>
      <c r="DP179" s="81"/>
      <c r="DQ179" s="81"/>
      <c r="DR179" s="81"/>
      <c r="DS179" s="81"/>
      <c r="DT179" s="81"/>
      <c r="DU179" s="81"/>
      <c r="DV179" s="81"/>
      <c r="DW179" s="81"/>
      <c r="DX179" s="81"/>
      <c r="DY179" s="81"/>
      <c r="DZ179" s="81"/>
      <c r="EA179" s="81"/>
      <c r="EB179" s="81"/>
      <c r="EC179" s="81"/>
      <c r="ED179" s="81"/>
      <c r="EE179" s="81"/>
      <c r="EF179" s="81"/>
      <c r="EG179" s="81"/>
      <c r="EH179" s="81"/>
      <c r="EI179" s="81"/>
      <c r="EJ179" s="81"/>
      <c r="EK179" s="81"/>
      <c r="EL179" s="81"/>
      <c r="EM179" s="81"/>
      <c r="EN179" s="81"/>
      <c r="EO179" s="81"/>
      <c r="EP179" s="81"/>
      <c r="EQ179" s="81"/>
      <c r="ER179" s="81"/>
      <c r="ES179" s="81"/>
      <c r="ET179" s="81"/>
      <c r="EU179" s="81"/>
      <c r="EV179" s="81"/>
      <c r="EW179" s="81"/>
      <c r="EX179" s="81"/>
      <c r="EY179" s="81"/>
      <c r="EZ179" s="81"/>
      <c r="FA179" s="81"/>
      <c r="FB179" s="81"/>
      <c r="FC179" s="81"/>
      <c r="FD179" s="81"/>
      <c r="FE179" s="81"/>
      <c r="FF179" s="81"/>
      <c r="FG179" s="81"/>
      <c r="FH179" s="81"/>
      <c r="FI179" s="81"/>
      <c r="FJ179" s="81"/>
      <c r="FK179" s="81"/>
      <c r="FL179" s="81"/>
      <c r="FM179" s="81"/>
      <c r="FN179" s="81"/>
      <c r="FO179" s="81"/>
      <c r="FP179" s="81"/>
      <c r="FQ179" s="81"/>
      <c r="FR179" s="81"/>
      <c r="FS179" s="81"/>
      <c r="FT179" s="81"/>
      <c r="FU179" s="81"/>
      <c r="FV179" s="81"/>
      <c r="FW179" s="81"/>
      <c r="FX179" s="81"/>
      <c r="FY179" s="81"/>
      <c r="FZ179" s="81"/>
      <c r="GA179" s="81"/>
      <c r="GB179" s="81"/>
      <c r="GC179" s="81"/>
      <c r="GD179" s="81"/>
      <c r="GE179" s="81"/>
      <c r="GF179" s="81"/>
      <c r="GG179" s="81"/>
      <c r="GH179" s="81"/>
    </row>
    <row r="180" spans="1:190" x14ac:dyDescent="0.2">
      <c r="A180" s="82"/>
      <c r="B180" s="81"/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  <c r="AI180" s="81"/>
      <c r="AJ180" s="81"/>
      <c r="AK180" s="81"/>
      <c r="AL180" s="81"/>
      <c r="AM180" s="81"/>
      <c r="AN180" s="81"/>
      <c r="AO180" s="81"/>
      <c r="AP180" s="81"/>
      <c r="AQ180" s="81"/>
      <c r="AR180" s="81"/>
      <c r="AS180" s="81"/>
      <c r="AT180" s="81"/>
      <c r="AU180" s="81"/>
      <c r="AV180" s="81"/>
      <c r="AW180" s="81"/>
      <c r="AX180" s="81"/>
      <c r="AY180" s="81"/>
      <c r="AZ180" s="81"/>
      <c r="BA180" s="81"/>
      <c r="BB180" s="81"/>
      <c r="BC180" s="81"/>
      <c r="BD180" s="81"/>
      <c r="BE180" s="81"/>
      <c r="BF180" s="81"/>
      <c r="BG180" s="81"/>
      <c r="BH180" s="81"/>
      <c r="BI180" s="81"/>
      <c r="BJ180" s="81"/>
      <c r="BK180" s="81"/>
      <c r="BL180" s="81"/>
      <c r="BM180" s="81"/>
      <c r="BN180" s="81"/>
      <c r="BO180" s="81"/>
      <c r="BP180" s="81"/>
      <c r="BQ180" s="81"/>
      <c r="BR180" s="81"/>
      <c r="BS180" s="81"/>
      <c r="BT180" s="81"/>
      <c r="BU180" s="81"/>
      <c r="BV180" s="81"/>
      <c r="BW180" s="81"/>
      <c r="BX180" s="81"/>
      <c r="BY180" s="81"/>
      <c r="BZ180" s="81"/>
      <c r="CA180" s="81"/>
      <c r="CB180" s="81"/>
      <c r="CC180" s="81"/>
      <c r="CD180" s="81"/>
      <c r="CE180" s="81"/>
      <c r="CF180" s="81"/>
      <c r="CG180" s="81"/>
      <c r="CH180" s="81"/>
      <c r="CI180" s="81"/>
      <c r="CJ180" s="81"/>
      <c r="CK180" s="81"/>
      <c r="CL180" s="81"/>
      <c r="CM180" s="81"/>
      <c r="CN180" s="81"/>
      <c r="CO180" s="81"/>
      <c r="CP180" s="81"/>
      <c r="CQ180" s="81"/>
      <c r="CR180" s="81"/>
      <c r="CS180" s="81"/>
      <c r="CT180" s="81"/>
      <c r="CU180" s="81"/>
      <c r="CV180" s="81"/>
      <c r="CW180" s="81"/>
      <c r="CX180" s="81"/>
      <c r="CY180" s="81"/>
      <c r="CZ180" s="81"/>
      <c r="DA180" s="81"/>
      <c r="DB180" s="81"/>
      <c r="DC180" s="81"/>
      <c r="DD180" s="81"/>
      <c r="DE180" s="81"/>
      <c r="DF180" s="81"/>
      <c r="DG180" s="81"/>
      <c r="DH180" s="81"/>
      <c r="DI180" s="81"/>
      <c r="DJ180" s="81"/>
      <c r="DK180" s="81"/>
      <c r="DL180" s="81"/>
      <c r="DM180" s="81"/>
      <c r="DN180" s="81"/>
      <c r="DO180" s="81"/>
      <c r="DP180" s="81"/>
      <c r="DQ180" s="81"/>
      <c r="DR180" s="81"/>
      <c r="DS180" s="81"/>
      <c r="DT180" s="81"/>
      <c r="DU180" s="81"/>
      <c r="DV180" s="81"/>
      <c r="DW180" s="81"/>
      <c r="DX180" s="81"/>
      <c r="DY180" s="81"/>
      <c r="DZ180" s="81"/>
      <c r="EA180" s="81"/>
      <c r="EB180" s="81"/>
      <c r="EC180" s="81"/>
      <c r="ED180" s="81"/>
      <c r="EE180" s="81"/>
      <c r="EF180" s="81"/>
      <c r="EG180" s="81"/>
      <c r="EH180" s="81"/>
      <c r="EI180" s="81"/>
      <c r="EJ180" s="81"/>
      <c r="EK180" s="81"/>
      <c r="EL180" s="81"/>
      <c r="EM180" s="81"/>
      <c r="EN180" s="81"/>
      <c r="EO180" s="81"/>
      <c r="EP180" s="81"/>
      <c r="EQ180" s="81"/>
      <c r="ER180" s="81"/>
      <c r="ES180" s="81"/>
      <c r="ET180" s="81"/>
      <c r="EU180" s="81"/>
      <c r="EV180" s="81"/>
      <c r="EW180" s="81"/>
      <c r="EX180" s="81"/>
      <c r="EY180" s="81"/>
      <c r="EZ180" s="81"/>
      <c r="FA180" s="81"/>
      <c r="FB180" s="81"/>
      <c r="FC180" s="81"/>
      <c r="FD180" s="81"/>
      <c r="FE180" s="81"/>
      <c r="FF180" s="81"/>
      <c r="FG180" s="81"/>
      <c r="FH180" s="81"/>
      <c r="FI180" s="81"/>
      <c r="FJ180" s="81"/>
      <c r="FK180" s="81"/>
      <c r="FL180" s="81"/>
      <c r="FM180" s="81"/>
      <c r="FN180" s="81"/>
      <c r="FO180" s="81"/>
      <c r="FP180" s="81"/>
      <c r="FQ180" s="81"/>
      <c r="FR180" s="81"/>
      <c r="FS180" s="81"/>
      <c r="FT180" s="81"/>
      <c r="FU180" s="81"/>
      <c r="FV180" s="81"/>
      <c r="FW180" s="81"/>
      <c r="FX180" s="81"/>
      <c r="FY180" s="81"/>
      <c r="FZ180" s="81"/>
      <c r="GA180" s="81"/>
      <c r="GB180" s="81"/>
      <c r="GC180" s="81"/>
      <c r="GD180" s="81"/>
      <c r="GE180" s="81"/>
      <c r="GF180" s="81"/>
      <c r="GG180" s="81"/>
      <c r="GH180" s="81"/>
    </row>
    <row r="181" spans="1:190" x14ac:dyDescent="0.2">
      <c r="A181" s="82"/>
      <c r="B181" s="81"/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  <c r="AI181" s="81"/>
      <c r="AJ181" s="81"/>
      <c r="AK181" s="81"/>
      <c r="AL181" s="81"/>
      <c r="AM181" s="81"/>
      <c r="AN181" s="81"/>
      <c r="AO181" s="81"/>
      <c r="AP181" s="81"/>
      <c r="AQ181" s="81"/>
      <c r="AR181" s="81"/>
      <c r="AS181" s="81"/>
      <c r="AT181" s="81"/>
      <c r="AU181" s="81"/>
      <c r="AV181" s="81"/>
      <c r="AW181" s="81"/>
      <c r="AX181" s="81"/>
      <c r="AY181" s="81"/>
      <c r="AZ181" s="81"/>
      <c r="BA181" s="81"/>
      <c r="BB181" s="81"/>
      <c r="BC181" s="81"/>
      <c r="BD181" s="81"/>
      <c r="BE181" s="81"/>
      <c r="BF181" s="81"/>
      <c r="BG181" s="81"/>
      <c r="BH181" s="81"/>
      <c r="BI181" s="81"/>
      <c r="BJ181" s="81"/>
      <c r="BK181" s="81"/>
      <c r="BL181" s="81"/>
      <c r="BM181" s="81"/>
      <c r="BN181" s="81"/>
      <c r="BO181" s="81"/>
      <c r="BP181" s="81"/>
      <c r="BQ181" s="81"/>
      <c r="BR181" s="81"/>
      <c r="BS181" s="81"/>
      <c r="BT181" s="81"/>
      <c r="BU181" s="81"/>
      <c r="BV181" s="81"/>
      <c r="BW181" s="81"/>
      <c r="BX181" s="81"/>
      <c r="BY181" s="81"/>
      <c r="BZ181" s="81"/>
      <c r="CA181" s="81"/>
      <c r="CB181" s="81"/>
      <c r="CC181" s="81"/>
      <c r="CD181" s="81"/>
      <c r="CE181" s="81"/>
      <c r="CF181" s="81"/>
      <c r="CG181" s="81"/>
      <c r="CH181" s="81"/>
      <c r="CI181" s="81"/>
      <c r="CJ181" s="81"/>
      <c r="CK181" s="81"/>
      <c r="CL181" s="81"/>
      <c r="CM181" s="81"/>
      <c r="CN181" s="81"/>
      <c r="CO181" s="81"/>
      <c r="CP181" s="81"/>
      <c r="CQ181" s="81"/>
      <c r="CR181" s="81"/>
      <c r="CS181" s="81"/>
      <c r="CT181" s="81"/>
      <c r="CU181" s="81"/>
      <c r="CV181" s="81"/>
      <c r="CW181" s="81"/>
      <c r="CX181" s="81"/>
      <c r="CY181" s="81"/>
      <c r="CZ181" s="81"/>
      <c r="DA181" s="81"/>
      <c r="DB181" s="81"/>
      <c r="DC181" s="81"/>
      <c r="DD181" s="81"/>
      <c r="DE181" s="81"/>
      <c r="DF181" s="81"/>
      <c r="DG181" s="81"/>
      <c r="DH181" s="81"/>
      <c r="DI181" s="81"/>
      <c r="DJ181" s="81"/>
      <c r="DK181" s="81"/>
      <c r="DL181" s="81"/>
      <c r="DM181" s="81"/>
      <c r="DN181" s="81"/>
      <c r="DO181" s="81"/>
      <c r="DP181" s="81"/>
      <c r="DQ181" s="81"/>
      <c r="DR181" s="81"/>
      <c r="DS181" s="81"/>
      <c r="DT181" s="81"/>
      <c r="DU181" s="81"/>
      <c r="DV181" s="81"/>
      <c r="DW181" s="81"/>
      <c r="DX181" s="81"/>
      <c r="DY181" s="81"/>
      <c r="DZ181" s="81"/>
      <c r="EA181" s="81"/>
      <c r="EB181" s="81"/>
      <c r="EC181" s="81"/>
      <c r="ED181" s="81"/>
      <c r="EE181" s="81"/>
      <c r="EF181" s="81"/>
      <c r="EG181" s="81"/>
      <c r="EH181" s="81"/>
      <c r="EI181" s="81"/>
      <c r="EJ181" s="81"/>
      <c r="EK181" s="81"/>
      <c r="EL181" s="81"/>
      <c r="EM181" s="81"/>
      <c r="EN181" s="81"/>
      <c r="EO181" s="81"/>
      <c r="EP181" s="81"/>
      <c r="EQ181" s="81"/>
      <c r="ER181" s="81"/>
      <c r="ES181" s="81"/>
      <c r="ET181" s="81"/>
      <c r="EU181" s="81"/>
      <c r="EV181" s="81"/>
      <c r="EW181" s="81"/>
      <c r="EX181" s="81"/>
      <c r="EY181" s="81"/>
      <c r="EZ181" s="81"/>
      <c r="FA181" s="81"/>
      <c r="FB181" s="81"/>
      <c r="FC181" s="81"/>
      <c r="FD181" s="81"/>
      <c r="FE181" s="81"/>
      <c r="FF181" s="81"/>
      <c r="FG181" s="81"/>
      <c r="FH181" s="81"/>
      <c r="FI181" s="81"/>
      <c r="FJ181" s="81"/>
      <c r="FK181" s="81"/>
      <c r="FL181" s="81"/>
      <c r="FM181" s="81"/>
      <c r="FN181" s="81"/>
      <c r="FO181" s="81"/>
      <c r="FP181" s="81"/>
      <c r="FQ181" s="81"/>
      <c r="FR181" s="81"/>
      <c r="FS181" s="81"/>
      <c r="FT181" s="81"/>
      <c r="FU181" s="81"/>
      <c r="FV181" s="81"/>
      <c r="FW181" s="81"/>
      <c r="FX181" s="81"/>
      <c r="FY181" s="81"/>
      <c r="FZ181" s="81"/>
      <c r="GA181" s="81"/>
      <c r="GB181" s="81"/>
      <c r="GC181" s="81"/>
      <c r="GD181" s="81"/>
      <c r="GE181" s="81"/>
      <c r="GF181" s="81"/>
      <c r="GG181" s="81"/>
      <c r="GH181" s="81"/>
    </row>
    <row r="182" spans="1:190" x14ac:dyDescent="0.2">
      <c r="A182" s="82"/>
      <c r="B182" s="81"/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  <c r="AI182" s="81"/>
      <c r="AJ182" s="81"/>
      <c r="AK182" s="81"/>
      <c r="AL182" s="81"/>
      <c r="AM182" s="81"/>
      <c r="AN182" s="81"/>
      <c r="AO182" s="81"/>
      <c r="AP182" s="81"/>
      <c r="AQ182" s="81"/>
      <c r="AR182" s="81"/>
      <c r="AS182" s="81"/>
      <c r="AT182" s="81"/>
      <c r="AU182" s="81"/>
      <c r="AV182" s="81"/>
      <c r="AW182" s="81"/>
      <c r="AX182" s="81"/>
      <c r="AY182" s="81"/>
      <c r="AZ182" s="81"/>
      <c r="BA182" s="81"/>
      <c r="BB182" s="81"/>
      <c r="BC182" s="81"/>
      <c r="BD182" s="81"/>
      <c r="BE182" s="81"/>
      <c r="BF182" s="81"/>
      <c r="BG182" s="81"/>
      <c r="BH182" s="81"/>
      <c r="BI182" s="81"/>
      <c r="BJ182" s="81"/>
      <c r="BK182" s="81"/>
      <c r="BL182" s="81"/>
      <c r="BM182" s="81"/>
      <c r="BN182" s="81"/>
      <c r="BO182" s="81"/>
      <c r="BP182" s="81"/>
      <c r="BQ182" s="81"/>
      <c r="BR182" s="81"/>
      <c r="BS182" s="81"/>
      <c r="BT182" s="81"/>
      <c r="BU182" s="81"/>
      <c r="BV182" s="81"/>
      <c r="BW182" s="81"/>
      <c r="BX182" s="81"/>
      <c r="BY182" s="81"/>
      <c r="BZ182" s="81"/>
      <c r="CA182" s="81"/>
      <c r="CB182" s="81"/>
      <c r="CC182" s="81"/>
      <c r="CD182" s="81"/>
      <c r="CE182" s="81"/>
      <c r="CF182" s="81"/>
      <c r="CG182" s="81"/>
      <c r="CH182" s="81"/>
      <c r="CI182" s="81"/>
      <c r="CJ182" s="81"/>
      <c r="CK182" s="81"/>
      <c r="CL182" s="81"/>
      <c r="CM182" s="81"/>
      <c r="CN182" s="81"/>
      <c r="CO182" s="81"/>
      <c r="CP182" s="81"/>
      <c r="CQ182" s="81"/>
      <c r="CR182" s="81"/>
      <c r="CS182" s="81"/>
      <c r="CT182" s="81"/>
      <c r="CU182" s="81"/>
      <c r="CV182" s="81"/>
      <c r="CW182" s="81"/>
      <c r="CX182" s="81"/>
      <c r="CY182" s="81"/>
      <c r="CZ182" s="81"/>
      <c r="DA182" s="81"/>
      <c r="DB182" s="81"/>
      <c r="DC182" s="81"/>
      <c r="DD182" s="81"/>
      <c r="DE182" s="81"/>
      <c r="DF182" s="81"/>
      <c r="DG182" s="81"/>
      <c r="DH182" s="81"/>
      <c r="DI182" s="81"/>
      <c r="DJ182" s="81"/>
      <c r="DK182" s="81"/>
      <c r="DL182" s="81"/>
      <c r="DM182" s="81"/>
      <c r="DN182" s="81"/>
      <c r="DO182" s="81"/>
      <c r="DP182" s="81"/>
      <c r="DQ182" s="81"/>
      <c r="DR182" s="81"/>
      <c r="DS182" s="81"/>
      <c r="DT182" s="81"/>
      <c r="DU182" s="81"/>
      <c r="DV182" s="81"/>
      <c r="DW182" s="81"/>
      <c r="DX182" s="81"/>
      <c r="DY182" s="81"/>
      <c r="DZ182" s="81"/>
      <c r="EA182" s="81"/>
      <c r="EB182" s="81"/>
      <c r="EC182" s="81"/>
      <c r="ED182" s="81"/>
      <c r="EE182" s="81"/>
      <c r="EF182" s="81"/>
      <c r="EG182" s="81"/>
      <c r="EH182" s="81"/>
      <c r="EI182" s="81"/>
      <c r="EJ182" s="81"/>
      <c r="EK182" s="81"/>
      <c r="EL182" s="81"/>
      <c r="EM182" s="81"/>
      <c r="EN182" s="81"/>
      <c r="EO182" s="81"/>
      <c r="EP182" s="81"/>
      <c r="EQ182" s="81"/>
      <c r="ER182" s="81"/>
      <c r="ES182" s="81"/>
      <c r="ET182" s="81"/>
      <c r="EU182" s="81"/>
      <c r="EV182" s="81"/>
      <c r="EW182" s="81"/>
      <c r="EX182" s="81"/>
      <c r="EY182" s="81"/>
      <c r="EZ182" s="81"/>
      <c r="FA182" s="81"/>
      <c r="FB182" s="81"/>
      <c r="FC182" s="81"/>
      <c r="FD182" s="81"/>
      <c r="FE182" s="81"/>
      <c r="FF182" s="81"/>
      <c r="FG182" s="81"/>
      <c r="FH182" s="81"/>
      <c r="FI182" s="81"/>
      <c r="FJ182" s="81"/>
      <c r="FK182" s="81"/>
      <c r="FL182" s="81"/>
      <c r="FM182" s="81"/>
      <c r="FN182" s="81"/>
      <c r="FO182" s="81"/>
      <c r="FP182" s="81"/>
      <c r="FQ182" s="81"/>
      <c r="FR182" s="81"/>
      <c r="FS182" s="81"/>
      <c r="FT182" s="81"/>
      <c r="FU182" s="81"/>
      <c r="FV182" s="81"/>
      <c r="FW182" s="81"/>
      <c r="FX182" s="81"/>
      <c r="FY182" s="81"/>
      <c r="FZ182" s="81"/>
      <c r="GA182" s="81"/>
      <c r="GB182" s="81"/>
      <c r="GC182" s="81"/>
      <c r="GD182" s="81"/>
      <c r="GE182" s="81"/>
      <c r="GF182" s="81"/>
      <c r="GG182" s="81"/>
      <c r="GH182" s="81"/>
    </row>
    <row r="183" spans="1:190" x14ac:dyDescent="0.2">
      <c r="A183" s="82"/>
      <c r="B183" s="81"/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  <c r="AI183" s="81"/>
      <c r="AJ183" s="81"/>
      <c r="AK183" s="81"/>
      <c r="AL183" s="81"/>
      <c r="AM183" s="81"/>
      <c r="AN183" s="81"/>
      <c r="AO183" s="81"/>
      <c r="AP183" s="81"/>
      <c r="AQ183" s="81"/>
      <c r="AR183" s="81"/>
      <c r="AS183" s="81"/>
      <c r="AT183" s="81"/>
      <c r="AU183" s="81"/>
      <c r="AV183" s="81"/>
      <c r="AW183" s="81"/>
      <c r="AX183" s="81"/>
      <c r="AY183" s="81"/>
      <c r="AZ183" s="81"/>
      <c r="BA183" s="81"/>
      <c r="BB183" s="81"/>
      <c r="BC183" s="81"/>
      <c r="BD183" s="81"/>
      <c r="BE183" s="81"/>
      <c r="BF183" s="81"/>
      <c r="BG183" s="81"/>
      <c r="BH183" s="81"/>
      <c r="BI183" s="81"/>
      <c r="BJ183" s="81"/>
      <c r="BK183" s="81"/>
      <c r="BL183" s="81"/>
      <c r="BM183" s="81"/>
      <c r="BN183" s="81"/>
      <c r="BO183" s="81"/>
      <c r="BP183" s="81"/>
      <c r="BQ183" s="81"/>
      <c r="BR183" s="81"/>
      <c r="BS183" s="81"/>
      <c r="BT183" s="81"/>
      <c r="BU183" s="81"/>
      <c r="BV183" s="81"/>
      <c r="BW183" s="81"/>
      <c r="BX183" s="81"/>
      <c r="BY183" s="81"/>
      <c r="BZ183" s="81"/>
      <c r="CA183" s="81"/>
      <c r="CB183" s="81"/>
      <c r="CC183" s="81"/>
      <c r="CD183" s="81"/>
      <c r="CE183" s="81"/>
      <c r="CF183" s="81"/>
      <c r="CG183" s="81"/>
      <c r="CH183" s="81"/>
      <c r="CI183" s="81"/>
      <c r="CJ183" s="81"/>
      <c r="CK183" s="81"/>
      <c r="CL183" s="81"/>
      <c r="CM183" s="81"/>
      <c r="CN183" s="81"/>
      <c r="CO183" s="81"/>
      <c r="CP183" s="81"/>
      <c r="CQ183" s="81"/>
      <c r="CR183" s="81"/>
      <c r="CS183" s="81"/>
      <c r="CT183" s="81"/>
      <c r="CU183" s="81"/>
      <c r="CV183" s="81"/>
      <c r="CW183" s="81"/>
      <c r="CX183" s="81"/>
      <c r="CY183" s="81"/>
      <c r="CZ183" s="81"/>
      <c r="DA183" s="81"/>
      <c r="DB183" s="81"/>
      <c r="DC183" s="81"/>
      <c r="DD183" s="81"/>
      <c r="DE183" s="81"/>
      <c r="DF183" s="81"/>
      <c r="DG183" s="81"/>
      <c r="DH183" s="81"/>
      <c r="DI183" s="81"/>
      <c r="DJ183" s="81"/>
      <c r="DK183" s="81"/>
      <c r="DL183" s="81"/>
      <c r="DM183" s="81"/>
      <c r="DN183" s="81"/>
      <c r="DO183" s="81"/>
      <c r="DP183" s="81"/>
      <c r="DQ183" s="81"/>
      <c r="DR183" s="81"/>
      <c r="DS183" s="81"/>
      <c r="DT183" s="81"/>
      <c r="DU183" s="81"/>
      <c r="DV183" s="81"/>
      <c r="DW183" s="81"/>
      <c r="DX183" s="81"/>
      <c r="DY183" s="81"/>
      <c r="DZ183" s="81"/>
      <c r="EA183" s="81"/>
      <c r="EB183" s="81"/>
      <c r="EC183" s="81"/>
      <c r="ED183" s="81"/>
      <c r="EE183" s="81"/>
      <c r="EF183" s="81"/>
      <c r="EG183" s="81"/>
      <c r="EH183" s="81"/>
      <c r="EI183" s="81"/>
      <c r="EJ183" s="81"/>
      <c r="EK183" s="81"/>
      <c r="EL183" s="81"/>
      <c r="EM183" s="81"/>
      <c r="EN183" s="81"/>
      <c r="EO183" s="81"/>
      <c r="EP183" s="81"/>
      <c r="EQ183" s="81"/>
      <c r="ER183" s="81"/>
      <c r="ES183" s="81"/>
      <c r="ET183" s="81"/>
      <c r="EU183" s="81"/>
      <c r="EV183" s="81"/>
      <c r="EW183" s="81"/>
      <c r="EX183" s="81"/>
      <c r="EY183" s="81"/>
      <c r="EZ183" s="81"/>
      <c r="FA183" s="81"/>
      <c r="FB183" s="81"/>
      <c r="FC183" s="81"/>
      <c r="FD183" s="81"/>
      <c r="FE183" s="81"/>
      <c r="FF183" s="81"/>
      <c r="FG183" s="81"/>
      <c r="FH183" s="81"/>
      <c r="FI183" s="81"/>
      <c r="FJ183" s="81"/>
      <c r="FK183" s="81"/>
      <c r="FL183" s="81"/>
      <c r="FM183" s="81"/>
      <c r="FN183" s="81"/>
      <c r="FO183" s="81"/>
      <c r="FP183" s="81"/>
      <c r="FQ183" s="81"/>
      <c r="FR183" s="81"/>
      <c r="FS183" s="81"/>
      <c r="FT183" s="81"/>
      <c r="FU183" s="81"/>
      <c r="FV183" s="81"/>
      <c r="FW183" s="81"/>
      <c r="FX183" s="81"/>
      <c r="FY183" s="81"/>
      <c r="FZ183" s="81"/>
      <c r="GA183" s="81"/>
      <c r="GB183" s="81"/>
      <c r="GC183" s="81"/>
      <c r="GD183" s="81"/>
      <c r="GE183" s="81"/>
      <c r="GF183" s="81"/>
      <c r="GG183" s="81"/>
      <c r="GH183" s="81"/>
    </row>
    <row r="184" spans="1:190" x14ac:dyDescent="0.2">
      <c r="A184" s="82"/>
      <c r="B184" s="81"/>
      <c r="C184" s="81"/>
      <c r="D184" s="82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  <c r="AI184" s="81"/>
      <c r="AJ184" s="81"/>
      <c r="AK184" s="81"/>
      <c r="AL184" s="81"/>
      <c r="AM184" s="81"/>
      <c r="AN184" s="81"/>
      <c r="AO184" s="81"/>
      <c r="AP184" s="81"/>
      <c r="AQ184" s="81"/>
      <c r="AR184" s="81"/>
      <c r="AS184" s="81"/>
      <c r="AT184" s="81"/>
      <c r="AU184" s="81"/>
      <c r="AV184" s="81"/>
      <c r="AW184" s="81"/>
      <c r="AX184" s="81"/>
      <c r="AY184" s="81"/>
      <c r="AZ184" s="81"/>
      <c r="BA184" s="81"/>
      <c r="BB184" s="81"/>
      <c r="BC184" s="81"/>
      <c r="BD184" s="81"/>
      <c r="BE184" s="81"/>
      <c r="BF184" s="81"/>
      <c r="BG184" s="81"/>
      <c r="BH184" s="81"/>
      <c r="BI184" s="81"/>
      <c r="BJ184" s="81"/>
      <c r="BK184" s="81"/>
      <c r="BL184" s="81"/>
      <c r="BM184" s="81"/>
      <c r="BN184" s="81"/>
      <c r="BO184" s="81"/>
      <c r="BP184" s="81"/>
      <c r="BQ184" s="81"/>
      <c r="BR184" s="81"/>
      <c r="BS184" s="81"/>
      <c r="BT184" s="81"/>
      <c r="BU184" s="81"/>
      <c r="BV184" s="81"/>
      <c r="BW184" s="81"/>
      <c r="BX184" s="81"/>
      <c r="BY184" s="81"/>
      <c r="BZ184" s="81"/>
      <c r="CA184" s="81"/>
      <c r="CB184" s="81"/>
      <c r="CC184" s="81"/>
      <c r="CD184" s="81"/>
      <c r="CE184" s="81"/>
      <c r="CF184" s="81"/>
      <c r="CG184" s="81"/>
      <c r="CH184" s="81"/>
      <c r="CI184" s="81"/>
      <c r="CJ184" s="81"/>
      <c r="CK184" s="81"/>
      <c r="CL184" s="81"/>
      <c r="CM184" s="81"/>
      <c r="CN184" s="81"/>
      <c r="CO184" s="81"/>
      <c r="CP184" s="81"/>
      <c r="CQ184" s="81"/>
      <c r="CR184" s="81"/>
      <c r="CS184" s="81"/>
      <c r="CT184" s="81"/>
      <c r="CU184" s="81"/>
      <c r="CV184" s="81"/>
      <c r="CW184" s="81"/>
      <c r="CX184" s="81"/>
      <c r="CY184" s="81"/>
      <c r="CZ184" s="81"/>
      <c r="DA184" s="81"/>
      <c r="DB184" s="81"/>
      <c r="DC184" s="81"/>
      <c r="DD184" s="81"/>
      <c r="DE184" s="81"/>
      <c r="DF184" s="81"/>
      <c r="DG184" s="81"/>
      <c r="DH184" s="81"/>
      <c r="DI184" s="81"/>
      <c r="DJ184" s="81"/>
      <c r="DK184" s="81"/>
      <c r="DL184" s="81"/>
      <c r="DM184" s="81"/>
      <c r="DN184" s="81"/>
      <c r="DO184" s="81"/>
      <c r="DP184" s="81"/>
      <c r="DQ184" s="81"/>
      <c r="DR184" s="81"/>
      <c r="DS184" s="81"/>
      <c r="DT184" s="81"/>
      <c r="DU184" s="81"/>
      <c r="DV184" s="81"/>
      <c r="DW184" s="81"/>
      <c r="DX184" s="81"/>
      <c r="DY184" s="81"/>
      <c r="DZ184" s="81"/>
      <c r="EA184" s="81"/>
      <c r="EB184" s="81"/>
      <c r="EC184" s="81"/>
      <c r="ED184" s="81"/>
      <c r="EE184" s="81"/>
      <c r="EF184" s="81"/>
      <c r="EG184" s="81"/>
      <c r="EH184" s="81"/>
      <c r="EI184" s="81"/>
      <c r="EJ184" s="81"/>
      <c r="EK184" s="81"/>
      <c r="EL184" s="81"/>
      <c r="EM184" s="81"/>
      <c r="EN184" s="81"/>
      <c r="EO184" s="81"/>
      <c r="EP184" s="81"/>
      <c r="EQ184" s="81"/>
      <c r="ER184" s="81"/>
      <c r="ES184" s="81"/>
      <c r="ET184" s="81"/>
      <c r="EU184" s="81"/>
      <c r="EV184" s="81"/>
      <c r="EW184" s="81"/>
      <c r="EX184" s="81"/>
      <c r="EY184" s="81"/>
      <c r="EZ184" s="81"/>
      <c r="FA184" s="81"/>
      <c r="FB184" s="81"/>
      <c r="FC184" s="81"/>
      <c r="FD184" s="81"/>
      <c r="FE184" s="81"/>
      <c r="FF184" s="81"/>
      <c r="FG184" s="81"/>
      <c r="FH184" s="81"/>
      <c r="FI184" s="81"/>
      <c r="FJ184" s="81"/>
      <c r="FK184" s="81"/>
      <c r="FL184" s="81"/>
      <c r="FM184" s="81"/>
      <c r="FN184" s="81"/>
      <c r="FO184" s="81"/>
      <c r="FP184" s="81"/>
      <c r="FQ184" s="81"/>
      <c r="FR184" s="81"/>
      <c r="FS184" s="81"/>
      <c r="FT184" s="81"/>
      <c r="FU184" s="81"/>
      <c r="FV184" s="81"/>
      <c r="FW184" s="81"/>
      <c r="FX184" s="81"/>
      <c r="FY184" s="81"/>
      <c r="FZ184" s="81"/>
      <c r="GA184" s="81"/>
      <c r="GB184" s="81"/>
      <c r="GC184" s="81"/>
      <c r="GD184" s="81"/>
      <c r="GE184" s="81"/>
      <c r="GF184" s="81"/>
      <c r="GG184" s="81"/>
      <c r="GH184" s="81"/>
    </row>
    <row r="185" spans="1:190" x14ac:dyDescent="0.2">
      <c r="A185" s="82"/>
      <c r="B185" s="81"/>
      <c r="C185" s="82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  <c r="AI185" s="81"/>
      <c r="AJ185" s="81"/>
      <c r="AK185" s="81"/>
      <c r="AL185" s="81"/>
      <c r="AM185" s="81"/>
      <c r="AN185" s="81"/>
      <c r="AO185" s="81"/>
      <c r="AP185" s="81"/>
      <c r="AQ185" s="81"/>
      <c r="AR185" s="81"/>
      <c r="AS185" s="81"/>
      <c r="AT185" s="81"/>
      <c r="AU185" s="81"/>
      <c r="AV185" s="81"/>
      <c r="AW185" s="81"/>
      <c r="AX185" s="81"/>
      <c r="AY185" s="81"/>
      <c r="AZ185" s="81"/>
      <c r="BA185" s="81"/>
      <c r="BB185" s="81"/>
      <c r="BC185" s="81"/>
      <c r="BD185" s="81"/>
      <c r="BE185" s="81"/>
      <c r="BF185" s="81"/>
      <c r="BG185" s="81"/>
      <c r="BH185" s="81"/>
      <c r="BI185" s="81"/>
      <c r="BJ185" s="81"/>
      <c r="BK185" s="81"/>
      <c r="BL185" s="81"/>
      <c r="BM185" s="81"/>
      <c r="BN185" s="81"/>
      <c r="BO185" s="81"/>
      <c r="BP185" s="81"/>
      <c r="BQ185" s="81"/>
      <c r="BR185" s="81"/>
      <c r="BS185" s="81"/>
      <c r="BT185" s="81"/>
      <c r="BU185" s="81"/>
      <c r="BV185" s="81"/>
      <c r="BW185" s="81"/>
      <c r="BX185" s="81"/>
      <c r="BY185" s="81"/>
      <c r="BZ185" s="81"/>
      <c r="CA185" s="81"/>
      <c r="CB185" s="81"/>
      <c r="CC185" s="81"/>
      <c r="CD185" s="81"/>
      <c r="CE185" s="81"/>
      <c r="CF185" s="81"/>
      <c r="CG185" s="81"/>
      <c r="CH185" s="81"/>
      <c r="CI185" s="81"/>
      <c r="CJ185" s="81"/>
      <c r="CK185" s="81"/>
      <c r="CL185" s="81"/>
      <c r="CM185" s="81"/>
      <c r="CN185" s="81"/>
      <c r="CO185" s="81"/>
      <c r="CP185" s="81"/>
      <c r="CQ185" s="81"/>
      <c r="CR185" s="81"/>
      <c r="CS185" s="81"/>
      <c r="CT185" s="81"/>
      <c r="CU185" s="81"/>
      <c r="CV185" s="81"/>
      <c r="CW185" s="81"/>
      <c r="CX185" s="81"/>
      <c r="CY185" s="81"/>
      <c r="CZ185" s="81"/>
      <c r="DA185" s="81"/>
      <c r="DB185" s="81"/>
      <c r="DC185" s="81"/>
      <c r="DD185" s="81"/>
      <c r="DE185" s="81"/>
      <c r="DF185" s="81"/>
      <c r="DG185" s="81"/>
      <c r="DH185" s="81"/>
      <c r="DI185" s="81"/>
      <c r="DJ185" s="81"/>
      <c r="DK185" s="81"/>
      <c r="DL185" s="81"/>
      <c r="DM185" s="81"/>
      <c r="DN185" s="81"/>
      <c r="DO185" s="81"/>
      <c r="DP185" s="81"/>
      <c r="DQ185" s="81"/>
      <c r="DR185" s="81"/>
      <c r="DS185" s="81"/>
      <c r="DT185" s="81"/>
      <c r="DU185" s="81"/>
      <c r="DV185" s="81"/>
      <c r="DW185" s="81"/>
      <c r="DX185" s="81"/>
      <c r="DY185" s="81"/>
      <c r="DZ185" s="81"/>
      <c r="EA185" s="81"/>
      <c r="EB185" s="81"/>
      <c r="EC185" s="81"/>
      <c r="ED185" s="81"/>
      <c r="EE185" s="81"/>
      <c r="EF185" s="81"/>
      <c r="EG185" s="81"/>
      <c r="EH185" s="81"/>
      <c r="EI185" s="81"/>
      <c r="EJ185" s="81"/>
      <c r="EK185" s="81"/>
      <c r="EL185" s="81"/>
      <c r="EM185" s="81"/>
      <c r="EN185" s="81"/>
      <c r="EO185" s="81"/>
      <c r="EP185" s="81"/>
      <c r="EQ185" s="81"/>
      <c r="ER185" s="81"/>
      <c r="ES185" s="81"/>
      <c r="ET185" s="81"/>
      <c r="EU185" s="81"/>
      <c r="EV185" s="81"/>
      <c r="EW185" s="81"/>
      <c r="EX185" s="81"/>
      <c r="EY185" s="81"/>
      <c r="EZ185" s="81"/>
      <c r="FA185" s="81"/>
      <c r="FB185" s="81"/>
      <c r="FC185" s="81"/>
      <c r="FD185" s="81"/>
      <c r="FE185" s="81"/>
      <c r="FF185" s="81"/>
      <c r="FG185" s="81"/>
      <c r="FH185" s="81"/>
      <c r="FI185" s="81"/>
      <c r="FJ185" s="81"/>
      <c r="FK185" s="81"/>
      <c r="FL185" s="81"/>
      <c r="FM185" s="81"/>
      <c r="FN185" s="81"/>
      <c r="FO185" s="81"/>
      <c r="FP185" s="81"/>
      <c r="FQ185" s="81"/>
      <c r="FR185" s="81"/>
      <c r="FS185" s="81"/>
      <c r="FT185" s="81"/>
      <c r="FU185" s="81"/>
      <c r="FV185" s="81"/>
      <c r="FW185" s="81"/>
      <c r="FX185" s="81"/>
      <c r="FY185" s="81"/>
      <c r="FZ185" s="81"/>
      <c r="GA185" s="81"/>
      <c r="GB185" s="81"/>
      <c r="GC185" s="81"/>
      <c r="GD185" s="81"/>
      <c r="GE185" s="81"/>
      <c r="GF185" s="81"/>
      <c r="GG185" s="81"/>
      <c r="GH185" s="81"/>
    </row>
    <row r="186" spans="1:190" x14ac:dyDescent="0.2">
      <c r="A186" s="82"/>
      <c r="B186" s="81"/>
      <c r="C186" s="82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  <c r="AI186" s="81"/>
      <c r="AJ186" s="81"/>
      <c r="AK186" s="81"/>
      <c r="AL186" s="81"/>
      <c r="AM186" s="81"/>
      <c r="AN186" s="81"/>
      <c r="AO186" s="81"/>
      <c r="AP186" s="81"/>
      <c r="AQ186" s="81"/>
      <c r="AR186" s="81"/>
      <c r="AS186" s="81"/>
      <c r="AT186" s="81"/>
      <c r="AU186" s="81"/>
      <c r="AV186" s="81"/>
      <c r="AW186" s="81"/>
      <c r="AX186" s="81"/>
      <c r="AY186" s="81"/>
      <c r="AZ186" s="81"/>
      <c r="BA186" s="81"/>
      <c r="BB186" s="81"/>
      <c r="BC186" s="81"/>
      <c r="BD186" s="81"/>
      <c r="BE186" s="81"/>
      <c r="BF186" s="81"/>
      <c r="BG186" s="81"/>
      <c r="BH186" s="81"/>
      <c r="BI186" s="81"/>
      <c r="BJ186" s="81"/>
      <c r="BK186" s="81"/>
      <c r="BL186" s="81"/>
      <c r="BM186" s="81"/>
      <c r="BN186" s="81"/>
      <c r="BO186" s="81"/>
      <c r="BP186" s="81"/>
      <c r="BQ186" s="81"/>
      <c r="BR186" s="81"/>
      <c r="BS186" s="81"/>
      <c r="BT186" s="81"/>
      <c r="BU186" s="81"/>
      <c r="BV186" s="81"/>
      <c r="BW186" s="81"/>
      <c r="BX186" s="81"/>
      <c r="BY186" s="81"/>
      <c r="BZ186" s="81"/>
      <c r="CA186" s="81"/>
      <c r="CB186" s="81"/>
      <c r="CC186" s="81"/>
      <c r="CD186" s="81"/>
      <c r="CE186" s="81"/>
      <c r="CF186" s="81"/>
      <c r="CG186" s="81"/>
      <c r="CH186" s="81"/>
      <c r="CI186" s="81"/>
      <c r="CJ186" s="81"/>
      <c r="CK186" s="81"/>
      <c r="CL186" s="81"/>
      <c r="CM186" s="81"/>
      <c r="CN186" s="81"/>
      <c r="CO186" s="81"/>
      <c r="CP186" s="81"/>
      <c r="CQ186" s="81"/>
      <c r="CR186" s="81"/>
      <c r="CS186" s="81"/>
      <c r="CT186" s="81"/>
      <c r="CU186" s="81"/>
      <c r="CV186" s="81"/>
      <c r="CW186" s="81"/>
      <c r="CX186" s="81"/>
      <c r="CY186" s="81"/>
      <c r="CZ186" s="81"/>
      <c r="DA186" s="81"/>
      <c r="DB186" s="81"/>
      <c r="DC186" s="81"/>
      <c r="DD186" s="81"/>
      <c r="DE186" s="81"/>
      <c r="DF186" s="81"/>
      <c r="DG186" s="81"/>
      <c r="DH186" s="81"/>
      <c r="DI186" s="81"/>
      <c r="DJ186" s="81"/>
      <c r="DK186" s="81"/>
      <c r="DL186" s="81"/>
      <c r="DM186" s="81"/>
      <c r="DN186" s="81"/>
      <c r="DO186" s="81"/>
      <c r="DP186" s="81"/>
      <c r="DQ186" s="81"/>
      <c r="DR186" s="81"/>
      <c r="DS186" s="81"/>
      <c r="DT186" s="81"/>
      <c r="DU186" s="81"/>
      <c r="DV186" s="81"/>
      <c r="DW186" s="81"/>
      <c r="DX186" s="81"/>
      <c r="DY186" s="81"/>
      <c r="DZ186" s="81"/>
      <c r="EA186" s="81"/>
      <c r="EB186" s="81"/>
      <c r="EC186" s="81"/>
      <c r="ED186" s="81"/>
      <c r="EE186" s="81"/>
      <c r="EF186" s="81"/>
      <c r="EG186" s="81"/>
      <c r="EH186" s="81"/>
      <c r="EI186" s="81"/>
      <c r="EJ186" s="81"/>
      <c r="EK186" s="81"/>
      <c r="EL186" s="81"/>
      <c r="EM186" s="81"/>
      <c r="EN186" s="81"/>
      <c r="EO186" s="81"/>
      <c r="EP186" s="81"/>
      <c r="EQ186" s="81"/>
      <c r="ER186" s="81"/>
      <c r="ES186" s="81"/>
      <c r="ET186" s="81"/>
      <c r="EU186" s="81"/>
      <c r="EV186" s="81"/>
      <c r="EW186" s="81"/>
      <c r="EX186" s="81"/>
      <c r="EY186" s="81"/>
      <c r="EZ186" s="81"/>
      <c r="FA186" s="81"/>
      <c r="FB186" s="81"/>
      <c r="FC186" s="81"/>
      <c r="FD186" s="81"/>
      <c r="FE186" s="81"/>
      <c r="FF186" s="81"/>
      <c r="FG186" s="81"/>
      <c r="FH186" s="81"/>
      <c r="FI186" s="81"/>
      <c r="FJ186" s="81"/>
      <c r="FK186" s="81"/>
      <c r="FL186" s="81"/>
      <c r="FM186" s="81"/>
      <c r="FN186" s="81"/>
      <c r="FO186" s="81"/>
      <c r="FP186" s="81"/>
      <c r="FQ186" s="81"/>
      <c r="FR186" s="81"/>
      <c r="FS186" s="81"/>
      <c r="FT186" s="81"/>
      <c r="FU186" s="81"/>
      <c r="FV186" s="81"/>
      <c r="FW186" s="81"/>
      <c r="FX186" s="81"/>
      <c r="FY186" s="81"/>
      <c r="FZ186" s="81"/>
      <c r="GA186" s="81"/>
      <c r="GB186" s="81"/>
      <c r="GC186" s="81"/>
      <c r="GD186" s="81"/>
      <c r="GE186" s="81"/>
      <c r="GF186" s="81"/>
      <c r="GG186" s="81"/>
      <c r="GH186" s="81"/>
    </row>
    <row r="187" spans="1:190" x14ac:dyDescent="0.2">
      <c r="A187" s="82"/>
      <c r="B187" s="81"/>
      <c r="C187" s="82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  <c r="AI187" s="81"/>
      <c r="AJ187" s="81"/>
      <c r="AK187" s="81"/>
      <c r="AL187" s="81"/>
      <c r="AM187" s="81"/>
      <c r="AN187" s="81"/>
      <c r="AO187" s="81"/>
      <c r="AP187" s="81"/>
      <c r="AQ187" s="81"/>
      <c r="AR187" s="81"/>
      <c r="AS187" s="81"/>
      <c r="AT187" s="81"/>
      <c r="AU187" s="81"/>
      <c r="AV187" s="81"/>
      <c r="AW187" s="81"/>
      <c r="AX187" s="81"/>
      <c r="AY187" s="81"/>
      <c r="AZ187" s="81"/>
      <c r="BA187" s="81"/>
      <c r="BB187" s="81"/>
      <c r="BC187" s="81"/>
      <c r="BD187" s="81"/>
      <c r="BE187" s="81"/>
      <c r="BF187" s="81"/>
      <c r="BG187" s="81"/>
      <c r="BH187" s="81"/>
      <c r="BI187" s="81"/>
      <c r="BJ187" s="81"/>
      <c r="BK187" s="81"/>
      <c r="BL187" s="81"/>
      <c r="BM187" s="81"/>
      <c r="BN187" s="81"/>
      <c r="BO187" s="81"/>
      <c r="BP187" s="81"/>
      <c r="BQ187" s="81"/>
      <c r="BR187" s="81"/>
      <c r="BS187" s="81"/>
      <c r="BT187" s="81"/>
      <c r="BU187" s="81"/>
      <c r="BV187" s="81"/>
      <c r="BW187" s="81"/>
      <c r="BX187" s="81"/>
      <c r="BY187" s="81"/>
      <c r="BZ187" s="81"/>
      <c r="CA187" s="81"/>
      <c r="CB187" s="81"/>
      <c r="CC187" s="81"/>
      <c r="CD187" s="81"/>
      <c r="CE187" s="81"/>
      <c r="CF187" s="81"/>
      <c r="CG187" s="81"/>
      <c r="CH187" s="81"/>
      <c r="CI187" s="81"/>
      <c r="CJ187" s="81"/>
      <c r="CK187" s="81"/>
      <c r="CL187" s="81"/>
      <c r="CM187" s="81"/>
      <c r="CN187" s="81"/>
      <c r="CO187" s="81"/>
      <c r="CP187" s="81"/>
      <c r="CQ187" s="81"/>
      <c r="CR187" s="81"/>
      <c r="CS187" s="81"/>
      <c r="CT187" s="81"/>
      <c r="CU187" s="81"/>
      <c r="CV187" s="81"/>
      <c r="CW187" s="81"/>
      <c r="CX187" s="81"/>
      <c r="CY187" s="81"/>
      <c r="CZ187" s="81"/>
      <c r="DA187" s="81"/>
      <c r="DB187" s="81"/>
      <c r="DC187" s="81"/>
      <c r="DD187" s="81"/>
      <c r="DE187" s="81"/>
      <c r="DF187" s="81"/>
      <c r="DG187" s="81"/>
      <c r="DH187" s="81"/>
      <c r="DI187" s="81"/>
      <c r="DJ187" s="81"/>
      <c r="DK187" s="81"/>
      <c r="DL187" s="81"/>
      <c r="DM187" s="81"/>
      <c r="DN187" s="81"/>
      <c r="DO187" s="81"/>
      <c r="DP187" s="81"/>
      <c r="DQ187" s="81"/>
      <c r="DR187" s="81"/>
      <c r="DS187" s="81"/>
      <c r="DT187" s="81"/>
      <c r="DU187" s="81"/>
      <c r="DV187" s="81"/>
      <c r="DW187" s="81"/>
      <c r="DX187" s="81"/>
      <c r="DY187" s="81"/>
      <c r="DZ187" s="81"/>
      <c r="EA187" s="81"/>
      <c r="EB187" s="81"/>
      <c r="EC187" s="81"/>
      <c r="ED187" s="81"/>
      <c r="EE187" s="81"/>
      <c r="EF187" s="81"/>
      <c r="EG187" s="81"/>
      <c r="EH187" s="81"/>
      <c r="EI187" s="81"/>
      <c r="EJ187" s="81"/>
      <c r="EK187" s="81"/>
      <c r="EL187" s="81"/>
      <c r="EM187" s="81"/>
      <c r="EN187" s="81"/>
      <c r="EO187" s="81"/>
      <c r="EP187" s="81"/>
      <c r="EQ187" s="81"/>
      <c r="ER187" s="81"/>
      <c r="ES187" s="81"/>
      <c r="ET187" s="81"/>
      <c r="EU187" s="81"/>
      <c r="EV187" s="81"/>
      <c r="EW187" s="81"/>
      <c r="EX187" s="81"/>
      <c r="EY187" s="81"/>
      <c r="EZ187" s="81"/>
      <c r="FA187" s="81"/>
      <c r="FB187" s="81"/>
      <c r="FC187" s="81"/>
      <c r="FD187" s="81"/>
      <c r="FE187" s="81"/>
      <c r="FF187" s="81"/>
      <c r="FG187" s="81"/>
      <c r="FH187" s="81"/>
      <c r="FI187" s="81"/>
      <c r="FJ187" s="81"/>
      <c r="FK187" s="81"/>
      <c r="FL187" s="81"/>
      <c r="FM187" s="81"/>
      <c r="FN187" s="81"/>
      <c r="FO187" s="81"/>
      <c r="FP187" s="81"/>
      <c r="FQ187" s="81"/>
      <c r="FR187" s="81"/>
      <c r="FS187" s="81"/>
      <c r="FT187" s="81"/>
      <c r="FU187" s="81"/>
      <c r="FV187" s="81"/>
      <c r="FW187" s="81"/>
      <c r="FX187" s="81"/>
      <c r="FY187" s="81"/>
      <c r="FZ187" s="81"/>
      <c r="GA187" s="81"/>
      <c r="GB187" s="81"/>
      <c r="GC187" s="81"/>
      <c r="GD187" s="81"/>
      <c r="GE187" s="81"/>
      <c r="GF187" s="81"/>
      <c r="GG187" s="81"/>
      <c r="GH187" s="81"/>
    </row>
    <row r="188" spans="1:190" x14ac:dyDescent="0.2">
      <c r="A188" s="82"/>
      <c r="B188" s="81"/>
      <c r="C188" s="82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  <c r="AI188" s="81"/>
      <c r="AJ188" s="81"/>
      <c r="AK188" s="81"/>
      <c r="AL188" s="81"/>
      <c r="AM188" s="81"/>
      <c r="AN188" s="81"/>
      <c r="AO188" s="81"/>
      <c r="AP188" s="81"/>
      <c r="AQ188" s="81"/>
      <c r="AR188" s="81"/>
      <c r="AS188" s="81"/>
      <c r="AT188" s="81"/>
      <c r="AU188" s="81"/>
      <c r="AV188" s="81"/>
      <c r="AW188" s="81"/>
      <c r="AX188" s="81"/>
      <c r="AY188" s="81"/>
      <c r="AZ188" s="81"/>
      <c r="BA188" s="81"/>
      <c r="BB188" s="81"/>
      <c r="BC188" s="81"/>
      <c r="BD188" s="81"/>
      <c r="BE188" s="81"/>
      <c r="BF188" s="81"/>
      <c r="BG188" s="81"/>
      <c r="BH188" s="81"/>
      <c r="BI188" s="81"/>
      <c r="BJ188" s="81"/>
      <c r="BK188" s="81"/>
      <c r="BL188" s="81"/>
      <c r="BM188" s="81"/>
      <c r="BN188" s="81"/>
      <c r="BO188" s="81"/>
      <c r="BP188" s="81"/>
      <c r="BQ188" s="81"/>
      <c r="BR188" s="81"/>
      <c r="BS188" s="81"/>
      <c r="BT188" s="81"/>
      <c r="BU188" s="81"/>
      <c r="BV188" s="81"/>
      <c r="BW188" s="81"/>
      <c r="BX188" s="81"/>
      <c r="BY188" s="81"/>
      <c r="BZ188" s="81"/>
      <c r="CA188" s="81"/>
      <c r="CB188" s="81"/>
      <c r="CC188" s="81"/>
      <c r="CD188" s="81"/>
      <c r="CE188" s="81"/>
      <c r="CF188" s="81"/>
      <c r="CG188" s="81"/>
      <c r="CH188" s="81"/>
      <c r="CI188" s="81"/>
      <c r="CJ188" s="81"/>
      <c r="CK188" s="81"/>
      <c r="CL188" s="81"/>
      <c r="CM188" s="81"/>
      <c r="CN188" s="81"/>
      <c r="CO188" s="81"/>
      <c r="CP188" s="81"/>
      <c r="CQ188" s="81"/>
      <c r="CR188" s="81"/>
      <c r="CS188" s="81"/>
      <c r="CT188" s="81"/>
      <c r="CU188" s="81"/>
      <c r="CV188" s="81"/>
      <c r="CW188" s="81"/>
      <c r="CX188" s="81"/>
      <c r="CY188" s="81"/>
      <c r="CZ188" s="81"/>
      <c r="DA188" s="81"/>
      <c r="DB188" s="81"/>
      <c r="DC188" s="81"/>
      <c r="DD188" s="81"/>
      <c r="DE188" s="81"/>
      <c r="DF188" s="81"/>
      <c r="DG188" s="81"/>
      <c r="DH188" s="81"/>
      <c r="DI188" s="81"/>
      <c r="DJ188" s="81"/>
      <c r="DK188" s="81"/>
      <c r="DL188" s="81"/>
      <c r="DM188" s="81"/>
      <c r="DN188" s="81"/>
      <c r="DO188" s="81"/>
      <c r="DP188" s="81"/>
      <c r="DQ188" s="81"/>
      <c r="DR188" s="81"/>
      <c r="DS188" s="81"/>
      <c r="DT188" s="81"/>
      <c r="DU188" s="81"/>
      <c r="DV188" s="81"/>
      <c r="DW188" s="81"/>
      <c r="DX188" s="81"/>
      <c r="DY188" s="81"/>
      <c r="DZ188" s="81"/>
      <c r="EA188" s="81"/>
      <c r="EB188" s="81"/>
      <c r="EC188" s="81"/>
      <c r="ED188" s="81"/>
      <c r="EE188" s="81"/>
      <c r="EF188" s="81"/>
      <c r="EG188" s="81"/>
      <c r="EH188" s="81"/>
      <c r="EI188" s="81"/>
      <c r="EJ188" s="81"/>
      <c r="EK188" s="81"/>
      <c r="EL188" s="81"/>
      <c r="EM188" s="81"/>
      <c r="EN188" s="81"/>
      <c r="EO188" s="81"/>
      <c r="EP188" s="81"/>
      <c r="EQ188" s="81"/>
      <c r="ER188" s="81"/>
      <c r="ES188" s="81"/>
      <c r="ET188" s="81"/>
      <c r="EU188" s="81"/>
      <c r="EV188" s="81"/>
      <c r="EW188" s="81"/>
      <c r="EX188" s="81"/>
      <c r="EY188" s="81"/>
      <c r="EZ188" s="81"/>
      <c r="FA188" s="81"/>
      <c r="FB188" s="81"/>
      <c r="FC188" s="81"/>
      <c r="FD188" s="81"/>
      <c r="FE188" s="81"/>
      <c r="FF188" s="81"/>
      <c r="FG188" s="81"/>
      <c r="FH188" s="81"/>
      <c r="FI188" s="81"/>
      <c r="FJ188" s="81"/>
      <c r="FK188" s="81"/>
      <c r="FL188" s="81"/>
      <c r="FM188" s="81"/>
      <c r="FN188" s="81"/>
      <c r="FO188" s="81"/>
      <c r="FP188" s="81"/>
      <c r="FQ188" s="81"/>
      <c r="FR188" s="81"/>
      <c r="FS188" s="81"/>
      <c r="FT188" s="81"/>
      <c r="FU188" s="81"/>
      <c r="FV188" s="81"/>
      <c r="FW188" s="81"/>
      <c r="FX188" s="81"/>
      <c r="FY188" s="81"/>
      <c r="FZ188" s="81"/>
      <c r="GA188" s="81"/>
      <c r="GB188" s="81"/>
      <c r="GC188" s="81"/>
      <c r="GD188" s="81"/>
      <c r="GE188" s="81"/>
      <c r="GF188" s="81"/>
      <c r="GG188" s="81"/>
      <c r="GH188" s="81"/>
    </row>
    <row r="189" spans="1:190" x14ac:dyDescent="0.2">
      <c r="A189" s="82"/>
      <c r="B189" s="81"/>
      <c r="C189" s="82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  <c r="AI189" s="81"/>
      <c r="AJ189" s="81"/>
      <c r="AK189" s="81"/>
      <c r="AL189" s="81"/>
      <c r="AM189" s="81"/>
      <c r="AN189" s="81"/>
      <c r="AO189" s="81"/>
      <c r="AP189" s="81"/>
      <c r="AQ189" s="81"/>
      <c r="AR189" s="81"/>
      <c r="AS189" s="81"/>
      <c r="AT189" s="81"/>
      <c r="AU189" s="81"/>
      <c r="AV189" s="81"/>
      <c r="AW189" s="81"/>
      <c r="AX189" s="81"/>
      <c r="AY189" s="81"/>
      <c r="AZ189" s="81"/>
      <c r="BA189" s="81"/>
      <c r="BB189" s="81"/>
      <c r="BC189" s="81"/>
      <c r="BD189" s="81"/>
      <c r="BE189" s="81"/>
      <c r="BF189" s="81"/>
      <c r="BG189" s="81"/>
      <c r="BH189" s="81"/>
      <c r="BI189" s="81"/>
      <c r="BJ189" s="81"/>
      <c r="BK189" s="81"/>
      <c r="BL189" s="81"/>
      <c r="BM189" s="81"/>
      <c r="BN189" s="81"/>
      <c r="BO189" s="81"/>
      <c r="BP189" s="81"/>
      <c r="BQ189" s="81"/>
      <c r="BR189" s="81"/>
      <c r="BS189" s="81"/>
      <c r="BT189" s="81"/>
      <c r="BU189" s="81"/>
      <c r="BV189" s="81"/>
      <c r="BW189" s="81"/>
      <c r="BX189" s="81"/>
      <c r="BY189" s="81"/>
      <c r="BZ189" s="81"/>
      <c r="CA189" s="81"/>
      <c r="CB189" s="81"/>
      <c r="CC189" s="81"/>
      <c r="CD189" s="81"/>
      <c r="CE189" s="81"/>
      <c r="CF189" s="81"/>
      <c r="CG189" s="81"/>
      <c r="CH189" s="81"/>
      <c r="CI189" s="81"/>
      <c r="CJ189" s="81"/>
      <c r="CK189" s="81"/>
      <c r="CL189" s="81"/>
      <c r="CM189" s="81"/>
      <c r="CN189" s="81"/>
      <c r="CO189" s="81"/>
      <c r="CP189" s="81"/>
      <c r="CQ189" s="81"/>
      <c r="CR189" s="81"/>
      <c r="CS189" s="81"/>
      <c r="CT189" s="81"/>
      <c r="CU189" s="81"/>
      <c r="CV189" s="81"/>
      <c r="CW189" s="81"/>
      <c r="CX189" s="81"/>
      <c r="CY189" s="81"/>
      <c r="CZ189" s="81"/>
      <c r="DA189" s="81"/>
      <c r="DB189" s="81"/>
      <c r="DC189" s="81"/>
      <c r="DD189" s="81"/>
      <c r="DE189" s="81"/>
      <c r="DF189" s="81"/>
      <c r="DG189" s="81"/>
      <c r="DH189" s="81"/>
      <c r="DI189" s="81"/>
      <c r="DJ189" s="81"/>
      <c r="DK189" s="81"/>
      <c r="DL189" s="81"/>
      <c r="DM189" s="81"/>
      <c r="DN189" s="81"/>
      <c r="DO189" s="81"/>
      <c r="DP189" s="81"/>
      <c r="DQ189" s="81"/>
      <c r="DR189" s="81"/>
      <c r="DS189" s="81"/>
      <c r="DT189" s="81"/>
      <c r="DU189" s="81"/>
      <c r="DV189" s="81"/>
      <c r="DW189" s="81"/>
      <c r="DX189" s="81"/>
      <c r="DY189" s="81"/>
      <c r="DZ189" s="81"/>
      <c r="EA189" s="81"/>
      <c r="EB189" s="81"/>
      <c r="EC189" s="81"/>
      <c r="ED189" s="81"/>
      <c r="EE189" s="81"/>
      <c r="EF189" s="81"/>
      <c r="EG189" s="81"/>
      <c r="EH189" s="81"/>
      <c r="EI189" s="81"/>
      <c r="EJ189" s="81"/>
      <c r="EK189" s="81"/>
      <c r="EL189" s="81"/>
      <c r="EM189" s="81"/>
      <c r="EN189" s="81"/>
      <c r="EO189" s="81"/>
      <c r="EP189" s="81"/>
      <c r="EQ189" s="81"/>
      <c r="ER189" s="81"/>
      <c r="ES189" s="81"/>
      <c r="ET189" s="81"/>
      <c r="EU189" s="81"/>
      <c r="EV189" s="81"/>
      <c r="EW189" s="81"/>
      <c r="EX189" s="81"/>
      <c r="EY189" s="81"/>
      <c r="EZ189" s="81"/>
      <c r="FA189" s="81"/>
      <c r="FB189" s="81"/>
      <c r="FC189" s="81"/>
      <c r="FD189" s="81"/>
      <c r="FE189" s="81"/>
      <c r="FF189" s="81"/>
      <c r="FG189" s="81"/>
      <c r="FH189" s="81"/>
      <c r="FI189" s="81"/>
      <c r="FJ189" s="81"/>
      <c r="FK189" s="81"/>
      <c r="FL189" s="81"/>
      <c r="FM189" s="81"/>
      <c r="FN189" s="81"/>
      <c r="FO189" s="81"/>
      <c r="FP189" s="81"/>
      <c r="FQ189" s="81"/>
      <c r="FR189" s="81"/>
      <c r="FS189" s="81"/>
      <c r="FT189" s="81"/>
      <c r="FU189" s="81"/>
      <c r="FV189" s="81"/>
      <c r="FW189" s="81"/>
      <c r="FX189" s="81"/>
      <c r="FY189" s="81"/>
      <c r="FZ189" s="81"/>
      <c r="GA189" s="81"/>
      <c r="GB189" s="81"/>
      <c r="GC189" s="81"/>
      <c r="GD189" s="81"/>
      <c r="GE189" s="81"/>
      <c r="GF189" s="81"/>
      <c r="GG189" s="81"/>
      <c r="GH189" s="81"/>
    </row>
    <row r="190" spans="1:190" x14ac:dyDescent="0.2">
      <c r="A190" s="82"/>
      <c r="B190" s="81"/>
      <c r="C190" s="82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  <c r="AI190" s="81"/>
      <c r="AJ190" s="81"/>
      <c r="AK190" s="81"/>
      <c r="AL190" s="81"/>
      <c r="AM190" s="81"/>
      <c r="AN190" s="81"/>
      <c r="AO190" s="81"/>
      <c r="AP190" s="81"/>
      <c r="AQ190" s="81"/>
      <c r="AR190" s="81"/>
      <c r="AS190" s="81"/>
      <c r="AT190" s="81"/>
      <c r="AU190" s="81"/>
      <c r="AV190" s="81"/>
      <c r="AW190" s="81"/>
      <c r="AX190" s="81"/>
      <c r="AY190" s="81"/>
      <c r="AZ190" s="81"/>
      <c r="BA190" s="81"/>
      <c r="BB190" s="81"/>
      <c r="BC190" s="81"/>
      <c r="BD190" s="81"/>
      <c r="BE190" s="81"/>
      <c r="BF190" s="81"/>
      <c r="BG190" s="81"/>
      <c r="BH190" s="81"/>
      <c r="BI190" s="81"/>
      <c r="BJ190" s="81"/>
      <c r="BK190" s="81"/>
      <c r="BL190" s="81"/>
      <c r="BM190" s="81"/>
      <c r="BN190" s="81"/>
      <c r="BO190" s="81"/>
      <c r="BP190" s="81"/>
      <c r="BQ190" s="81"/>
      <c r="BR190" s="81"/>
      <c r="BS190" s="81"/>
      <c r="BT190" s="81"/>
      <c r="BU190" s="81"/>
      <c r="BV190" s="81"/>
      <c r="BW190" s="81"/>
      <c r="BX190" s="81"/>
      <c r="BY190" s="81"/>
      <c r="BZ190" s="81"/>
      <c r="CA190" s="81"/>
      <c r="CB190" s="81"/>
      <c r="CC190" s="81"/>
      <c r="CD190" s="81"/>
      <c r="CE190" s="81"/>
      <c r="CF190" s="81"/>
      <c r="CG190" s="81"/>
      <c r="CH190" s="81"/>
      <c r="CI190" s="81"/>
      <c r="CJ190" s="81"/>
      <c r="CK190" s="81"/>
      <c r="CL190" s="81"/>
      <c r="CM190" s="81"/>
      <c r="CN190" s="81"/>
      <c r="CO190" s="81"/>
      <c r="CP190" s="81"/>
      <c r="CQ190" s="81"/>
      <c r="CR190" s="81"/>
      <c r="CS190" s="81"/>
      <c r="CT190" s="81"/>
      <c r="CU190" s="81"/>
      <c r="CV190" s="81"/>
      <c r="CW190" s="81"/>
      <c r="CX190" s="81"/>
      <c r="CY190" s="81"/>
      <c r="CZ190" s="81"/>
      <c r="DA190" s="81"/>
      <c r="DB190" s="81"/>
      <c r="DC190" s="81"/>
      <c r="DD190" s="81"/>
      <c r="DE190" s="81"/>
      <c r="DF190" s="81"/>
      <c r="DG190" s="81"/>
      <c r="DH190" s="81"/>
      <c r="DI190" s="81"/>
      <c r="DJ190" s="81"/>
      <c r="DK190" s="81"/>
      <c r="DL190" s="81"/>
      <c r="DM190" s="81"/>
      <c r="DN190" s="81"/>
      <c r="DO190" s="81"/>
      <c r="DP190" s="81"/>
      <c r="DQ190" s="81"/>
      <c r="DR190" s="81"/>
      <c r="DS190" s="81"/>
      <c r="DT190" s="81"/>
      <c r="DU190" s="81"/>
      <c r="DV190" s="81"/>
      <c r="DW190" s="81"/>
      <c r="DX190" s="81"/>
      <c r="DY190" s="81"/>
      <c r="DZ190" s="81"/>
      <c r="EA190" s="81"/>
      <c r="EB190" s="81"/>
      <c r="EC190" s="81"/>
      <c r="ED190" s="81"/>
      <c r="EE190" s="81"/>
      <c r="EF190" s="81"/>
      <c r="EG190" s="81"/>
      <c r="EH190" s="81"/>
      <c r="EI190" s="81"/>
      <c r="EJ190" s="81"/>
      <c r="EK190" s="81"/>
      <c r="EL190" s="81"/>
      <c r="EM190" s="81"/>
      <c r="EN190" s="81"/>
      <c r="EO190" s="81"/>
      <c r="EP190" s="81"/>
      <c r="EQ190" s="81"/>
      <c r="ER190" s="81"/>
      <c r="ES190" s="81"/>
      <c r="ET190" s="81"/>
      <c r="EU190" s="81"/>
      <c r="EV190" s="81"/>
      <c r="EW190" s="81"/>
      <c r="EX190" s="81"/>
      <c r="EY190" s="81"/>
      <c r="EZ190" s="81"/>
      <c r="FA190" s="81"/>
      <c r="FB190" s="81"/>
      <c r="FC190" s="81"/>
      <c r="FD190" s="81"/>
      <c r="FE190" s="81"/>
      <c r="FF190" s="81"/>
      <c r="FG190" s="81"/>
      <c r="FH190" s="81"/>
      <c r="FI190" s="81"/>
      <c r="FJ190" s="81"/>
      <c r="FK190" s="81"/>
      <c r="FL190" s="81"/>
      <c r="FM190" s="81"/>
      <c r="FN190" s="81"/>
      <c r="FO190" s="81"/>
      <c r="FP190" s="81"/>
      <c r="FQ190" s="81"/>
      <c r="FR190" s="81"/>
      <c r="FS190" s="81"/>
      <c r="FT190" s="81"/>
      <c r="FU190" s="81"/>
      <c r="FV190" s="81"/>
      <c r="FW190" s="81"/>
      <c r="FX190" s="81"/>
      <c r="FY190" s="81"/>
      <c r="FZ190" s="81"/>
      <c r="GA190" s="81"/>
      <c r="GB190" s="81"/>
      <c r="GC190" s="81"/>
      <c r="GD190" s="81"/>
      <c r="GE190" s="81"/>
      <c r="GF190" s="81"/>
      <c r="GG190" s="81"/>
      <c r="GH190" s="81"/>
    </row>
    <row r="191" spans="1:190" x14ac:dyDescent="0.2">
      <c r="A191" s="82"/>
      <c r="B191" s="81"/>
      <c r="C191" s="82"/>
      <c r="D191" s="81"/>
    </row>
    <row r="192" spans="1:190" x14ac:dyDescent="0.2">
      <c r="A192" s="82"/>
      <c r="B192" s="81"/>
      <c r="C192" s="82"/>
      <c r="D192" s="81"/>
    </row>
    <row r="193" spans="1:4" x14ac:dyDescent="0.2">
      <c r="A193" s="82"/>
      <c r="B193" s="81"/>
      <c r="C193" s="82"/>
      <c r="D193" s="81"/>
    </row>
    <row r="194" spans="1:4" x14ac:dyDescent="0.2">
      <c r="A194" s="82"/>
      <c r="B194" s="81"/>
      <c r="C194" s="82"/>
      <c r="D194" s="81"/>
    </row>
    <row r="195" spans="1:4" x14ac:dyDescent="0.2">
      <c r="A195" s="82"/>
      <c r="B195" s="81"/>
      <c r="C195" s="82"/>
      <c r="D195" s="81"/>
    </row>
    <row r="196" spans="1:4" x14ac:dyDescent="0.2">
      <c r="A196" s="82"/>
      <c r="B196" s="81"/>
      <c r="C196" s="82"/>
      <c r="D196" s="81"/>
    </row>
    <row r="197" spans="1:4" x14ac:dyDescent="0.2">
      <c r="A197" s="82"/>
      <c r="B197" s="81"/>
      <c r="C197" s="82"/>
      <c r="D197" s="81"/>
    </row>
    <row r="198" spans="1:4" x14ac:dyDescent="0.2">
      <c r="A198" s="82"/>
      <c r="B198" s="81"/>
      <c r="C198" s="82"/>
      <c r="D198" s="81"/>
    </row>
    <row r="199" spans="1:4" x14ac:dyDescent="0.2">
      <c r="A199" s="82"/>
      <c r="B199" s="81"/>
      <c r="C199" s="82"/>
      <c r="D199" s="81"/>
    </row>
    <row r="200" spans="1:4" x14ac:dyDescent="0.2">
      <c r="A200" s="82"/>
      <c r="B200" s="81"/>
      <c r="C200" s="82"/>
      <c r="D200" s="81"/>
    </row>
    <row r="201" spans="1:4" x14ac:dyDescent="0.2">
      <c r="A201" s="82"/>
      <c r="B201" s="81"/>
      <c r="C201" s="82"/>
      <c r="D201" s="81"/>
    </row>
    <row r="202" spans="1:4" x14ac:dyDescent="0.2">
      <c r="A202" s="82"/>
      <c r="B202" s="81"/>
      <c r="C202" s="82"/>
      <c r="D202" s="81"/>
    </row>
    <row r="203" spans="1:4" x14ac:dyDescent="0.2">
      <c r="A203" s="82"/>
      <c r="B203" s="81"/>
      <c r="C203" s="82"/>
      <c r="D203" s="81"/>
    </row>
    <row r="204" spans="1:4" x14ac:dyDescent="0.2">
      <c r="A204" s="82"/>
      <c r="B204" s="81"/>
      <c r="C204" s="82"/>
      <c r="D204" s="81"/>
    </row>
    <row r="205" spans="1:4" x14ac:dyDescent="0.2">
      <c r="A205" s="82"/>
      <c r="B205" s="81"/>
      <c r="C205" s="82"/>
      <c r="D205" s="81"/>
    </row>
    <row r="206" spans="1:4" x14ac:dyDescent="0.2">
      <c r="A206" s="82"/>
      <c r="B206" s="81"/>
      <c r="C206" s="82"/>
      <c r="D206" s="81"/>
    </row>
    <row r="207" spans="1:4" x14ac:dyDescent="0.2">
      <c r="A207" s="82"/>
      <c r="B207" s="81"/>
      <c r="C207" s="82"/>
      <c r="D207" s="81"/>
    </row>
    <row r="208" spans="1:4" x14ac:dyDescent="0.2">
      <c r="A208" s="82"/>
      <c r="B208" s="81"/>
      <c r="C208" s="82"/>
      <c r="D208" s="81"/>
    </row>
    <row r="209" spans="1:4" x14ac:dyDescent="0.2">
      <c r="A209" s="82"/>
      <c r="B209" s="81"/>
      <c r="C209" s="82"/>
      <c r="D209" s="81"/>
    </row>
    <row r="210" spans="1:4" x14ac:dyDescent="0.2">
      <c r="A210" s="82"/>
      <c r="B210" s="81"/>
      <c r="C210" s="82"/>
      <c r="D210" s="81"/>
    </row>
    <row r="211" spans="1:4" x14ac:dyDescent="0.2">
      <c r="A211" s="82"/>
      <c r="B211" s="81"/>
      <c r="C211" s="82"/>
      <c r="D211" s="81"/>
    </row>
    <row r="212" spans="1:4" x14ac:dyDescent="0.2">
      <c r="A212" s="82"/>
      <c r="B212" s="81"/>
      <c r="C212" s="82"/>
      <c r="D212" s="81"/>
    </row>
    <row r="213" spans="1:4" x14ac:dyDescent="0.2">
      <c r="A213" s="82"/>
      <c r="B213" s="81"/>
      <c r="C213" s="82"/>
      <c r="D213" s="81"/>
    </row>
    <row r="214" spans="1:4" x14ac:dyDescent="0.2">
      <c r="A214" s="82"/>
      <c r="B214" s="81"/>
      <c r="C214" s="82"/>
      <c r="D214" s="81"/>
    </row>
    <row r="215" spans="1:4" x14ac:dyDescent="0.2">
      <c r="A215" s="82"/>
      <c r="B215" s="81"/>
      <c r="C215" s="82"/>
      <c r="D215" s="81"/>
    </row>
    <row r="216" spans="1:4" x14ac:dyDescent="0.2">
      <c r="A216" s="82"/>
      <c r="B216" s="81"/>
      <c r="C216" s="82"/>
      <c r="D216" s="81"/>
    </row>
    <row r="217" spans="1:4" x14ac:dyDescent="0.2">
      <c r="A217" s="82"/>
      <c r="B217" s="81"/>
      <c r="C217" s="82"/>
      <c r="D217" s="81"/>
    </row>
    <row r="218" spans="1:4" x14ac:dyDescent="0.2">
      <c r="A218" s="82"/>
      <c r="B218" s="81"/>
      <c r="C218" s="82"/>
      <c r="D218" s="81"/>
    </row>
    <row r="219" spans="1:4" x14ac:dyDescent="0.2">
      <c r="A219" s="82"/>
      <c r="B219" s="81"/>
      <c r="C219" s="82"/>
      <c r="D219" s="81"/>
    </row>
    <row r="220" spans="1:4" x14ac:dyDescent="0.2">
      <c r="A220" s="82"/>
      <c r="B220" s="81"/>
      <c r="C220" s="82"/>
      <c r="D220" s="81"/>
    </row>
    <row r="221" spans="1:4" x14ac:dyDescent="0.2">
      <c r="A221" s="82"/>
      <c r="B221" s="81"/>
      <c r="C221" s="82"/>
      <c r="D221" s="81"/>
    </row>
    <row r="222" spans="1:4" x14ac:dyDescent="0.2">
      <c r="A222" s="82"/>
      <c r="B222" s="81"/>
      <c r="C222" s="82"/>
      <c r="D222" s="81"/>
    </row>
    <row r="223" spans="1:4" x14ac:dyDescent="0.2">
      <c r="A223" s="82"/>
      <c r="B223" s="81"/>
      <c r="C223" s="82"/>
      <c r="D223" s="81"/>
    </row>
    <row r="224" spans="1:4" x14ac:dyDescent="0.2">
      <c r="A224" s="82"/>
      <c r="B224" s="81"/>
      <c r="C224" s="82"/>
      <c r="D224" s="81"/>
    </row>
    <row r="225" spans="1:4" x14ac:dyDescent="0.2">
      <c r="A225" s="82"/>
      <c r="B225" s="81"/>
      <c r="C225" s="82"/>
      <c r="D225" s="81"/>
    </row>
    <row r="226" spans="1:4" x14ac:dyDescent="0.2">
      <c r="A226" s="82"/>
      <c r="B226" s="81"/>
      <c r="C226" s="82"/>
      <c r="D226" s="81"/>
    </row>
    <row r="227" spans="1:4" x14ac:dyDescent="0.2">
      <c r="A227" s="82"/>
      <c r="B227" s="81"/>
      <c r="C227" s="82"/>
      <c r="D227" s="81"/>
    </row>
    <row r="228" spans="1:4" x14ac:dyDescent="0.2">
      <c r="A228" s="82"/>
      <c r="B228" s="81"/>
      <c r="C228" s="82"/>
      <c r="D228" s="81"/>
    </row>
    <row r="229" spans="1:4" x14ac:dyDescent="0.2">
      <c r="A229" s="82"/>
      <c r="B229" s="81"/>
      <c r="C229" s="82"/>
      <c r="D229" s="81"/>
    </row>
    <row r="230" spans="1:4" x14ac:dyDescent="0.2">
      <c r="A230" s="82"/>
      <c r="B230" s="81"/>
      <c r="C230" s="82"/>
      <c r="D230" s="81"/>
    </row>
    <row r="231" spans="1:4" x14ac:dyDescent="0.2">
      <c r="A231" s="82"/>
      <c r="B231" s="81"/>
      <c r="C231" s="82"/>
      <c r="D231" s="81"/>
    </row>
    <row r="232" spans="1:4" x14ac:dyDescent="0.2">
      <c r="A232" s="82"/>
      <c r="B232" s="81"/>
      <c r="C232" s="82"/>
      <c r="D232" s="81"/>
    </row>
    <row r="233" spans="1:4" x14ac:dyDescent="0.2">
      <c r="A233" s="82"/>
      <c r="B233" s="81"/>
      <c r="C233" s="82"/>
      <c r="D233" s="81"/>
    </row>
    <row r="234" spans="1:4" x14ac:dyDescent="0.2">
      <c r="A234" s="82"/>
      <c r="B234" s="81"/>
      <c r="C234" s="82"/>
      <c r="D234" s="81"/>
    </row>
    <row r="235" spans="1:4" x14ac:dyDescent="0.2">
      <c r="A235" s="82"/>
      <c r="B235" s="81"/>
      <c r="C235" s="82"/>
      <c r="D235" s="81"/>
    </row>
    <row r="236" spans="1:4" x14ac:dyDescent="0.2">
      <c r="A236" s="82"/>
      <c r="B236" s="81"/>
      <c r="C236" s="82"/>
      <c r="D236" s="81"/>
    </row>
    <row r="237" spans="1:4" x14ac:dyDescent="0.2">
      <c r="A237" s="82"/>
      <c r="B237" s="81"/>
      <c r="C237" s="82"/>
      <c r="D237" s="81"/>
    </row>
    <row r="238" spans="1:4" x14ac:dyDescent="0.2">
      <c r="A238" s="82"/>
      <c r="B238" s="81"/>
      <c r="C238" s="82"/>
      <c r="D238" s="81"/>
    </row>
    <row r="239" spans="1:4" x14ac:dyDescent="0.2">
      <c r="A239" s="82"/>
      <c r="B239" s="81"/>
      <c r="C239" s="82"/>
      <c r="D239" s="81"/>
    </row>
    <row r="240" spans="1:4" x14ac:dyDescent="0.2">
      <c r="A240" s="82"/>
      <c r="B240" s="81"/>
      <c r="C240" s="82"/>
      <c r="D240" s="81"/>
    </row>
    <row r="241" spans="1:4" x14ac:dyDescent="0.2">
      <c r="A241" s="82"/>
      <c r="B241" s="81"/>
      <c r="C241" s="82"/>
      <c r="D241" s="81"/>
    </row>
    <row r="242" spans="1:4" x14ac:dyDescent="0.2">
      <c r="A242" s="82"/>
      <c r="B242" s="81"/>
      <c r="C242" s="82"/>
      <c r="D242" s="81"/>
    </row>
    <row r="243" spans="1:4" x14ac:dyDescent="0.2">
      <c r="A243" s="82"/>
      <c r="B243" s="81"/>
      <c r="C243" s="82"/>
      <c r="D243" s="81"/>
    </row>
    <row r="244" spans="1:4" x14ac:dyDescent="0.2">
      <c r="A244" s="82"/>
      <c r="B244" s="81"/>
      <c r="C244" s="82"/>
      <c r="D244" s="81"/>
    </row>
    <row r="245" spans="1:4" x14ac:dyDescent="0.2">
      <c r="A245" s="82"/>
      <c r="B245" s="81"/>
      <c r="C245" s="82"/>
      <c r="D245" s="81"/>
    </row>
    <row r="246" spans="1:4" x14ac:dyDescent="0.2">
      <c r="A246" s="82"/>
      <c r="B246" s="81"/>
      <c r="C246" s="82"/>
      <c r="D246" s="81"/>
    </row>
    <row r="247" spans="1:4" x14ac:dyDescent="0.2">
      <c r="A247" s="82"/>
      <c r="B247" s="81"/>
      <c r="C247" s="82"/>
      <c r="D247" s="81"/>
    </row>
    <row r="248" spans="1:4" x14ac:dyDescent="0.2">
      <c r="A248" s="82"/>
      <c r="B248" s="81"/>
      <c r="C248" s="82"/>
      <c r="D248" s="81"/>
    </row>
    <row r="249" spans="1:4" x14ac:dyDescent="0.2">
      <c r="A249" s="82"/>
      <c r="B249" s="81"/>
      <c r="C249" s="82"/>
      <c r="D249" s="81"/>
    </row>
    <row r="250" spans="1:4" x14ac:dyDescent="0.2">
      <c r="A250" s="82"/>
      <c r="B250" s="81"/>
      <c r="C250" s="82"/>
      <c r="D250" s="81"/>
    </row>
    <row r="251" spans="1:4" x14ac:dyDescent="0.2">
      <c r="A251" s="82"/>
      <c r="B251" s="81"/>
      <c r="C251" s="82"/>
      <c r="D251" s="81"/>
    </row>
    <row r="252" spans="1:4" x14ac:dyDescent="0.2">
      <c r="A252" s="82"/>
      <c r="B252" s="81"/>
      <c r="C252" s="82"/>
      <c r="D252" s="81"/>
    </row>
    <row r="253" spans="1:4" x14ac:dyDescent="0.2">
      <c r="A253" s="82"/>
      <c r="B253" s="81"/>
      <c r="C253" s="82"/>
      <c r="D253" s="81"/>
    </row>
    <row r="254" spans="1:4" x14ac:dyDescent="0.2">
      <c r="A254" s="82"/>
      <c r="B254" s="81"/>
      <c r="C254" s="82"/>
      <c r="D254" s="81"/>
    </row>
    <row r="255" spans="1:4" x14ac:dyDescent="0.2">
      <c r="A255" s="82"/>
      <c r="B255" s="81"/>
      <c r="C255" s="82"/>
      <c r="D255" s="81"/>
    </row>
    <row r="256" spans="1:4" x14ac:dyDescent="0.2">
      <c r="A256" s="82"/>
      <c r="B256" s="81"/>
      <c r="C256" s="82"/>
      <c r="D256" s="81"/>
    </row>
    <row r="257" spans="1:4" x14ac:dyDescent="0.2">
      <c r="A257" s="82"/>
      <c r="B257" s="81"/>
      <c r="C257" s="82"/>
      <c r="D257" s="81"/>
    </row>
    <row r="258" spans="1:4" x14ac:dyDescent="0.2">
      <c r="A258" s="82"/>
      <c r="B258" s="81"/>
      <c r="C258" s="82"/>
      <c r="D258" s="81"/>
    </row>
    <row r="259" spans="1:4" x14ac:dyDescent="0.2">
      <c r="A259" s="82"/>
      <c r="B259" s="81"/>
      <c r="C259" s="82"/>
      <c r="D259" s="81"/>
    </row>
    <row r="260" spans="1:4" x14ac:dyDescent="0.2">
      <c r="A260" s="82"/>
      <c r="B260" s="81"/>
      <c r="C260" s="82"/>
      <c r="D260" s="81"/>
    </row>
    <row r="261" spans="1:4" x14ac:dyDescent="0.2">
      <c r="A261" s="82"/>
      <c r="B261" s="81"/>
      <c r="C261" s="82"/>
      <c r="D261" s="81"/>
    </row>
    <row r="262" spans="1:4" x14ac:dyDescent="0.2">
      <c r="A262" s="82"/>
      <c r="B262" s="81"/>
      <c r="C262" s="82"/>
      <c r="D262" s="81"/>
    </row>
    <row r="263" spans="1:4" x14ac:dyDescent="0.2">
      <c r="A263" s="82"/>
      <c r="B263" s="81"/>
      <c r="C263" s="82"/>
      <c r="D263" s="81"/>
    </row>
    <row r="264" spans="1:4" x14ac:dyDescent="0.2">
      <c r="A264" s="82"/>
      <c r="B264" s="81"/>
      <c r="C264" s="82"/>
      <c r="D264" s="81"/>
    </row>
    <row r="265" spans="1:4" x14ac:dyDescent="0.2">
      <c r="A265" s="82"/>
      <c r="B265" s="81"/>
      <c r="C265" s="82"/>
      <c r="D265" s="81"/>
    </row>
    <row r="266" spans="1:4" x14ac:dyDescent="0.2">
      <c r="A266" s="82"/>
      <c r="B266" s="81"/>
      <c r="C266" s="82"/>
      <c r="D266" s="81"/>
    </row>
    <row r="267" spans="1:4" x14ac:dyDescent="0.2">
      <c r="A267" s="82"/>
      <c r="B267" s="81"/>
      <c r="C267" s="82"/>
      <c r="D267" s="81"/>
    </row>
    <row r="268" spans="1:4" x14ac:dyDescent="0.2">
      <c r="A268" s="82"/>
      <c r="B268" s="81"/>
      <c r="C268" s="82"/>
      <c r="D268" s="81"/>
    </row>
    <row r="269" spans="1:4" x14ac:dyDescent="0.2">
      <c r="A269" s="82"/>
      <c r="B269" s="81"/>
      <c r="C269" s="82"/>
      <c r="D269" s="81"/>
    </row>
    <row r="270" spans="1:4" x14ac:dyDescent="0.2">
      <c r="A270" s="82"/>
      <c r="B270" s="81"/>
      <c r="C270" s="82"/>
      <c r="D270" s="81"/>
    </row>
    <row r="271" spans="1:4" x14ac:dyDescent="0.2">
      <c r="A271" s="82"/>
      <c r="B271" s="81"/>
      <c r="C271" s="82"/>
      <c r="D271" s="81"/>
    </row>
    <row r="272" spans="1:4" x14ac:dyDescent="0.2">
      <c r="A272" s="82"/>
      <c r="B272" s="81"/>
      <c r="C272" s="82"/>
      <c r="D272" s="81"/>
    </row>
    <row r="273" spans="1:4" x14ac:dyDescent="0.2">
      <c r="A273" s="82"/>
      <c r="B273" s="81"/>
      <c r="C273" s="82"/>
      <c r="D273" s="81"/>
    </row>
    <row r="274" spans="1:4" x14ac:dyDescent="0.2">
      <c r="A274" s="82"/>
      <c r="B274" s="81"/>
      <c r="C274" s="82"/>
      <c r="D274" s="81"/>
    </row>
    <row r="275" spans="1:4" x14ac:dyDescent="0.2">
      <c r="A275" s="82"/>
      <c r="B275" s="81"/>
      <c r="C275" s="82"/>
      <c r="D275" s="81"/>
    </row>
    <row r="276" spans="1:4" x14ac:dyDescent="0.2">
      <c r="A276" s="82"/>
      <c r="B276" s="81"/>
      <c r="C276" s="82"/>
      <c r="D276" s="81"/>
    </row>
    <row r="277" spans="1:4" x14ac:dyDescent="0.2">
      <c r="A277" s="82"/>
      <c r="B277" s="81"/>
      <c r="C277" s="82"/>
      <c r="D277" s="81"/>
    </row>
    <row r="278" spans="1:4" x14ac:dyDescent="0.2">
      <c r="A278" s="82"/>
      <c r="B278" s="81"/>
      <c r="C278" s="82"/>
      <c r="D278" s="81"/>
    </row>
    <row r="279" spans="1:4" x14ac:dyDescent="0.2">
      <c r="A279" s="82"/>
      <c r="B279" s="81"/>
      <c r="C279" s="82"/>
      <c r="D279" s="81"/>
    </row>
    <row r="280" spans="1:4" x14ac:dyDescent="0.2">
      <c r="A280" s="82"/>
      <c r="B280" s="81"/>
      <c r="C280" s="82"/>
      <c r="D280" s="81"/>
    </row>
    <row r="281" spans="1:4" x14ac:dyDescent="0.2">
      <c r="A281" s="82"/>
      <c r="B281" s="81"/>
      <c r="C281" s="82"/>
      <c r="D281" s="81"/>
    </row>
    <row r="282" spans="1:4" x14ac:dyDescent="0.2">
      <c r="A282" s="82"/>
      <c r="B282" s="81"/>
      <c r="C282" s="82"/>
      <c r="D282" s="81"/>
    </row>
    <row r="283" spans="1:4" x14ac:dyDescent="0.2">
      <c r="A283" s="82"/>
      <c r="B283" s="81"/>
      <c r="C283" s="82"/>
      <c r="D283" s="81"/>
    </row>
    <row r="284" spans="1:4" x14ac:dyDescent="0.2">
      <c r="A284" s="82"/>
      <c r="B284" s="81"/>
      <c r="C284" s="82"/>
      <c r="D284" s="81"/>
    </row>
    <row r="285" spans="1:4" x14ac:dyDescent="0.2">
      <c r="A285" s="82"/>
      <c r="B285" s="81"/>
      <c r="C285" s="82"/>
      <c r="D285" s="81"/>
    </row>
    <row r="286" spans="1:4" x14ac:dyDescent="0.2">
      <c r="A286" s="82"/>
      <c r="B286" s="81"/>
      <c r="C286" s="82"/>
      <c r="D286" s="81"/>
    </row>
    <row r="287" spans="1:4" x14ac:dyDescent="0.2">
      <c r="A287" s="82"/>
      <c r="B287" s="81"/>
      <c r="C287" s="82"/>
      <c r="D287" s="81"/>
    </row>
    <row r="288" spans="1:4" x14ac:dyDescent="0.2">
      <c r="A288" s="82"/>
      <c r="B288" s="81"/>
      <c r="C288" s="82"/>
      <c r="D288" s="81"/>
    </row>
    <row r="289" spans="1:4" x14ac:dyDescent="0.2">
      <c r="A289" s="82"/>
      <c r="B289" s="81"/>
      <c r="C289" s="82"/>
      <c r="D289" s="81"/>
    </row>
    <row r="290" spans="1:4" x14ac:dyDescent="0.2">
      <c r="A290" s="82"/>
      <c r="B290" s="81"/>
      <c r="C290" s="82"/>
      <c r="D290" s="81"/>
    </row>
    <row r="291" spans="1:4" x14ac:dyDescent="0.2">
      <c r="A291" s="82"/>
      <c r="B291" s="81"/>
      <c r="C291" s="82"/>
      <c r="D291" s="81"/>
    </row>
    <row r="292" spans="1:4" x14ac:dyDescent="0.2">
      <c r="A292" s="82"/>
      <c r="B292" s="81"/>
      <c r="C292" s="82"/>
      <c r="D292" s="81"/>
    </row>
    <row r="293" spans="1:4" x14ac:dyDescent="0.2">
      <c r="A293" s="82"/>
      <c r="B293" s="81"/>
      <c r="C293" s="82"/>
      <c r="D293" s="81"/>
    </row>
    <row r="294" spans="1:4" x14ac:dyDescent="0.2">
      <c r="A294" s="82"/>
      <c r="B294" s="81"/>
      <c r="C294" s="82"/>
      <c r="D294" s="81"/>
    </row>
    <row r="295" spans="1:4" x14ac:dyDescent="0.2">
      <c r="A295" s="82"/>
      <c r="B295" s="81"/>
      <c r="C295" s="82"/>
      <c r="D295" s="81"/>
    </row>
    <row r="296" spans="1:4" x14ac:dyDescent="0.2">
      <c r="A296" s="82"/>
      <c r="B296" s="81"/>
      <c r="C296" s="82"/>
      <c r="D296" s="81"/>
    </row>
    <row r="297" spans="1:4" x14ac:dyDescent="0.2">
      <c r="A297" s="82"/>
      <c r="B297" s="81"/>
      <c r="C297" s="82"/>
      <c r="D297" s="81"/>
    </row>
    <row r="298" spans="1:4" x14ac:dyDescent="0.2">
      <c r="A298" s="82"/>
      <c r="B298" s="81"/>
      <c r="C298" s="82"/>
      <c r="D298" s="81"/>
    </row>
    <row r="299" spans="1:4" x14ac:dyDescent="0.2">
      <c r="A299" s="82"/>
      <c r="B299" s="81"/>
      <c r="C299" s="82"/>
      <c r="D299" s="81"/>
    </row>
    <row r="300" spans="1:4" x14ac:dyDescent="0.2">
      <c r="A300" s="82"/>
      <c r="B300" s="81"/>
      <c r="C300" s="82"/>
      <c r="D300" s="81"/>
    </row>
    <row r="301" spans="1:4" x14ac:dyDescent="0.2">
      <c r="A301" s="82"/>
      <c r="B301" s="81"/>
      <c r="C301" s="82"/>
      <c r="D301" s="81"/>
    </row>
    <row r="302" spans="1:4" x14ac:dyDescent="0.2">
      <c r="A302" s="82"/>
      <c r="B302" s="81"/>
      <c r="C302" s="82"/>
      <c r="D302" s="81"/>
    </row>
    <row r="303" spans="1:4" x14ac:dyDescent="0.2">
      <c r="A303" s="82"/>
      <c r="B303" s="81"/>
      <c r="C303" s="82"/>
      <c r="D303" s="81"/>
    </row>
    <row r="304" spans="1:4" x14ac:dyDescent="0.2">
      <c r="A304" s="82"/>
      <c r="B304" s="81"/>
      <c r="C304" s="82"/>
      <c r="D304" s="81"/>
    </row>
    <row r="305" spans="1:4" x14ac:dyDescent="0.2">
      <c r="A305" s="82"/>
      <c r="B305" s="81"/>
      <c r="C305" s="82"/>
      <c r="D305" s="81"/>
    </row>
    <row r="306" spans="1:4" x14ac:dyDescent="0.2">
      <c r="A306" s="82"/>
      <c r="B306" s="81"/>
      <c r="C306" s="82"/>
      <c r="D306" s="81"/>
    </row>
    <row r="307" spans="1:4" x14ac:dyDescent="0.2">
      <c r="A307" s="82"/>
      <c r="B307" s="81"/>
      <c r="C307" s="82"/>
      <c r="D307" s="81"/>
    </row>
    <row r="308" spans="1:4" x14ac:dyDescent="0.2">
      <c r="A308" s="82"/>
      <c r="B308" s="81"/>
      <c r="C308" s="82"/>
      <c r="D308" s="81"/>
    </row>
    <row r="309" spans="1:4" x14ac:dyDescent="0.2">
      <c r="A309" s="82"/>
      <c r="B309" s="81"/>
      <c r="C309" s="82"/>
      <c r="D309" s="81"/>
    </row>
    <row r="310" spans="1:4" x14ac:dyDescent="0.2">
      <c r="A310" s="82"/>
      <c r="B310" s="81"/>
      <c r="C310" s="82"/>
      <c r="D310" s="81"/>
    </row>
    <row r="311" spans="1:4" x14ac:dyDescent="0.2">
      <c r="A311" s="82"/>
      <c r="B311" s="81"/>
      <c r="C311" s="82"/>
      <c r="D311" s="81"/>
    </row>
    <row r="312" spans="1:4" x14ac:dyDescent="0.2">
      <c r="A312" s="82"/>
      <c r="B312" s="81"/>
      <c r="C312" s="82"/>
      <c r="D312" s="81"/>
    </row>
    <row r="313" spans="1:4" x14ac:dyDescent="0.2">
      <c r="A313" s="82"/>
      <c r="B313" s="81"/>
      <c r="C313" s="82"/>
      <c r="D313" s="81"/>
    </row>
    <row r="314" spans="1:4" x14ac:dyDescent="0.2">
      <c r="A314" s="82"/>
      <c r="B314" s="81"/>
      <c r="C314" s="82"/>
      <c r="D314" s="81"/>
    </row>
    <row r="315" spans="1:4" x14ac:dyDescent="0.2">
      <c r="A315" s="82"/>
      <c r="B315" s="81"/>
      <c r="C315" s="82"/>
      <c r="D315" s="81"/>
    </row>
    <row r="316" spans="1:4" x14ac:dyDescent="0.2">
      <c r="A316" s="82"/>
      <c r="B316" s="81"/>
      <c r="C316" s="82"/>
      <c r="D316" s="81"/>
    </row>
    <row r="317" spans="1:4" x14ac:dyDescent="0.2">
      <c r="A317" s="82"/>
      <c r="B317" s="81"/>
      <c r="C317" s="82"/>
      <c r="D317" s="81"/>
    </row>
    <row r="318" spans="1:4" x14ac:dyDescent="0.2">
      <c r="A318" s="82"/>
      <c r="B318" s="81"/>
      <c r="C318" s="82"/>
      <c r="D318" s="81"/>
    </row>
    <row r="319" spans="1:4" x14ac:dyDescent="0.2">
      <c r="A319" s="82"/>
      <c r="B319" s="81"/>
      <c r="C319" s="82"/>
      <c r="D319" s="81"/>
    </row>
    <row r="320" spans="1:4" x14ac:dyDescent="0.2">
      <c r="A320" s="82"/>
      <c r="B320" s="81"/>
      <c r="C320" s="82"/>
      <c r="D320" s="81"/>
    </row>
    <row r="321" spans="1:4" x14ac:dyDescent="0.2">
      <c r="A321" s="82"/>
      <c r="B321" s="81"/>
      <c r="C321" s="82"/>
      <c r="D321" s="81"/>
    </row>
    <row r="322" spans="1:4" x14ac:dyDescent="0.2">
      <c r="A322" s="82"/>
      <c r="B322" s="81"/>
      <c r="C322" s="82"/>
      <c r="D322" s="81"/>
    </row>
    <row r="323" spans="1:4" x14ac:dyDescent="0.2">
      <c r="A323" s="82"/>
      <c r="B323" s="81"/>
      <c r="C323" s="82"/>
      <c r="D323" s="81"/>
    </row>
    <row r="324" spans="1:4" x14ac:dyDescent="0.2">
      <c r="A324" s="82"/>
      <c r="B324" s="81"/>
      <c r="C324" s="82"/>
      <c r="D324" s="81"/>
    </row>
    <row r="325" spans="1:4" x14ac:dyDescent="0.2">
      <c r="A325" s="82"/>
      <c r="B325" s="81"/>
      <c r="C325" s="82"/>
      <c r="D325" s="81"/>
    </row>
    <row r="326" spans="1:4" x14ac:dyDescent="0.2">
      <c r="A326" s="82"/>
      <c r="B326" s="81"/>
      <c r="C326" s="82"/>
      <c r="D326" s="81"/>
    </row>
    <row r="327" spans="1:4" x14ac:dyDescent="0.2">
      <c r="A327" s="82"/>
      <c r="B327" s="81"/>
      <c r="C327" s="82"/>
      <c r="D327" s="81"/>
    </row>
    <row r="328" spans="1:4" x14ac:dyDescent="0.2">
      <c r="A328" s="82"/>
      <c r="B328" s="81"/>
      <c r="C328" s="82"/>
      <c r="D328" s="81"/>
    </row>
    <row r="329" spans="1:4" x14ac:dyDescent="0.2">
      <c r="A329" s="82"/>
      <c r="B329" s="81"/>
      <c r="C329" s="82"/>
      <c r="D329" s="81"/>
    </row>
    <row r="330" spans="1:4" x14ac:dyDescent="0.2">
      <c r="A330" s="82"/>
      <c r="B330" s="81"/>
      <c r="C330" s="82"/>
      <c r="D330" s="81"/>
    </row>
    <row r="331" spans="1:4" x14ac:dyDescent="0.2">
      <c r="A331" s="82"/>
      <c r="B331" s="81"/>
      <c r="C331" s="82"/>
      <c r="D331" s="81"/>
    </row>
    <row r="332" spans="1:4" x14ac:dyDescent="0.2">
      <c r="A332" s="82"/>
      <c r="B332" s="81"/>
      <c r="C332" s="82"/>
      <c r="D332" s="81"/>
    </row>
    <row r="333" spans="1:4" x14ac:dyDescent="0.2">
      <c r="A333" s="82"/>
      <c r="B333" s="81"/>
      <c r="C333" s="82"/>
      <c r="D333" s="81"/>
    </row>
    <row r="334" spans="1:4" x14ac:dyDescent="0.2">
      <c r="A334" s="82"/>
      <c r="B334" s="81"/>
      <c r="C334" s="82"/>
      <c r="D334" s="81"/>
    </row>
    <row r="335" spans="1:4" x14ac:dyDescent="0.2">
      <c r="A335" s="82"/>
      <c r="B335" s="81"/>
      <c r="C335" s="82"/>
      <c r="D335" s="81"/>
    </row>
    <row r="336" spans="1:4" x14ac:dyDescent="0.2">
      <c r="A336" s="82"/>
      <c r="B336" s="81"/>
      <c r="C336" s="82"/>
      <c r="D336" s="81"/>
    </row>
    <row r="337" spans="1:4" x14ac:dyDescent="0.2">
      <c r="A337" s="82"/>
      <c r="B337" s="81"/>
      <c r="C337" s="82"/>
      <c r="D337" s="81"/>
    </row>
    <row r="338" spans="1:4" x14ac:dyDescent="0.2">
      <c r="A338" s="82"/>
      <c r="B338" s="81"/>
      <c r="C338" s="82"/>
      <c r="D338" s="81"/>
    </row>
    <row r="339" spans="1:4" x14ac:dyDescent="0.2">
      <c r="A339" s="82"/>
      <c r="B339" s="81"/>
      <c r="C339" s="82"/>
      <c r="D339" s="81"/>
    </row>
    <row r="340" spans="1:4" x14ac:dyDescent="0.2">
      <c r="A340" s="82"/>
      <c r="B340" s="81"/>
      <c r="C340" s="82"/>
      <c r="D340" s="81"/>
    </row>
    <row r="341" spans="1:4" x14ac:dyDescent="0.2">
      <c r="A341" s="82"/>
      <c r="B341" s="81"/>
      <c r="C341" s="82"/>
      <c r="D341" s="81"/>
    </row>
    <row r="342" spans="1:4" x14ac:dyDescent="0.2">
      <c r="A342" s="82"/>
      <c r="B342" s="81"/>
      <c r="C342" s="82"/>
      <c r="D342" s="81"/>
    </row>
    <row r="343" spans="1:4" x14ac:dyDescent="0.2">
      <c r="A343" s="82"/>
      <c r="B343" s="81"/>
      <c r="C343" s="82"/>
      <c r="D343" s="81"/>
    </row>
    <row r="344" spans="1:4" x14ac:dyDescent="0.2">
      <c r="A344" s="82"/>
      <c r="B344" s="81"/>
      <c r="C344" s="82"/>
      <c r="D344" s="81"/>
    </row>
    <row r="345" spans="1:4" x14ac:dyDescent="0.2">
      <c r="A345" s="82"/>
      <c r="B345" s="81"/>
    </row>
    <row r="346" spans="1:4" x14ac:dyDescent="0.2">
      <c r="A346" s="82"/>
      <c r="B346" s="81"/>
    </row>
    <row r="347" spans="1:4" x14ac:dyDescent="0.2">
      <c r="A347" s="82"/>
      <c r="B347" s="81"/>
    </row>
    <row r="348" spans="1:4" x14ac:dyDescent="0.2">
      <c r="A348" s="82"/>
      <c r="B348" s="81"/>
    </row>
    <row r="349" spans="1:4" x14ac:dyDescent="0.2">
      <c r="A349" s="82"/>
      <c r="B349" s="81"/>
    </row>
    <row r="350" spans="1:4" x14ac:dyDescent="0.2">
      <c r="A350" s="82"/>
      <c r="B350" s="81"/>
    </row>
    <row r="351" spans="1:4" x14ac:dyDescent="0.2">
      <c r="A351" s="82"/>
      <c r="B351" s="81"/>
    </row>
    <row r="352" spans="1:4" x14ac:dyDescent="0.2">
      <c r="A352" s="82"/>
      <c r="B352" s="81"/>
    </row>
    <row r="353" spans="1:2" x14ac:dyDescent="0.2">
      <c r="A353" s="82"/>
      <c r="B353" s="81"/>
    </row>
    <row r="354" spans="1:2" x14ac:dyDescent="0.2">
      <c r="A354" s="82"/>
      <c r="B354" s="81"/>
    </row>
    <row r="355" spans="1:2" x14ac:dyDescent="0.2">
      <c r="A355" s="82"/>
      <c r="B355" s="81"/>
    </row>
    <row r="356" spans="1:2" x14ac:dyDescent="0.2">
      <c r="A356" s="82"/>
      <c r="B356" s="81"/>
    </row>
    <row r="357" spans="1:2" x14ac:dyDescent="0.2">
      <c r="A357" s="82"/>
      <c r="B357" s="81"/>
    </row>
    <row r="358" spans="1:2" x14ac:dyDescent="0.2">
      <c r="A358" s="82"/>
      <c r="B358" s="81"/>
    </row>
    <row r="359" spans="1:2" x14ac:dyDescent="0.2">
      <c r="A359" s="82"/>
      <c r="B359" s="81"/>
    </row>
    <row r="360" spans="1:2" x14ac:dyDescent="0.2">
      <c r="A360" s="82"/>
      <c r="B360" s="81"/>
    </row>
    <row r="361" spans="1:2" x14ac:dyDescent="0.2">
      <c r="A361" s="82"/>
      <c r="B361" s="81"/>
    </row>
    <row r="362" spans="1:2" x14ac:dyDescent="0.2">
      <c r="A362" s="82"/>
      <c r="B362" s="81"/>
    </row>
    <row r="363" spans="1:2" x14ac:dyDescent="0.2">
      <c r="A363" s="82"/>
      <c r="B363" s="81"/>
    </row>
    <row r="364" spans="1:2" x14ac:dyDescent="0.2">
      <c r="A364" s="82"/>
      <c r="B364" s="8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0D671-FF0B-9442-A061-279809290BC1}">
  <sheetPr>
    <tabColor theme="5" tint="0.59999389629810485"/>
  </sheetPr>
  <dimension ref="A1:P76"/>
  <sheetViews>
    <sheetView zoomScale="111" workbookViewId="0">
      <selection activeCell="A78" sqref="A78"/>
    </sheetView>
  </sheetViews>
  <sheetFormatPr baseColWidth="10" defaultColWidth="8.83203125" defaultRowHeight="15" x14ac:dyDescent="0.2"/>
  <cols>
    <col min="1" max="1" width="76.6640625" style="84" customWidth="1"/>
    <col min="2" max="6" width="18" style="84" customWidth="1"/>
    <col min="7" max="7" width="18" style="84" hidden="1" customWidth="1"/>
    <col min="8" max="8" width="18" style="67" hidden="1" customWidth="1"/>
    <col min="9" max="9" width="18" style="67" customWidth="1"/>
    <col min="10" max="14" width="10" style="84" customWidth="1"/>
    <col min="15" max="15" width="70" style="84" customWidth="1"/>
    <col min="16" max="16" width="55" style="84" customWidth="1"/>
    <col min="17" max="16384" width="8.83203125" style="84"/>
  </cols>
  <sheetData>
    <row r="1" spans="1:16" ht="28" customHeight="1" x14ac:dyDescent="0.2">
      <c r="A1" s="99" t="s">
        <v>466</v>
      </c>
      <c r="B1" s="99" t="s">
        <v>467</v>
      </c>
      <c r="C1" s="99" t="s">
        <v>468</v>
      </c>
      <c r="D1" s="99" t="s">
        <v>469</v>
      </c>
      <c r="E1" s="99" t="s">
        <v>470</v>
      </c>
      <c r="F1" s="99" t="s">
        <v>471</v>
      </c>
      <c r="G1" s="99" t="s">
        <v>472</v>
      </c>
      <c r="H1" s="99" t="s">
        <v>473</v>
      </c>
      <c r="I1" s="99" t="s">
        <v>474</v>
      </c>
      <c r="J1" s="99" t="s">
        <v>475</v>
      </c>
      <c r="K1" s="99" t="s">
        <v>476</v>
      </c>
      <c r="L1" s="99" t="s">
        <v>477</v>
      </c>
      <c r="M1" s="99" t="s">
        <v>478</v>
      </c>
      <c r="N1" s="99" t="s">
        <v>479</v>
      </c>
      <c r="O1" s="99" t="s">
        <v>480</v>
      </c>
      <c r="P1" s="99" t="s">
        <v>481</v>
      </c>
    </row>
    <row r="2" spans="1:16" ht="42" x14ac:dyDescent="0.2">
      <c r="A2" s="100" t="s">
        <v>105</v>
      </c>
      <c r="B2" s="101">
        <f>I2*J2</f>
        <v>32641993.475599609</v>
      </c>
      <c r="C2" s="101">
        <f>I2*K2</f>
        <v>45170615.544219136</v>
      </c>
      <c r="D2" s="101">
        <f>I2*L2</f>
        <v>53696560.514751114</v>
      </c>
      <c r="E2" s="101">
        <f>I2*M2</f>
        <v>67116677.23612079</v>
      </c>
      <c r="F2" s="101">
        <f>I2*N2</f>
        <v>93810194.22930935</v>
      </c>
      <c r="G2" s="101">
        <v>292436041</v>
      </c>
      <c r="H2" s="102">
        <v>0</v>
      </c>
      <c r="I2" s="102">
        <f>SUM(G2:H2)</f>
        <v>292436041</v>
      </c>
      <c r="J2" s="103">
        <v>0.1116209662939583</v>
      </c>
      <c r="K2" s="103">
        <v>0.15446323028364051</v>
      </c>
      <c r="L2" s="103">
        <v>0.18361813520362599</v>
      </c>
      <c r="M2" s="103">
        <v>0.22950891075741511</v>
      </c>
      <c r="N2" s="103">
        <v>0.3207887574613601</v>
      </c>
      <c r="O2" s="104" t="s">
        <v>482</v>
      </c>
      <c r="P2" s="105" t="s">
        <v>483</v>
      </c>
    </row>
    <row r="3" spans="1:16" x14ac:dyDescent="0.2">
      <c r="A3" s="106" t="s">
        <v>106</v>
      </c>
      <c r="B3" s="107">
        <f t="shared" ref="B3:B66" si="0">I3*J3</f>
        <v>3542387.0604569283</v>
      </c>
      <c r="C3" s="107">
        <f t="shared" ref="C3:C66" si="1">I3*K3</f>
        <v>5871439.8132240484</v>
      </c>
      <c r="D3" s="107">
        <f t="shared" ref="D3:D66" si="2">I3*L3</f>
        <v>7524433.3238728317</v>
      </c>
      <c r="E3" s="107">
        <f t="shared" ref="E3:E66" si="3">I3*M3</f>
        <v>9330112.7325194664</v>
      </c>
      <c r="F3" s="107">
        <f t="shared" ref="F3:F66" si="4">I3*N3</f>
        <v>13765183.069926722</v>
      </c>
      <c r="G3" s="107">
        <v>40033556</v>
      </c>
      <c r="H3" s="108">
        <v>0</v>
      </c>
      <c r="I3" s="108">
        <f t="shared" ref="I3:I66" si="5">SUM(G3:H3)</f>
        <v>40033556</v>
      </c>
      <c r="J3" s="103">
        <v>8.8485446070714485E-2</v>
      </c>
      <c r="K3" s="103">
        <v>0.1466629597736471</v>
      </c>
      <c r="L3" s="103">
        <v>0.18795315919157499</v>
      </c>
      <c r="M3" s="103">
        <v>0.23305730653853149</v>
      </c>
      <c r="N3" s="103">
        <v>0.34384112842553188</v>
      </c>
      <c r="O3" s="109" t="s">
        <v>484</v>
      </c>
      <c r="P3" s="105" t="s">
        <v>485</v>
      </c>
    </row>
    <row r="4" spans="1:16" x14ac:dyDescent="0.2">
      <c r="A4" s="100" t="s">
        <v>107</v>
      </c>
      <c r="B4" s="101">
        <f t="shared" si="0"/>
        <v>3633332.5252556447</v>
      </c>
      <c r="C4" s="101">
        <f t="shared" si="1"/>
        <v>4904715.9030179735</v>
      </c>
      <c r="D4" s="101">
        <f t="shared" si="2"/>
        <v>6059712.8993074056</v>
      </c>
      <c r="E4" s="101">
        <f t="shared" si="3"/>
        <v>7908310.7111706547</v>
      </c>
      <c r="F4" s="101">
        <f t="shared" si="4"/>
        <v>14351425.961248323</v>
      </c>
      <c r="G4" s="101">
        <v>36857498</v>
      </c>
      <c r="H4" s="102">
        <v>0</v>
      </c>
      <c r="I4" s="102">
        <f t="shared" si="5"/>
        <v>36857498</v>
      </c>
      <c r="J4" s="103">
        <v>9.8577839582481827E-2</v>
      </c>
      <c r="K4" s="103">
        <v>0.13307240505087931</v>
      </c>
      <c r="L4" s="103">
        <v>0.16440923090621631</v>
      </c>
      <c r="M4" s="103">
        <v>0.2145645022125662</v>
      </c>
      <c r="N4" s="103">
        <v>0.38937602224785639</v>
      </c>
      <c r="O4" s="104" t="s">
        <v>486</v>
      </c>
      <c r="P4" s="105" t="s">
        <v>487</v>
      </c>
    </row>
    <row r="5" spans="1:16" x14ac:dyDescent="0.2">
      <c r="A5" s="100" t="s">
        <v>488</v>
      </c>
      <c r="B5" s="101">
        <f>I5*J5</f>
        <v>1217884.4000000001</v>
      </c>
      <c r="C5" s="101">
        <f t="shared" si="1"/>
        <v>1217884.4000000001</v>
      </c>
      <c r="D5" s="101">
        <f t="shared" si="2"/>
        <v>1217884.4000000001</v>
      </c>
      <c r="E5" s="101">
        <f t="shared" si="3"/>
        <v>1217884.4000000001</v>
      </c>
      <c r="F5" s="101">
        <f t="shared" si="4"/>
        <v>1217884.4000000001</v>
      </c>
      <c r="G5" s="101">
        <v>6089422</v>
      </c>
      <c r="H5" s="102">
        <v>0</v>
      </c>
      <c r="I5" s="102">
        <f t="shared" si="5"/>
        <v>6089422</v>
      </c>
      <c r="J5" s="103">
        <v>0.2</v>
      </c>
      <c r="K5" s="103">
        <v>0.2</v>
      </c>
      <c r="L5" s="103">
        <v>0.2</v>
      </c>
      <c r="M5" s="103">
        <v>0.2</v>
      </c>
      <c r="N5" s="103">
        <v>0.2</v>
      </c>
      <c r="O5" s="104" t="s">
        <v>489</v>
      </c>
      <c r="P5" s="105" t="s">
        <v>490</v>
      </c>
    </row>
    <row r="6" spans="1:16" ht="42" x14ac:dyDescent="0.2">
      <c r="A6" s="100" t="s">
        <v>109</v>
      </c>
      <c r="B6" s="101">
        <f t="shared" si="0"/>
        <v>30356674.843749121</v>
      </c>
      <c r="C6" s="101">
        <f t="shared" si="1"/>
        <v>38403977.982756481</v>
      </c>
      <c r="D6" s="101">
        <f t="shared" si="2"/>
        <v>45213942.148905903</v>
      </c>
      <c r="E6" s="101">
        <f t="shared" si="3"/>
        <v>54790109.846761055</v>
      </c>
      <c r="F6" s="101">
        <f t="shared" si="4"/>
        <v>84710508.177827433</v>
      </c>
      <c r="G6" s="101">
        <v>253475213</v>
      </c>
      <c r="H6" s="102">
        <v>0</v>
      </c>
      <c r="I6" s="102">
        <f t="shared" si="5"/>
        <v>253475213</v>
      </c>
      <c r="J6" s="103">
        <v>0.1197619068328749</v>
      </c>
      <c r="K6" s="103">
        <v>0.15150979667095291</v>
      </c>
      <c r="L6" s="103">
        <v>0.17837618761131449</v>
      </c>
      <c r="M6" s="103">
        <v>0.21615569111588459</v>
      </c>
      <c r="N6" s="103">
        <v>0.33419641776897308</v>
      </c>
      <c r="O6" s="104" t="s">
        <v>491</v>
      </c>
      <c r="P6" s="105" t="s">
        <v>492</v>
      </c>
    </row>
    <row r="7" spans="1:16" x14ac:dyDescent="0.2">
      <c r="A7" s="106" t="s">
        <v>110</v>
      </c>
      <c r="B7" s="107">
        <f>I7*J7</f>
        <v>1252789.8806548535</v>
      </c>
      <c r="C7" s="107">
        <f t="shared" si="1"/>
        <v>2148195.199005316</v>
      </c>
      <c r="D7" s="107">
        <f t="shared" si="2"/>
        <v>3168320.3417275646</v>
      </c>
      <c r="E7" s="107">
        <f t="shared" si="3"/>
        <v>4405808.0639519086</v>
      </c>
      <c r="F7" s="107">
        <f t="shared" si="4"/>
        <v>11026593.514660355</v>
      </c>
      <c r="G7" s="107">
        <v>22001707</v>
      </c>
      <c r="H7" s="108">
        <v>0</v>
      </c>
      <c r="I7" s="108">
        <f t="shared" si="5"/>
        <v>22001707</v>
      </c>
      <c r="J7" s="103">
        <v>5.6940576504125498E-2</v>
      </c>
      <c r="K7" s="103">
        <v>9.7637660523581929E-2</v>
      </c>
      <c r="L7" s="103">
        <v>0.14400338763385789</v>
      </c>
      <c r="M7" s="103">
        <v>0.20024846544642691</v>
      </c>
      <c r="N7" s="103">
        <v>0.50116990989200771</v>
      </c>
      <c r="O7" s="109" t="s">
        <v>493</v>
      </c>
      <c r="P7" s="105" t="s">
        <v>494</v>
      </c>
    </row>
    <row r="8" spans="1:16" ht="28" x14ac:dyDescent="0.2">
      <c r="A8" s="106" t="s">
        <v>111</v>
      </c>
      <c r="B8" s="107">
        <f t="shared" si="0"/>
        <v>1019923.6425124838</v>
      </c>
      <c r="C8" s="107">
        <f t="shared" si="1"/>
        <v>1645726.6143498369</v>
      </c>
      <c r="D8" s="107">
        <f t="shared" si="2"/>
        <v>2068864.7754959827</v>
      </c>
      <c r="E8" s="107">
        <f t="shared" si="3"/>
        <v>2503676.9570959066</v>
      </c>
      <c r="F8" s="107">
        <f t="shared" si="4"/>
        <v>3405850.0105457893</v>
      </c>
      <c r="G8" s="107">
        <v>10644042</v>
      </c>
      <c r="H8" s="108">
        <v>0</v>
      </c>
      <c r="I8" s="108">
        <f t="shared" si="5"/>
        <v>10644042</v>
      </c>
      <c r="J8" s="103">
        <v>9.5821083993513342E-2</v>
      </c>
      <c r="K8" s="103">
        <v>0.15461481778725009</v>
      </c>
      <c r="L8" s="103">
        <v>0.19436834010012199</v>
      </c>
      <c r="M8" s="103">
        <v>0.2352186281391887</v>
      </c>
      <c r="N8" s="103">
        <v>0.31997712997992578</v>
      </c>
      <c r="O8" s="109" t="s">
        <v>495</v>
      </c>
      <c r="P8" s="105" t="s">
        <v>496</v>
      </c>
    </row>
    <row r="9" spans="1:16" x14ac:dyDescent="0.2">
      <c r="A9" s="100" t="s">
        <v>112</v>
      </c>
      <c r="B9" s="101">
        <f t="shared" si="0"/>
        <v>638386.05122439377</v>
      </c>
      <c r="C9" s="101">
        <f t="shared" si="1"/>
        <v>1090736.744289042</v>
      </c>
      <c r="D9" s="101">
        <f t="shared" si="2"/>
        <v>1494511.2540669171</v>
      </c>
      <c r="E9" s="101">
        <f t="shared" si="3"/>
        <v>2208574.3866147646</v>
      </c>
      <c r="F9" s="101">
        <f t="shared" si="4"/>
        <v>3977660.5638048835</v>
      </c>
      <c r="G9" s="101">
        <v>9409869</v>
      </c>
      <c r="H9" s="102">
        <v>0</v>
      </c>
      <c r="I9" s="102">
        <f t="shared" si="5"/>
        <v>9409869</v>
      </c>
      <c r="J9" s="103">
        <v>6.7842182630214493E-2</v>
      </c>
      <c r="K9" s="103">
        <v>0.1159141263591493</v>
      </c>
      <c r="L9" s="103">
        <v>0.15882381083805919</v>
      </c>
      <c r="M9" s="103">
        <v>0.23470830323087011</v>
      </c>
      <c r="N9" s="103">
        <v>0.42271157694170702</v>
      </c>
      <c r="O9" s="104" t="s">
        <v>497</v>
      </c>
      <c r="P9" s="105" t="s">
        <v>498</v>
      </c>
    </row>
    <row r="10" spans="1:16" x14ac:dyDescent="0.2">
      <c r="A10" s="106" t="s">
        <v>113</v>
      </c>
      <c r="B10" s="107">
        <f t="shared" si="0"/>
        <v>1847185.0212575402</v>
      </c>
      <c r="C10" s="107">
        <f t="shared" si="1"/>
        <v>2912623.8592789555</v>
      </c>
      <c r="D10" s="107">
        <f t="shared" si="2"/>
        <v>3715988.0786655489</v>
      </c>
      <c r="E10" s="107">
        <f t="shared" si="3"/>
        <v>4644999.2390734609</v>
      </c>
      <c r="F10" s="107">
        <f t="shared" si="4"/>
        <v>7364926.8017244963</v>
      </c>
      <c r="G10" s="107">
        <v>20485723</v>
      </c>
      <c r="H10" s="108">
        <v>0</v>
      </c>
      <c r="I10" s="108">
        <f t="shared" si="5"/>
        <v>20485723</v>
      </c>
      <c r="J10" s="103">
        <v>9.0169383880546475E-2</v>
      </c>
      <c r="K10" s="103">
        <v>0.14217823111632211</v>
      </c>
      <c r="L10" s="103">
        <v>0.18139404104339149</v>
      </c>
      <c r="M10" s="103">
        <v>0.22674324157724191</v>
      </c>
      <c r="N10" s="103">
        <v>0.35951510238249812</v>
      </c>
      <c r="O10" s="109" t="s">
        <v>499</v>
      </c>
      <c r="P10" s="105" t="s">
        <v>500</v>
      </c>
    </row>
    <row r="11" spans="1:16" x14ac:dyDescent="0.2">
      <c r="A11" s="106" t="s">
        <v>114</v>
      </c>
      <c r="B11" s="107">
        <f t="shared" si="0"/>
        <v>806736.47063374112</v>
      </c>
      <c r="C11" s="107">
        <f t="shared" si="1"/>
        <v>1292144.1194312733</v>
      </c>
      <c r="D11" s="107">
        <f t="shared" si="2"/>
        <v>1630724.0071095785</v>
      </c>
      <c r="E11" s="107">
        <f t="shared" si="3"/>
        <v>2000969.6347545062</v>
      </c>
      <c r="F11" s="107">
        <f t="shared" si="4"/>
        <v>3207371.7680709003</v>
      </c>
      <c r="G11" s="107">
        <v>8937946</v>
      </c>
      <c r="H11" s="108">
        <v>0</v>
      </c>
      <c r="I11" s="108">
        <f t="shared" si="5"/>
        <v>8937946</v>
      </c>
      <c r="J11" s="103">
        <v>9.0259716341287044E-2</v>
      </c>
      <c r="K11" s="103">
        <v>0.14456835154645969</v>
      </c>
      <c r="L11" s="103">
        <v>0.1824495255520204</v>
      </c>
      <c r="M11" s="103">
        <v>0.22387354261868511</v>
      </c>
      <c r="N11" s="103">
        <v>0.35884886394154769</v>
      </c>
      <c r="O11" s="109" t="s">
        <v>501</v>
      </c>
      <c r="P11" s="105" t="s">
        <v>502</v>
      </c>
    </row>
    <row r="12" spans="1:16" x14ac:dyDescent="0.2">
      <c r="A12" s="106" t="s">
        <v>115</v>
      </c>
      <c r="B12" s="107">
        <f t="shared" si="0"/>
        <v>540685.1613967556</v>
      </c>
      <c r="C12" s="107">
        <f t="shared" si="1"/>
        <v>2047122.4349738795</v>
      </c>
      <c r="D12" s="107">
        <f t="shared" si="2"/>
        <v>57809.10530657135</v>
      </c>
      <c r="E12" s="107">
        <f t="shared" si="3"/>
        <v>1049065.2345339565</v>
      </c>
      <c r="F12" s="107">
        <f t="shared" si="4"/>
        <v>2489192.0637888368</v>
      </c>
      <c r="G12" s="107">
        <v>6183874</v>
      </c>
      <c r="H12" s="108">
        <v>0</v>
      </c>
      <c r="I12" s="108">
        <f t="shared" si="5"/>
        <v>6183874</v>
      </c>
      <c r="J12" s="103">
        <v>8.7434698927687654E-2</v>
      </c>
      <c r="K12" s="103">
        <v>0.3310420676381633</v>
      </c>
      <c r="L12" s="103">
        <v>9.3483640362936483E-3</v>
      </c>
      <c r="M12" s="103">
        <v>0.16964531207038769</v>
      </c>
      <c r="N12" s="103">
        <v>0.4025295573274677</v>
      </c>
      <c r="O12" s="109" t="s">
        <v>503</v>
      </c>
      <c r="P12" s="105" t="s">
        <v>504</v>
      </c>
    </row>
    <row r="13" spans="1:16" ht="28" x14ac:dyDescent="0.2">
      <c r="A13" s="110" t="s">
        <v>116</v>
      </c>
      <c r="B13" s="111">
        <f t="shared" si="0"/>
        <v>1821298.2838573698</v>
      </c>
      <c r="C13" s="111">
        <f t="shared" si="1"/>
        <v>2696599.5346331745</v>
      </c>
      <c r="D13" s="111">
        <f t="shared" si="2"/>
        <v>3386074.4095694469</v>
      </c>
      <c r="E13" s="111">
        <f t="shared" si="3"/>
        <v>3812580.3727529398</v>
      </c>
      <c r="F13" s="111">
        <f t="shared" si="4"/>
        <v>5304197.3991870685</v>
      </c>
      <c r="G13" s="111">
        <v>17020750</v>
      </c>
      <c r="H13" s="112">
        <v>0</v>
      </c>
      <c r="I13" s="112">
        <f t="shared" si="5"/>
        <v>17020750</v>
      </c>
      <c r="J13" s="103">
        <v>0.10700458463095749</v>
      </c>
      <c r="K13" s="103">
        <v>0.1584301240916631</v>
      </c>
      <c r="L13" s="103">
        <v>0.19893802620739079</v>
      </c>
      <c r="M13" s="103">
        <v>0.22399602677631361</v>
      </c>
      <c r="N13" s="103">
        <v>0.31163123829367501</v>
      </c>
      <c r="O13" s="113" t="s">
        <v>505</v>
      </c>
      <c r="P13" s="105" t="s">
        <v>506</v>
      </c>
    </row>
    <row r="14" spans="1:16" ht="42" x14ac:dyDescent="0.2">
      <c r="A14" s="110" t="s">
        <v>117</v>
      </c>
      <c r="B14" s="111">
        <f t="shared" si="0"/>
        <v>2664242.488356208</v>
      </c>
      <c r="C14" s="111">
        <f t="shared" si="1"/>
        <v>3944656.6818245151</v>
      </c>
      <c r="D14" s="111">
        <f t="shared" si="2"/>
        <v>4953237.7406618409</v>
      </c>
      <c r="E14" s="111">
        <f t="shared" si="3"/>
        <v>5577141.6770056142</v>
      </c>
      <c r="F14" s="111">
        <f t="shared" si="4"/>
        <v>7759118.4121518219</v>
      </c>
      <c r="G14" s="111">
        <v>24898397</v>
      </c>
      <c r="H14" s="112">
        <v>0</v>
      </c>
      <c r="I14" s="112">
        <f t="shared" si="5"/>
        <v>24898397</v>
      </c>
      <c r="J14" s="103">
        <v>0.1070045789837879</v>
      </c>
      <c r="K14" s="103">
        <v>0.15843014639956601</v>
      </c>
      <c r="L14" s="103">
        <v>0.1989380176025726</v>
      </c>
      <c r="M14" s="103">
        <v>0.22399601375966549</v>
      </c>
      <c r="N14" s="103">
        <v>0.311631243254408</v>
      </c>
      <c r="O14" s="113" t="s">
        <v>507</v>
      </c>
      <c r="P14" s="105" t="s">
        <v>508</v>
      </c>
    </row>
    <row r="15" spans="1:16" x14ac:dyDescent="0.2">
      <c r="A15" s="106" t="s">
        <v>118</v>
      </c>
      <c r="B15" s="107">
        <f t="shared" si="0"/>
        <v>18631074.703820918</v>
      </c>
      <c r="C15" s="107">
        <f t="shared" si="1"/>
        <v>23371832.573382702</v>
      </c>
      <c r="D15" s="107">
        <f t="shared" si="2"/>
        <v>26412403.995438024</v>
      </c>
      <c r="E15" s="107">
        <f t="shared" si="3"/>
        <v>33698512.287242584</v>
      </c>
      <c r="F15" s="107">
        <f t="shared" si="4"/>
        <v>77126169.44011575</v>
      </c>
      <c r="G15" s="107">
        <v>179239993</v>
      </c>
      <c r="H15" s="108">
        <v>0</v>
      </c>
      <c r="I15" s="108">
        <f t="shared" si="5"/>
        <v>179239993</v>
      </c>
      <c r="J15" s="114">
        <v>0.1039448528868271</v>
      </c>
      <c r="K15" s="114">
        <v>0.13039407211638701</v>
      </c>
      <c r="L15" s="114">
        <v>0.14735776069483569</v>
      </c>
      <c r="M15" s="114">
        <v>0.18800777506860639</v>
      </c>
      <c r="N15" s="114">
        <v>0.43029553923334368</v>
      </c>
      <c r="O15" s="109" t="s">
        <v>509</v>
      </c>
      <c r="P15" s="105" t="s">
        <v>510</v>
      </c>
    </row>
    <row r="16" spans="1:16" ht="28" x14ac:dyDescent="0.2">
      <c r="A16" s="110" t="s">
        <v>119</v>
      </c>
      <c r="B16" s="111">
        <f t="shared" si="0"/>
        <v>3622214.9877635594</v>
      </c>
      <c r="C16" s="111">
        <f t="shared" si="1"/>
        <v>5297549.2293301234</v>
      </c>
      <c r="D16" s="111">
        <f t="shared" si="2"/>
        <v>6903567.3280006172</v>
      </c>
      <c r="E16" s="111">
        <f t="shared" si="3"/>
        <v>9543837.5986261591</v>
      </c>
      <c r="F16" s="111">
        <f t="shared" si="4"/>
        <v>18397281.856279545</v>
      </c>
      <c r="G16" s="111">
        <v>43764451</v>
      </c>
      <c r="H16" s="112">
        <v>0</v>
      </c>
      <c r="I16" s="112">
        <f t="shared" si="5"/>
        <v>43764451</v>
      </c>
      <c r="J16" s="103">
        <v>8.2766147066795359E-2</v>
      </c>
      <c r="K16" s="103">
        <v>0.1210468567132288</v>
      </c>
      <c r="L16" s="103">
        <v>0.1577437205370317</v>
      </c>
      <c r="M16" s="103">
        <v>0.21807282807286121</v>
      </c>
      <c r="N16" s="103">
        <v>0.42037044761008302</v>
      </c>
      <c r="O16" s="113" t="s">
        <v>511</v>
      </c>
      <c r="P16" s="105" t="s">
        <v>512</v>
      </c>
    </row>
    <row r="17" spans="1:16" ht="28" x14ac:dyDescent="0.2">
      <c r="A17" s="110" t="s">
        <v>120</v>
      </c>
      <c r="B17" s="111">
        <f t="shared" si="0"/>
        <v>3301865.5695934091</v>
      </c>
      <c r="C17" s="111">
        <f t="shared" si="1"/>
        <v>4829032.5760716964</v>
      </c>
      <c r="D17" s="111">
        <f t="shared" si="2"/>
        <v>6293014.4158123462</v>
      </c>
      <c r="E17" s="111">
        <f t="shared" si="3"/>
        <v>8699778.5508032367</v>
      </c>
      <c r="F17" s="111">
        <f t="shared" si="4"/>
        <v>16770221.887719307</v>
      </c>
      <c r="G17" s="111">
        <v>39893913</v>
      </c>
      <c r="H17" s="112">
        <v>0</v>
      </c>
      <c r="I17" s="112">
        <f t="shared" si="5"/>
        <v>39893913</v>
      </c>
      <c r="J17" s="103">
        <v>8.276614955252469E-2</v>
      </c>
      <c r="K17" s="103">
        <v>0.1210468518360607</v>
      </c>
      <c r="L17" s="103">
        <v>0.1577437243574564</v>
      </c>
      <c r="M17" s="103">
        <v>0.21807283108085279</v>
      </c>
      <c r="N17" s="103">
        <v>0.42037044317310529</v>
      </c>
      <c r="O17" s="113" t="s">
        <v>513</v>
      </c>
      <c r="P17" s="105" t="s">
        <v>514</v>
      </c>
    </row>
    <row r="18" spans="1:16" ht="42" x14ac:dyDescent="0.2">
      <c r="A18" s="110" t="s">
        <v>121</v>
      </c>
      <c r="B18" s="111">
        <f t="shared" si="0"/>
        <v>1144309.5008879693</v>
      </c>
      <c r="C18" s="111">
        <f t="shared" si="1"/>
        <v>1673571.4946691997</v>
      </c>
      <c r="D18" s="111">
        <f t="shared" si="2"/>
        <v>2180935.4159265435</v>
      </c>
      <c r="E18" s="111">
        <f t="shared" si="3"/>
        <v>3015034.3504765118</v>
      </c>
      <c r="F18" s="111">
        <f t="shared" si="4"/>
        <v>5811963.2380397776</v>
      </c>
      <c r="G18" s="111">
        <v>13825814</v>
      </c>
      <c r="H18" s="112">
        <v>0</v>
      </c>
      <c r="I18" s="112">
        <f t="shared" si="5"/>
        <v>13825814</v>
      </c>
      <c r="J18" s="103">
        <v>8.2766157630065701E-2</v>
      </c>
      <c r="K18" s="103">
        <v>0.1210468688982218</v>
      </c>
      <c r="L18" s="103">
        <v>0.1577437260422094</v>
      </c>
      <c r="M18" s="103">
        <v>0.21807282742820869</v>
      </c>
      <c r="N18" s="103">
        <v>0.42037042000129449</v>
      </c>
      <c r="O18" s="113" t="s">
        <v>515</v>
      </c>
      <c r="P18" s="105" t="s">
        <v>516</v>
      </c>
    </row>
    <row r="19" spans="1:16" x14ac:dyDescent="0.2">
      <c r="A19" s="106" t="s">
        <v>122</v>
      </c>
      <c r="B19" s="107">
        <f t="shared" si="0"/>
        <v>2650033.0453579719</v>
      </c>
      <c r="C19" s="107">
        <f t="shared" si="1"/>
        <v>4020233.9262930583</v>
      </c>
      <c r="D19" s="107">
        <f t="shared" si="2"/>
        <v>5541205.8625484342</v>
      </c>
      <c r="E19" s="107">
        <f t="shared" si="3"/>
        <v>6753713.681009287</v>
      </c>
      <c r="F19" s="107">
        <f t="shared" si="4"/>
        <v>12816661.484791251</v>
      </c>
      <c r="G19" s="107">
        <v>31781848</v>
      </c>
      <c r="H19" s="108">
        <v>0</v>
      </c>
      <c r="I19" s="108">
        <f t="shared" si="5"/>
        <v>31781848</v>
      </c>
      <c r="J19" s="103">
        <v>8.3381968391453259E-2</v>
      </c>
      <c r="K19" s="103">
        <v>0.12649465588952091</v>
      </c>
      <c r="L19" s="103">
        <v>0.17435127946456841</v>
      </c>
      <c r="M19" s="103">
        <v>0.21250223338206409</v>
      </c>
      <c r="N19" s="103">
        <v>0.40326986287239341</v>
      </c>
      <c r="O19" s="109" t="s">
        <v>517</v>
      </c>
      <c r="P19" s="105" t="s">
        <v>518</v>
      </c>
    </row>
    <row r="20" spans="1:16" ht="28" x14ac:dyDescent="0.2">
      <c r="A20" s="110" t="s">
        <v>123</v>
      </c>
      <c r="B20" s="111">
        <f t="shared" si="0"/>
        <v>955941.76258713566</v>
      </c>
      <c r="C20" s="111">
        <f t="shared" si="1"/>
        <v>1423184.4820507423</v>
      </c>
      <c r="D20" s="111">
        <f t="shared" si="2"/>
        <v>1850586.0703178719</v>
      </c>
      <c r="E20" s="111">
        <f t="shared" si="3"/>
        <v>2420235.0046631345</v>
      </c>
      <c r="F20" s="111">
        <f t="shared" si="4"/>
        <v>4017546.6803811165</v>
      </c>
      <c r="G20" s="111">
        <v>10667494</v>
      </c>
      <c r="H20" s="112">
        <v>0</v>
      </c>
      <c r="I20" s="112">
        <f t="shared" si="5"/>
        <v>10667494</v>
      </c>
      <c r="J20" s="103">
        <v>8.9612589666057993E-2</v>
      </c>
      <c r="K20" s="103">
        <v>0.1334131973311391</v>
      </c>
      <c r="L20" s="103">
        <v>0.17347898862824501</v>
      </c>
      <c r="M20" s="103">
        <v>0.22687943435104199</v>
      </c>
      <c r="N20" s="103">
        <v>0.37661579002351597</v>
      </c>
      <c r="O20" s="113" t="s">
        <v>519</v>
      </c>
      <c r="P20" s="105" t="s">
        <v>520</v>
      </c>
    </row>
    <row r="21" spans="1:16" ht="42" x14ac:dyDescent="0.2">
      <c r="A21" s="110" t="s">
        <v>124</v>
      </c>
      <c r="B21" s="111">
        <f t="shared" si="0"/>
        <v>959078.0588291164</v>
      </c>
      <c r="C21" s="111">
        <f t="shared" si="1"/>
        <v>1427845.5382689587</v>
      </c>
      <c r="D21" s="111">
        <f t="shared" si="2"/>
        <v>1856646.4661918122</v>
      </c>
      <c r="E21" s="111">
        <f t="shared" si="3"/>
        <v>2428166.0497510224</v>
      </c>
      <c r="F21" s="111">
        <f t="shared" si="4"/>
        <v>4030704.8869590908</v>
      </c>
      <c r="G21" s="111">
        <v>10702441</v>
      </c>
      <c r="H21" s="112">
        <v>0</v>
      </c>
      <c r="I21" s="112">
        <f t="shared" si="5"/>
        <v>10702441</v>
      </c>
      <c r="J21" s="103">
        <v>8.9613019948357242E-2</v>
      </c>
      <c r="K21" s="103">
        <v>0.13341307261296359</v>
      </c>
      <c r="L21" s="103">
        <v>0.17347878546509271</v>
      </c>
      <c r="M21" s="103">
        <v>0.22687964827379309</v>
      </c>
      <c r="N21" s="103">
        <v>0.37661547369979342</v>
      </c>
      <c r="O21" s="113" t="s">
        <v>521</v>
      </c>
      <c r="P21" s="105" t="s">
        <v>522</v>
      </c>
    </row>
    <row r="22" spans="1:16" ht="28" x14ac:dyDescent="0.2">
      <c r="A22" s="110" t="s">
        <v>125</v>
      </c>
      <c r="B22" s="111">
        <f t="shared" si="0"/>
        <v>328327.99645704165</v>
      </c>
      <c r="C22" s="111">
        <f t="shared" si="1"/>
        <v>849531.51886625332</v>
      </c>
      <c r="D22" s="111">
        <f t="shared" si="2"/>
        <v>1289408.608680248</v>
      </c>
      <c r="E22" s="111">
        <f t="shared" si="3"/>
        <v>5436232.4166519046</v>
      </c>
      <c r="F22" s="111">
        <f t="shared" si="4"/>
        <v>6055247.4593445528</v>
      </c>
      <c r="G22" s="111">
        <v>13958748</v>
      </c>
      <c r="H22" s="112">
        <v>0</v>
      </c>
      <c r="I22" s="112">
        <f t="shared" si="5"/>
        <v>13958748</v>
      </c>
      <c r="J22" s="103">
        <v>2.3521306957976579E-2</v>
      </c>
      <c r="K22" s="103">
        <v>6.086015155988584E-2</v>
      </c>
      <c r="L22" s="103">
        <v>9.2372797952957386E-2</v>
      </c>
      <c r="M22" s="103">
        <v>0.38944985729751008</v>
      </c>
      <c r="N22" s="103">
        <v>0.43379588623167009</v>
      </c>
      <c r="O22" s="113" t="s">
        <v>523</v>
      </c>
      <c r="P22" s="105" t="s">
        <v>524</v>
      </c>
    </row>
    <row r="23" spans="1:16" x14ac:dyDescent="0.2">
      <c r="A23" s="106" t="s">
        <v>126</v>
      </c>
      <c r="B23" s="107">
        <f t="shared" si="0"/>
        <v>1659979.0618393826</v>
      </c>
      <c r="C23" s="107">
        <f t="shared" si="1"/>
        <v>2970300.6663910411</v>
      </c>
      <c r="D23" s="107">
        <f t="shared" si="2"/>
        <v>3925489.9342810232</v>
      </c>
      <c r="E23" s="107">
        <f t="shared" si="3"/>
        <v>5615260.3854873888</v>
      </c>
      <c r="F23" s="107">
        <f t="shared" si="4"/>
        <v>11614861.952001164</v>
      </c>
      <c r="G23" s="107">
        <v>25785892</v>
      </c>
      <c r="H23" s="108">
        <v>0</v>
      </c>
      <c r="I23" s="108">
        <f t="shared" si="5"/>
        <v>25785892</v>
      </c>
      <c r="J23" s="103">
        <v>6.4375475622072048E-2</v>
      </c>
      <c r="K23" s="103">
        <v>0.11519092170210909</v>
      </c>
      <c r="L23" s="103">
        <v>0.1522340175116309</v>
      </c>
      <c r="M23" s="103">
        <v>0.21776482991115409</v>
      </c>
      <c r="N23" s="103">
        <v>0.45043475525303389</v>
      </c>
      <c r="O23" s="109" t="s">
        <v>525</v>
      </c>
      <c r="P23" s="105" t="s">
        <v>526</v>
      </c>
    </row>
    <row r="24" spans="1:16" ht="42" x14ac:dyDescent="0.2">
      <c r="A24" s="110" t="s">
        <v>127</v>
      </c>
      <c r="B24" s="111">
        <f t="shared" si="0"/>
        <v>90833.348208268217</v>
      </c>
      <c r="C24" s="111">
        <f t="shared" si="1"/>
        <v>234772.67344451297</v>
      </c>
      <c r="D24" s="111">
        <f t="shared" si="2"/>
        <v>356363.23334815091</v>
      </c>
      <c r="E24" s="111">
        <f t="shared" si="3"/>
        <v>1502345.9626310281</v>
      </c>
      <c r="F24" s="111">
        <f t="shared" si="4"/>
        <v>1673446.7823680399</v>
      </c>
      <c r="G24" s="111">
        <v>3857762</v>
      </c>
      <c r="H24" s="112">
        <v>0</v>
      </c>
      <c r="I24" s="112">
        <f t="shared" si="5"/>
        <v>3857762</v>
      </c>
      <c r="J24" s="103">
        <v>2.3545607066550039E-2</v>
      </c>
      <c r="K24" s="103">
        <v>6.0857220700632382E-2</v>
      </c>
      <c r="L24" s="103">
        <v>9.2375639904211534E-2</v>
      </c>
      <c r="M24" s="103">
        <v>0.38943458995941899</v>
      </c>
      <c r="N24" s="103">
        <v>0.43378694236918708</v>
      </c>
      <c r="O24" s="113" t="s">
        <v>527</v>
      </c>
      <c r="P24" s="105" t="s">
        <v>528</v>
      </c>
    </row>
    <row r="25" spans="1:16" ht="28" x14ac:dyDescent="0.2">
      <c r="A25" s="110" t="s">
        <v>128</v>
      </c>
      <c r="B25" s="111">
        <f t="shared" si="0"/>
        <v>536568.98516806681</v>
      </c>
      <c r="C25" s="111">
        <f t="shared" si="1"/>
        <v>1560987.2265957554</v>
      </c>
      <c r="D25" s="111">
        <f t="shared" si="2"/>
        <v>2338961.8758077342</v>
      </c>
      <c r="E25" s="111">
        <f t="shared" si="3"/>
        <v>4418796.4343554666</v>
      </c>
      <c r="F25" s="111">
        <f t="shared" si="4"/>
        <v>25870709.478072975</v>
      </c>
      <c r="G25" s="111">
        <v>34726024</v>
      </c>
      <c r="H25" s="112">
        <v>0</v>
      </c>
      <c r="I25" s="112">
        <f t="shared" si="5"/>
        <v>34726024</v>
      </c>
      <c r="J25" s="103">
        <v>1.5451494970114251E-2</v>
      </c>
      <c r="K25" s="103">
        <v>4.4951510331149788E-2</v>
      </c>
      <c r="L25" s="103">
        <v>6.7354727273347917E-2</v>
      </c>
      <c r="M25" s="103">
        <v>0.12724740483838479</v>
      </c>
      <c r="N25" s="103">
        <v>0.7449948625870032</v>
      </c>
      <c r="O25" s="113" t="s">
        <v>529</v>
      </c>
      <c r="P25" s="105" t="s">
        <v>530</v>
      </c>
    </row>
    <row r="26" spans="1:16" ht="42" x14ac:dyDescent="0.2">
      <c r="A26" s="110" t="s">
        <v>129</v>
      </c>
      <c r="B26" s="111">
        <f t="shared" si="0"/>
        <v>15010.365485412885</v>
      </c>
      <c r="C26" s="111">
        <f t="shared" si="1"/>
        <v>43654.879578045162</v>
      </c>
      <c r="D26" s="111">
        <f t="shared" si="2"/>
        <v>65402.306757870443</v>
      </c>
      <c r="E26" s="111">
        <f t="shared" si="3"/>
        <v>123539.46860062637</v>
      </c>
      <c r="F26" s="111">
        <f t="shared" si="4"/>
        <v>723265.9795780452</v>
      </c>
      <c r="G26" s="111">
        <v>970873</v>
      </c>
      <c r="H26" s="112">
        <v>0</v>
      </c>
      <c r="I26" s="112">
        <f t="shared" si="5"/>
        <v>970873</v>
      </c>
      <c r="J26" s="103">
        <v>1.546068897313334E-2</v>
      </c>
      <c r="K26" s="103">
        <v>4.4964562386682047E-2</v>
      </c>
      <c r="L26" s="103">
        <v>6.7364430525795285E-2</v>
      </c>
      <c r="M26" s="103">
        <v>0.1272457557277073</v>
      </c>
      <c r="N26" s="103">
        <v>0.74496456238668207</v>
      </c>
      <c r="O26" s="113" t="s">
        <v>531</v>
      </c>
      <c r="P26" s="105" t="s">
        <v>532</v>
      </c>
    </row>
    <row r="27" spans="1:16" ht="28" x14ac:dyDescent="0.2">
      <c r="A27" s="110" t="s">
        <v>130</v>
      </c>
      <c r="B27" s="111">
        <f t="shared" si="0"/>
        <v>1298673.8014889488</v>
      </c>
      <c r="C27" s="111">
        <f t="shared" si="1"/>
        <v>1780024.4428980262</v>
      </c>
      <c r="D27" s="111">
        <f t="shared" si="2"/>
        <v>2198572.6483703195</v>
      </c>
      <c r="E27" s="111">
        <f t="shared" si="3"/>
        <v>3006400.9463344971</v>
      </c>
      <c r="F27" s="111">
        <f t="shared" si="4"/>
        <v>6109703.1609082082</v>
      </c>
      <c r="G27" s="111">
        <v>14393375</v>
      </c>
      <c r="H27" s="112">
        <v>0</v>
      </c>
      <c r="I27" s="112">
        <f t="shared" si="5"/>
        <v>14393375</v>
      </c>
      <c r="J27" s="103">
        <v>9.0227191432791037E-2</v>
      </c>
      <c r="K27" s="103">
        <v>0.12366970518714521</v>
      </c>
      <c r="L27" s="103">
        <v>0.1527489312527687</v>
      </c>
      <c r="M27" s="103">
        <v>0.20887394001299189</v>
      </c>
      <c r="N27" s="103">
        <v>0.42448023211430319</v>
      </c>
      <c r="O27" s="113" t="s">
        <v>533</v>
      </c>
      <c r="P27" s="105" t="s">
        <v>534</v>
      </c>
    </row>
    <row r="28" spans="1:16" ht="28" x14ac:dyDescent="0.2">
      <c r="A28" s="110" t="s">
        <v>131</v>
      </c>
      <c r="B28" s="111">
        <f t="shared" si="0"/>
        <v>534484.74707621988</v>
      </c>
      <c r="C28" s="111">
        <f t="shared" si="1"/>
        <v>732590.48627574032</v>
      </c>
      <c r="D28" s="111">
        <f t="shared" si="2"/>
        <v>904848.54873445281</v>
      </c>
      <c r="E28" s="111">
        <f t="shared" si="3"/>
        <v>1237319.5346642388</v>
      </c>
      <c r="F28" s="111">
        <f t="shared" si="4"/>
        <v>2514520.6832493483</v>
      </c>
      <c r="G28" s="111">
        <v>5923764</v>
      </c>
      <c r="H28" s="112">
        <v>0</v>
      </c>
      <c r="I28" s="112">
        <f t="shared" si="5"/>
        <v>5923764</v>
      </c>
      <c r="J28" s="103">
        <v>9.0227218213997026E-2</v>
      </c>
      <c r="K28" s="103">
        <v>0.1236697623800915</v>
      </c>
      <c r="L28" s="103">
        <v>0.15274891922339459</v>
      </c>
      <c r="M28" s="103">
        <v>0.20887387388563061</v>
      </c>
      <c r="N28" s="103">
        <v>0.42448022629688631</v>
      </c>
      <c r="O28" s="113" t="s">
        <v>535</v>
      </c>
      <c r="P28" s="105" t="s">
        <v>536</v>
      </c>
    </row>
    <row r="29" spans="1:16" ht="42" x14ac:dyDescent="0.2">
      <c r="A29" s="110" t="s">
        <v>132</v>
      </c>
      <c r="B29" s="111">
        <f t="shared" si="0"/>
        <v>265458.14287982852</v>
      </c>
      <c r="C29" s="111">
        <f t="shared" si="1"/>
        <v>363849.271541283</v>
      </c>
      <c r="D29" s="111">
        <f t="shared" si="2"/>
        <v>449403.23951768642</v>
      </c>
      <c r="E29" s="111">
        <f t="shared" si="3"/>
        <v>614528.3850680691</v>
      </c>
      <c r="F29" s="111">
        <f t="shared" si="4"/>
        <v>1248863.9609931328</v>
      </c>
      <c r="G29" s="111">
        <v>2942103</v>
      </c>
      <c r="H29" s="112">
        <v>0</v>
      </c>
      <c r="I29" s="112">
        <f t="shared" si="5"/>
        <v>2942103</v>
      </c>
      <c r="J29" s="103">
        <v>9.0227345160869124E-2</v>
      </c>
      <c r="K29" s="103">
        <v>0.1236697938655727</v>
      </c>
      <c r="L29" s="103">
        <v>0.15274898245156149</v>
      </c>
      <c r="M29" s="103">
        <v>0.2088738514824495</v>
      </c>
      <c r="N29" s="103">
        <v>0.42448002703954718</v>
      </c>
      <c r="O29" s="113" t="s">
        <v>537</v>
      </c>
      <c r="P29" s="105" t="s">
        <v>538</v>
      </c>
    </row>
    <row r="30" spans="1:16" x14ac:dyDescent="0.2">
      <c r="A30" s="106" t="s">
        <v>133</v>
      </c>
      <c r="B30" s="107">
        <f t="shared" si="0"/>
        <v>8776156.4965341985</v>
      </c>
      <c r="C30" s="107">
        <f t="shared" si="1"/>
        <v>11847656.967977798</v>
      </c>
      <c r="D30" s="107">
        <f t="shared" si="2"/>
        <v>14638049.128051888</v>
      </c>
      <c r="E30" s="107">
        <f t="shared" si="3"/>
        <v>19104636.207140937</v>
      </c>
      <c r="F30" s="107">
        <f t="shared" si="4"/>
        <v>34686362.200295173</v>
      </c>
      <c r="G30" s="107">
        <v>89052861</v>
      </c>
      <c r="H30" s="108">
        <v>0</v>
      </c>
      <c r="I30" s="108">
        <f t="shared" si="5"/>
        <v>89052861</v>
      </c>
      <c r="J30" s="103">
        <v>9.8549966817283924E-2</v>
      </c>
      <c r="K30" s="103">
        <v>0.13304072249826759</v>
      </c>
      <c r="L30" s="103">
        <v>0.16437483269686179</v>
      </c>
      <c r="M30" s="103">
        <v>0.21453141418040389</v>
      </c>
      <c r="N30" s="103">
        <v>0.38950306380718269</v>
      </c>
      <c r="O30" s="109" t="s">
        <v>539</v>
      </c>
      <c r="P30" s="105" t="s">
        <v>540</v>
      </c>
    </row>
    <row r="31" spans="1:16" x14ac:dyDescent="0.2">
      <c r="A31" s="106" t="s">
        <v>134</v>
      </c>
      <c r="B31" s="107">
        <f t="shared" si="0"/>
        <v>1455992.1862379094</v>
      </c>
      <c r="C31" s="107">
        <f t="shared" si="1"/>
        <v>1965427.3932595777</v>
      </c>
      <c r="D31" s="107">
        <f t="shared" si="2"/>
        <v>2310528.5550773838</v>
      </c>
      <c r="E31" s="107">
        <f t="shared" si="3"/>
        <v>2899684.4596602162</v>
      </c>
      <c r="F31" s="107">
        <f t="shared" si="4"/>
        <v>4307688.4057649132</v>
      </c>
      <c r="G31" s="107">
        <v>12939321</v>
      </c>
      <c r="H31" s="108">
        <v>0</v>
      </c>
      <c r="I31" s="108">
        <f t="shared" si="5"/>
        <v>12939321</v>
      </c>
      <c r="J31" s="103">
        <v>0.112524620591599</v>
      </c>
      <c r="K31" s="103">
        <v>0.1518957133268104</v>
      </c>
      <c r="L31" s="103">
        <v>0.17856644526226559</v>
      </c>
      <c r="M31" s="103">
        <v>0.2240986570825638</v>
      </c>
      <c r="N31" s="103">
        <v>0.3329145637367612</v>
      </c>
      <c r="O31" s="109" t="s">
        <v>541</v>
      </c>
      <c r="P31" s="105" t="s">
        <v>542</v>
      </c>
    </row>
    <row r="32" spans="1:16" x14ac:dyDescent="0.2">
      <c r="A32" s="106" t="s">
        <v>135</v>
      </c>
      <c r="B32" s="107">
        <f t="shared" si="0"/>
        <v>1039633.5329407791</v>
      </c>
      <c r="C32" s="107">
        <f t="shared" si="1"/>
        <v>1399102.3109156839</v>
      </c>
      <c r="D32" s="107">
        <f t="shared" si="2"/>
        <v>2312112.6442880514</v>
      </c>
      <c r="E32" s="107">
        <f t="shared" si="3"/>
        <v>4390694.5081088692</v>
      </c>
      <c r="F32" s="107">
        <f t="shared" si="4"/>
        <v>14583573.003746618</v>
      </c>
      <c r="G32" s="107">
        <v>23725116</v>
      </c>
      <c r="H32" s="108">
        <v>0</v>
      </c>
      <c r="I32" s="108">
        <f t="shared" si="5"/>
        <v>23725116</v>
      </c>
      <c r="J32" s="103">
        <v>4.381995573554958E-2</v>
      </c>
      <c r="K32" s="103">
        <v>5.8971358071154799E-2</v>
      </c>
      <c r="L32" s="103">
        <v>9.7454218739670292E-2</v>
      </c>
      <c r="M32" s="103">
        <v>0.185065249337827</v>
      </c>
      <c r="N32" s="103">
        <v>0.61468921811579835</v>
      </c>
      <c r="O32" s="109" t="s">
        <v>543</v>
      </c>
      <c r="P32" s="105" t="s">
        <v>544</v>
      </c>
    </row>
    <row r="33" spans="1:16" x14ac:dyDescent="0.2">
      <c r="A33" s="106" t="s">
        <v>136</v>
      </c>
      <c r="B33" s="107">
        <f t="shared" si="0"/>
        <v>2907530.8047028747</v>
      </c>
      <c r="C33" s="107">
        <f t="shared" si="1"/>
        <v>7714447.0576469107</v>
      </c>
      <c r="D33" s="107">
        <f t="shared" si="2"/>
        <v>16638362.63129534</v>
      </c>
      <c r="E33" s="107">
        <f t="shared" si="3"/>
        <v>39734528.087341949</v>
      </c>
      <c r="F33" s="107">
        <f t="shared" si="4"/>
        <v>309787929.4190129</v>
      </c>
      <c r="G33" s="107">
        <v>376782798</v>
      </c>
      <c r="H33" s="108">
        <v>0</v>
      </c>
      <c r="I33" s="108">
        <f t="shared" si="5"/>
        <v>376782798</v>
      </c>
      <c r="J33" s="103">
        <v>7.7167291610347744E-3</v>
      </c>
      <c r="K33" s="103">
        <v>2.0474520330004319E-2</v>
      </c>
      <c r="L33" s="103">
        <v>4.4159029338954429E-2</v>
      </c>
      <c r="M33" s="103">
        <v>0.10545738366575309</v>
      </c>
      <c r="N33" s="103">
        <v>0.82219233750425336</v>
      </c>
      <c r="O33" s="109" t="s">
        <v>545</v>
      </c>
      <c r="P33" s="105" t="s">
        <v>546</v>
      </c>
    </row>
    <row r="34" spans="1:16" ht="28" x14ac:dyDescent="0.2">
      <c r="A34" s="110" t="s">
        <v>547</v>
      </c>
      <c r="B34" s="111">
        <f t="shared" si="0"/>
        <v>13033341.492204398</v>
      </c>
      <c r="C34" s="111">
        <f t="shared" si="1"/>
        <v>18933226.015606396</v>
      </c>
      <c r="D34" s="111">
        <f t="shared" si="2"/>
        <v>25816754.475030858</v>
      </c>
      <c r="E34" s="111">
        <f t="shared" si="3"/>
        <v>34656257.760134518</v>
      </c>
      <c r="F34" s="111">
        <f t="shared" si="4"/>
        <v>57846846.257023834</v>
      </c>
      <c r="G34" s="111">
        <v>150286426</v>
      </c>
      <c r="H34" s="112">
        <v>0</v>
      </c>
      <c r="I34" s="112">
        <f t="shared" si="5"/>
        <v>150286426</v>
      </c>
      <c r="J34" s="103">
        <v>8.6723344476928324E-2</v>
      </c>
      <c r="K34" s="103">
        <v>0.1259809453157559</v>
      </c>
      <c r="L34" s="103">
        <v>0.17178367442865969</v>
      </c>
      <c r="M34" s="103">
        <v>0.23060138352171949</v>
      </c>
      <c r="N34" s="103">
        <v>0.3849106522569366</v>
      </c>
      <c r="O34" s="113" t="s">
        <v>548</v>
      </c>
      <c r="P34" s="105" t="s">
        <v>549</v>
      </c>
    </row>
    <row r="35" spans="1:16" ht="42" x14ac:dyDescent="0.2">
      <c r="A35" s="110" t="s">
        <v>138</v>
      </c>
      <c r="B35" s="111">
        <f t="shared" si="0"/>
        <v>2187118.9861360355</v>
      </c>
      <c r="C35" s="111">
        <f t="shared" si="1"/>
        <v>3177175.9481534003</v>
      </c>
      <c r="D35" s="111">
        <f t="shared" si="2"/>
        <v>4332297.9181248331</v>
      </c>
      <c r="E35" s="111">
        <f t="shared" si="3"/>
        <v>5815650.6635271115</v>
      </c>
      <c r="F35" s="111">
        <f t="shared" si="4"/>
        <v>9707252.4840586204</v>
      </c>
      <c r="G35" s="111">
        <v>25219496</v>
      </c>
      <c r="H35" s="112">
        <v>0</v>
      </c>
      <c r="I35" s="112">
        <f t="shared" si="5"/>
        <v>25219496</v>
      </c>
      <c r="J35" s="103">
        <v>8.6723342375122622E-2</v>
      </c>
      <c r="K35" s="103">
        <v>0.1259809453826278</v>
      </c>
      <c r="L35" s="103">
        <v>0.1717836834695203</v>
      </c>
      <c r="M35" s="103">
        <v>0.230601383292002</v>
      </c>
      <c r="N35" s="103">
        <v>0.38491064548072729</v>
      </c>
      <c r="O35" s="113" t="s">
        <v>550</v>
      </c>
      <c r="P35" s="105" t="s">
        <v>551</v>
      </c>
    </row>
    <row r="36" spans="1:16" ht="28" x14ac:dyDescent="0.2">
      <c r="A36" s="100" t="s">
        <v>139</v>
      </c>
      <c r="B36" s="101">
        <f t="shared" si="0"/>
        <v>7482173.3138048453</v>
      </c>
      <c r="C36" s="101">
        <f t="shared" si="1"/>
        <v>10840407.988523746</v>
      </c>
      <c r="D36" s="101">
        <f t="shared" si="2"/>
        <v>13274754.602449717</v>
      </c>
      <c r="E36" s="101">
        <f t="shared" si="3"/>
        <v>17334235.772597514</v>
      </c>
      <c r="F36" s="101">
        <f t="shared" si="4"/>
        <v>35855132.322624184</v>
      </c>
      <c r="G36" s="101">
        <v>84786704</v>
      </c>
      <c r="H36" s="102">
        <v>0</v>
      </c>
      <c r="I36" s="102">
        <f t="shared" si="5"/>
        <v>84786704</v>
      </c>
      <c r="J36" s="103">
        <v>8.8247012335859229E-2</v>
      </c>
      <c r="K36" s="103">
        <v>0.12785504657102539</v>
      </c>
      <c r="L36" s="103">
        <v>0.15656646592194121</v>
      </c>
      <c r="M36" s="103">
        <v>0.20444521316216649</v>
      </c>
      <c r="N36" s="103">
        <v>0.4228862620090077</v>
      </c>
      <c r="O36" s="104" t="s">
        <v>552</v>
      </c>
      <c r="P36" s="105" t="s">
        <v>553</v>
      </c>
    </row>
    <row r="37" spans="1:16" ht="42" x14ac:dyDescent="0.2">
      <c r="A37" s="110" t="s">
        <v>140</v>
      </c>
      <c r="B37" s="111">
        <f t="shared" si="0"/>
        <v>158685.62816929893</v>
      </c>
      <c r="C37" s="111">
        <f t="shared" si="1"/>
        <v>258826.74916901707</v>
      </c>
      <c r="D37" s="111">
        <f t="shared" si="2"/>
        <v>364752.3478752654</v>
      </c>
      <c r="E37" s="111">
        <f t="shared" si="3"/>
        <v>528480.33493344614</v>
      </c>
      <c r="F37" s="111">
        <f t="shared" si="4"/>
        <v>1041820.9398529724</v>
      </c>
      <c r="G37" s="111">
        <v>2352566</v>
      </c>
      <c r="H37" s="112">
        <v>0</v>
      </c>
      <c r="I37" s="112">
        <f t="shared" si="5"/>
        <v>2352566</v>
      </c>
      <c r="J37" s="103">
        <v>6.745214721682577E-2</v>
      </c>
      <c r="K37" s="103">
        <v>0.11001891091217721</v>
      </c>
      <c r="L37" s="103">
        <v>0.15504446968767949</v>
      </c>
      <c r="M37" s="103">
        <v>0.22463996118852611</v>
      </c>
      <c r="N37" s="103">
        <v>0.44284451099479138</v>
      </c>
      <c r="O37" s="113" t="s">
        <v>554</v>
      </c>
      <c r="P37" s="105" t="s">
        <v>555</v>
      </c>
    </row>
    <row r="38" spans="1:16" ht="42" x14ac:dyDescent="0.2">
      <c r="A38" s="110" t="s">
        <v>141</v>
      </c>
      <c r="B38" s="111">
        <f t="shared" si="0"/>
        <v>127740.98842146731</v>
      </c>
      <c r="C38" s="111">
        <f t="shared" si="1"/>
        <v>208353.95761029291</v>
      </c>
      <c r="D38" s="111">
        <f t="shared" si="2"/>
        <v>293623.22517430404</v>
      </c>
      <c r="E38" s="111">
        <f t="shared" si="3"/>
        <v>425423.33375324158</v>
      </c>
      <c r="F38" s="111">
        <f t="shared" si="4"/>
        <v>838659.49504069414</v>
      </c>
      <c r="G38" s="111">
        <v>1893801</v>
      </c>
      <c r="H38" s="112">
        <v>0</v>
      </c>
      <c r="I38" s="112">
        <f t="shared" si="5"/>
        <v>1893801</v>
      </c>
      <c r="J38" s="103">
        <v>6.7452170751555893E-2</v>
      </c>
      <c r="K38" s="103">
        <v>0.1100189289214088</v>
      </c>
      <c r="L38" s="103">
        <v>0.15504439229586639</v>
      </c>
      <c r="M38" s="103">
        <v>0.22463993511104999</v>
      </c>
      <c r="N38" s="103">
        <v>0.44284457292011892</v>
      </c>
      <c r="O38" s="113" t="s">
        <v>556</v>
      </c>
      <c r="P38" s="105" t="s">
        <v>557</v>
      </c>
    </row>
    <row r="39" spans="1:16" ht="42" x14ac:dyDescent="0.2">
      <c r="A39" s="110" t="s">
        <v>142</v>
      </c>
      <c r="B39" s="111">
        <f t="shared" si="0"/>
        <v>238861.62706540973</v>
      </c>
      <c r="C39" s="111">
        <f t="shared" si="1"/>
        <v>389599.03109649284</v>
      </c>
      <c r="D39" s="111">
        <f t="shared" si="2"/>
        <v>549043.20199812204</v>
      </c>
      <c r="E39" s="111">
        <f t="shared" si="3"/>
        <v>795494.93821525027</v>
      </c>
      <c r="F39" s="111">
        <f t="shared" si="4"/>
        <v>1568201.201624725</v>
      </c>
      <c r="G39" s="111">
        <v>3541200</v>
      </c>
      <c r="H39" s="112">
        <v>0</v>
      </c>
      <c r="I39" s="112">
        <f t="shared" si="5"/>
        <v>3541200</v>
      </c>
      <c r="J39" s="103">
        <v>6.7452170751555893E-2</v>
      </c>
      <c r="K39" s="103">
        <v>0.1100189289214088</v>
      </c>
      <c r="L39" s="103">
        <v>0.15504439229586639</v>
      </c>
      <c r="M39" s="103">
        <v>0.22463993511104999</v>
      </c>
      <c r="N39" s="103">
        <v>0.44284457292011892</v>
      </c>
      <c r="O39" s="113" t="s">
        <v>558</v>
      </c>
      <c r="P39" s="105" t="s">
        <v>559</v>
      </c>
    </row>
    <row r="40" spans="1:16" ht="42" x14ac:dyDescent="0.2">
      <c r="A40" s="110" t="s">
        <v>143</v>
      </c>
      <c r="B40" s="111">
        <f t="shared" si="0"/>
        <v>5820410.1491838349</v>
      </c>
      <c r="C40" s="111">
        <f t="shared" si="1"/>
        <v>9493462.5414661281</v>
      </c>
      <c r="D40" s="111">
        <f t="shared" si="2"/>
        <v>13378675.201243991</v>
      </c>
      <c r="E40" s="111">
        <f t="shared" si="3"/>
        <v>19384026.522803579</v>
      </c>
      <c r="F40" s="111">
        <f t="shared" si="4"/>
        <v>38212735.585302465</v>
      </c>
      <c r="G40" s="111">
        <v>86289310</v>
      </c>
      <c r="H40" s="112">
        <v>0</v>
      </c>
      <c r="I40" s="112">
        <f t="shared" si="5"/>
        <v>86289310</v>
      </c>
      <c r="J40" s="103">
        <v>6.7452273626754405E-2</v>
      </c>
      <c r="K40" s="103">
        <v>0.1100189877687761</v>
      </c>
      <c r="L40" s="103">
        <v>0.15504441049817169</v>
      </c>
      <c r="M40" s="103">
        <v>0.2246399527682349</v>
      </c>
      <c r="N40" s="103">
        <v>0.44284437533806292</v>
      </c>
      <c r="O40" s="113" t="s">
        <v>560</v>
      </c>
      <c r="P40" s="105" t="s">
        <v>561</v>
      </c>
    </row>
    <row r="41" spans="1:16" ht="28" x14ac:dyDescent="0.2">
      <c r="A41" s="110" t="s">
        <v>144</v>
      </c>
      <c r="B41" s="111">
        <f t="shared" si="0"/>
        <v>1699454.3010246831</v>
      </c>
      <c r="C41" s="111">
        <f t="shared" si="1"/>
        <v>3657597.7289178218</v>
      </c>
      <c r="D41" s="111">
        <f t="shared" si="2"/>
        <v>5509347.5545339109</v>
      </c>
      <c r="E41" s="111">
        <f t="shared" si="3"/>
        <v>8115378.272271568</v>
      </c>
      <c r="F41" s="111">
        <f t="shared" si="4"/>
        <v>16503622.143252019</v>
      </c>
      <c r="G41" s="111">
        <v>35485400</v>
      </c>
      <c r="H41" s="112">
        <v>0</v>
      </c>
      <c r="I41" s="112">
        <f t="shared" si="5"/>
        <v>35485400</v>
      </c>
      <c r="J41" s="103">
        <v>4.7891648425118019E-2</v>
      </c>
      <c r="K41" s="103">
        <v>0.10307331265584781</v>
      </c>
      <c r="L41" s="103">
        <v>0.15525674092821021</v>
      </c>
      <c r="M41" s="103">
        <v>0.2286962602160767</v>
      </c>
      <c r="N41" s="103">
        <v>0.46508203777474733</v>
      </c>
      <c r="O41" s="113" t="s">
        <v>562</v>
      </c>
      <c r="P41" s="105" t="s">
        <v>563</v>
      </c>
    </row>
    <row r="42" spans="1:16" ht="28" x14ac:dyDescent="0.2">
      <c r="A42" s="110" t="s">
        <v>145</v>
      </c>
      <c r="B42" s="111">
        <f t="shared" si="0"/>
        <v>341879.04393748351</v>
      </c>
      <c r="C42" s="111">
        <f t="shared" si="1"/>
        <v>735798.96866576956</v>
      </c>
      <c r="D42" s="111">
        <f t="shared" si="2"/>
        <v>1108315.5520479102</v>
      </c>
      <c r="E42" s="111">
        <f t="shared" si="3"/>
        <v>1632571.2172222356</v>
      </c>
      <c r="F42" s="111">
        <f t="shared" si="4"/>
        <v>3320034.1285135662</v>
      </c>
      <c r="G42" s="111">
        <v>6610680</v>
      </c>
      <c r="H42" s="112">
        <v>527918.91038696549</v>
      </c>
      <c r="I42" s="112">
        <f t="shared" si="5"/>
        <v>7138598.9103869656</v>
      </c>
      <c r="J42" s="103">
        <v>4.7891616860562779E-2</v>
      </c>
      <c r="K42" s="103">
        <v>0.1030733030252128</v>
      </c>
      <c r="L42" s="103">
        <v>0.15525673398392839</v>
      </c>
      <c r="M42" s="103">
        <v>0.2286963082975253</v>
      </c>
      <c r="N42" s="103">
        <v>0.46508203783277069</v>
      </c>
      <c r="O42" s="113" t="s">
        <v>564</v>
      </c>
      <c r="P42" s="105" t="s">
        <v>565</v>
      </c>
    </row>
    <row r="43" spans="1:16" ht="42" x14ac:dyDescent="0.2">
      <c r="A43" s="110" t="s">
        <v>146</v>
      </c>
      <c r="B43" s="111">
        <f t="shared" si="0"/>
        <v>28858.354834404985</v>
      </c>
      <c r="C43" s="111">
        <f t="shared" si="1"/>
        <v>62109.111030542314</v>
      </c>
      <c r="D43" s="111">
        <f t="shared" si="2"/>
        <v>93553.005123912939</v>
      </c>
      <c r="E43" s="111">
        <f t="shared" si="3"/>
        <v>137805.16287311984</v>
      </c>
      <c r="F43" s="111">
        <f t="shared" si="4"/>
        <v>280243.36613801983</v>
      </c>
      <c r="G43" s="111">
        <v>602569</v>
      </c>
      <c r="H43" s="112">
        <v>0</v>
      </c>
      <c r="I43" s="112">
        <f t="shared" si="5"/>
        <v>602569</v>
      </c>
      <c r="J43" s="103">
        <v>4.7892199622624108E-2</v>
      </c>
      <c r="K43" s="103">
        <v>0.10307385715252911</v>
      </c>
      <c r="L43" s="103">
        <v>0.15525691684091439</v>
      </c>
      <c r="M43" s="103">
        <v>0.22869607111072729</v>
      </c>
      <c r="N43" s="103">
        <v>0.46508095527320498</v>
      </c>
      <c r="O43" s="113" t="s">
        <v>566</v>
      </c>
      <c r="P43" s="105" t="s">
        <v>567</v>
      </c>
    </row>
    <row r="44" spans="1:16" x14ac:dyDescent="0.2">
      <c r="A44" s="106" t="s">
        <v>147</v>
      </c>
      <c r="B44" s="107">
        <f t="shared" si="0"/>
        <v>24274321.007418729</v>
      </c>
      <c r="C44" s="107">
        <f t="shared" si="1"/>
        <v>33466176.235897604</v>
      </c>
      <c r="D44" s="107">
        <f t="shared" si="2"/>
        <v>41096103.665931322</v>
      </c>
      <c r="E44" s="107">
        <f t="shared" si="3"/>
        <v>52240270.128817901</v>
      </c>
      <c r="F44" s="107">
        <f t="shared" si="4"/>
        <v>123040060.96193443</v>
      </c>
      <c r="G44" s="107">
        <v>274116932</v>
      </c>
      <c r="H44" s="108">
        <v>0</v>
      </c>
      <c r="I44" s="108">
        <f t="shared" si="5"/>
        <v>274116932</v>
      </c>
      <c r="J44" s="103">
        <v>8.8554620943367079E-2</v>
      </c>
      <c r="K44" s="103">
        <v>0.1220872274898276</v>
      </c>
      <c r="L44" s="103">
        <v>0.14992179930691521</v>
      </c>
      <c r="M44" s="103">
        <v>0.19057658987959891</v>
      </c>
      <c r="N44" s="103">
        <v>0.44885976238029118</v>
      </c>
      <c r="O44" s="109" t="s">
        <v>568</v>
      </c>
      <c r="P44" s="105" t="s">
        <v>569</v>
      </c>
    </row>
    <row r="45" spans="1:16" ht="28" x14ac:dyDescent="0.2">
      <c r="A45" s="110" t="s">
        <v>148</v>
      </c>
      <c r="B45" s="111">
        <f t="shared" si="0"/>
        <v>364012.43069063575</v>
      </c>
      <c r="C45" s="111">
        <f t="shared" si="1"/>
        <v>625134.05782690516</v>
      </c>
      <c r="D45" s="111">
        <f t="shared" si="2"/>
        <v>930519.19811494939</v>
      </c>
      <c r="E45" s="111">
        <f t="shared" si="3"/>
        <v>1364458.6264281108</v>
      </c>
      <c r="F45" s="111">
        <f t="shared" si="4"/>
        <v>3137481.6869393988</v>
      </c>
      <c r="G45" s="111">
        <v>6421606</v>
      </c>
      <c r="H45" s="112">
        <v>0</v>
      </c>
      <c r="I45" s="112">
        <f t="shared" si="5"/>
        <v>6421606</v>
      </c>
      <c r="J45" s="103">
        <v>5.6685575335926212E-2</v>
      </c>
      <c r="K45" s="103">
        <v>9.7348553901766194E-2</v>
      </c>
      <c r="L45" s="103">
        <v>0.1449044363847532</v>
      </c>
      <c r="M45" s="103">
        <v>0.21247934339604621</v>
      </c>
      <c r="N45" s="103">
        <v>0.48858209098150818</v>
      </c>
      <c r="O45" s="113" t="s">
        <v>570</v>
      </c>
      <c r="P45" s="105" t="s">
        <v>571</v>
      </c>
    </row>
    <row r="46" spans="1:16" ht="28" x14ac:dyDescent="0.2">
      <c r="A46" s="110" t="s">
        <v>149</v>
      </c>
      <c r="B46" s="111">
        <f t="shared" si="0"/>
        <v>164158.7776962379</v>
      </c>
      <c r="C46" s="111">
        <f t="shared" si="1"/>
        <v>281917.98129956244</v>
      </c>
      <c r="D46" s="111">
        <f t="shared" si="2"/>
        <v>419637.82426176663</v>
      </c>
      <c r="E46" s="111">
        <f t="shared" si="3"/>
        <v>615332.2752807861</v>
      </c>
      <c r="F46" s="111">
        <f t="shared" si="4"/>
        <v>1414915.1414616469</v>
      </c>
      <c r="G46" s="111">
        <v>2895962</v>
      </c>
      <c r="H46" s="112">
        <v>0</v>
      </c>
      <c r="I46" s="112">
        <f t="shared" si="5"/>
        <v>2895962</v>
      </c>
      <c r="J46" s="103">
        <v>5.6685404606910551E-2</v>
      </c>
      <c r="K46" s="103">
        <v>9.7348646598112279E-2</v>
      </c>
      <c r="L46" s="103">
        <v>0.14490446499704299</v>
      </c>
      <c r="M46" s="103">
        <v>0.2124794024509942</v>
      </c>
      <c r="N46" s="103">
        <v>0.48858208134693998</v>
      </c>
      <c r="O46" s="113" t="s">
        <v>572</v>
      </c>
      <c r="P46" s="105" t="s">
        <v>573</v>
      </c>
    </row>
    <row r="47" spans="1:16" ht="28" x14ac:dyDescent="0.2">
      <c r="A47" s="110" t="s">
        <v>150</v>
      </c>
      <c r="B47" s="111">
        <f t="shared" si="0"/>
        <v>438145.79382699879</v>
      </c>
      <c r="C47" s="111">
        <f t="shared" si="1"/>
        <v>752447.67714774783</v>
      </c>
      <c r="D47" s="111">
        <f t="shared" si="2"/>
        <v>1120024.0962374343</v>
      </c>
      <c r="E47" s="111">
        <f t="shared" si="3"/>
        <v>1642337.9653301246</v>
      </c>
      <c r="F47" s="111">
        <f t="shared" si="4"/>
        <v>3776447.4674576954</v>
      </c>
      <c r="G47" s="111">
        <v>7729403</v>
      </c>
      <c r="H47" s="112">
        <v>0</v>
      </c>
      <c r="I47" s="112">
        <f t="shared" si="5"/>
        <v>7729403</v>
      </c>
      <c r="J47" s="103">
        <v>5.6685593159911417E-2</v>
      </c>
      <c r="K47" s="103">
        <v>9.7348744417615152E-2</v>
      </c>
      <c r="L47" s="103">
        <v>0.14490434723580001</v>
      </c>
      <c r="M47" s="103">
        <v>0.21247927754965351</v>
      </c>
      <c r="N47" s="103">
        <v>0.48858203763702002</v>
      </c>
      <c r="O47" s="113" t="s">
        <v>572</v>
      </c>
      <c r="P47" s="105" t="s">
        <v>574</v>
      </c>
    </row>
    <row r="48" spans="1:16" ht="28" x14ac:dyDescent="0.2">
      <c r="A48" s="110" t="s">
        <v>151</v>
      </c>
      <c r="B48" s="111">
        <f t="shared" si="0"/>
        <v>45715.978420580723</v>
      </c>
      <c r="C48" s="111">
        <f t="shared" si="1"/>
        <v>78509.928229794736</v>
      </c>
      <c r="D48" s="111">
        <f t="shared" si="2"/>
        <v>116862.84410829516</v>
      </c>
      <c r="E48" s="111">
        <f t="shared" si="3"/>
        <v>171360.98825178912</v>
      </c>
      <c r="F48" s="111">
        <f t="shared" si="4"/>
        <v>394033.26098954026</v>
      </c>
      <c r="G48" s="111">
        <v>806483</v>
      </c>
      <c r="H48" s="112">
        <v>0</v>
      </c>
      <c r="I48" s="112">
        <f t="shared" si="5"/>
        <v>806483</v>
      </c>
      <c r="J48" s="103">
        <v>5.6685607037694187E-2</v>
      </c>
      <c r="K48" s="103">
        <v>9.7348522200461432E-2</v>
      </c>
      <c r="L48" s="103">
        <v>0.1449042870194352</v>
      </c>
      <c r="M48" s="103">
        <v>0.21247935573569329</v>
      </c>
      <c r="N48" s="103">
        <v>0.48858222800671591</v>
      </c>
      <c r="O48" s="113" t="s">
        <v>572</v>
      </c>
      <c r="P48" s="105" t="s">
        <v>575</v>
      </c>
    </row>
    <row r="49" spans="1:16" ht="28" x14ac:dyDescent="0.2">
      <c r="A49" s="110" t="s">
        <v>152</v>
      </c>
      <c r="B49" s="111">
        <f t="shared" si="0"/>
        <v>321396.38447008783</v>
      </c>
      <c r="C49" s="111">
        <f t="shared" si="1"/>
        <v>551948.50378304871</v>
      </c>
      <c r="D49" s="111">
        <f t="shared" si="2"/>
        <v>821579.82474484493</v>
      </c>
      <c r="E49" s="111">
        <f t="shared" si="3"/>
        <v>1204717.6772161433</v>
      </c>
      <c r="F49" s="111">
        <f t="shared" si="4"/>
        <v>2770166.6097858753</v>
      </c>
      <c r="G49" s="111">
        <v>5669809</v>
      </c>
      <c r="H49" s="112">
        <v>0</v>
      </c>
      <c r="I49" s="112">
        <f t="shared" si="5"/>
        <v>5669809</v>
      </c>
      <c r="J49" s="103">
        <v>5.6685575205458923E-2</v>
      </c>
      <c r="K49" s="103">
        <v>9.7348694423930099E-2</v>
      </c>
      <c r="L49" s="103">
        <v>0.14490432124694941</v>
      </c>
      <c r="M49" s="103">
        <v>0.21247941107295559</v>
      </c>
      <c r="N49" s="103">
        <v>0.48858199805070601</v>
      </c>
      <c r="O49" s="113" t="s">
        <v>572</v>
      </c>
      <c r="P49" s="105" t="s">
        <v>576</v>
      </c>
    </row>
    <row r="50" spans="1:16" ht="28" x14ac:dyDescent="0.2">
      <c r="A50" s="110" t="s">
        <v>153</v>
      </c>
      <c r="B50" s="111">
        <f t="shared" si="0"/>
        <v>280380.81799639331</v>
      </c>
      <c r="C50" s="111">
        <f t="shared" si="1"/>
        <v>481511.50540833257</v>
      </c>
      <c r="D50" s="111">
        <f t="shared" si="2"/>
        <v>716733.62800561532</v>
      </c>
      <c r="E50" s="111">
        <f t="shared" si="3"/>
        <v>1050977.1575585338</v>
      </c>
      <c r="F50" s="111">
        <f t="shared" si="4"/>
        <v>2416651.8910311251</v>
      </c>
      <c r="G50" s="111">
        <v>4946255</v>
      </c>
      <c r="H50" s="112">
        <v>0</v>
      </c>
      <c r="I50" s="112">
        <f t="shared" si="5"/>
        <v>4946255</v>
      </c>
      <c r="J50" s="103">
        <v>5.668547577842091E-2</v>
      </c>
      <c r="K50" s="103">
        <v>9.7348702282501115E-2</v>
      </c>
      <c r="L50" s="103">
        <v>0.1449043019427052</v>
      </c>
      <c r="M50" s="103">
        <v>0.2124793722843917</v>
      </c>
      <c r="N50" s="103">
        <v>0.48858214771198111</v>
      </c>
      <c r="O50" s="113" t="s">
        <v>572</v>
      </c>
      <c r="P50" s="105" t="s">
        <v>577</v>
      </c>
    </row>
    <row r="51" spans="1:16" ht="28" x14ac:dyDescent="0.2">
      <c r="A51" s="110" t="s">
        <v>154</v>
      </c>
      <c r="B51" s="111">
        <f t="shared" si="0"/>
        <v>5569.1428067702682</v>
      </c>
      <c r="C51" s="111">
        <f t="shared" si="1"/>
        <v>9565.568302537713</v>
      </c>
      <c r="D51" s="111">
        <f t="shared" si="2"/>
        <v>14238.836750643128</v>
      </c>
      <c r="E51" s="111">
        <f t="shared" si="3"/>
        <v>20879.797176898202</v>
      </c>
      <c r="F51" s="111">
        <f t="shared" si="4"/>
        <v>48012.761470489124</v>
      </c>
      <c r="G51" s="111">
        <v>85986</v>
      </c>
      <c r="H51" s="112">
        <v>12280.106507338431</v>
      </c>
      <c r="I51" s="112">
        <f t="shared" si="5"/>
        <v>98266.106507338438</v>
      </c>
      <c r="J51" s="103">
        <v>5.6674096539628023E-2</v>
      </c>
      <c r="K51" s="103">
        <v>9.7343515913326267E-2</v>
      </c>
      <c r="L51" s="103">
        <v>0.1449007929257865</v>
      </c>
      <c r="M51" s="103">
        <v>0.2124821865750722</v>
      </c>
      <c r="N51" s="103">
        <v>0.48859940804618701</v>
      </c>
      <c r="O51" s="113" t="s">
        <v>572</v>
      </c>
      <c r="P51" s="105" t="s">
        <v>578</v>
      </c>
    </row>
    <row r="52" spans="1:16" ht="28" x14ac:dyDescent="0.2">
      <c r="A52" s="110" t="s">
        <v>155</v>
      </c>
      <c r="B52" s="111">
        <f t="shared" si="0"/>
        <v>116371.49014848885</v>
      </c>
      <c r="C52" s="111">
        <f t="shared" si="1"/>
        <v>199850.37869880034</v>
      </c>
      <c r="D52" s="111">
        <f t="shared" si="2"/>
        <v>297479.4711219258</v>
      </c>
      <c r="E52" s="111">
        <f t="shared" si="3"/>
        <v>436207.01821336738</v>
      </c>
      <c r="F52" s="111">
        <f t="shared" si="4"/>
        <v>1003028.6418174176</v>
      </c>
      <c r="G52" s="111">
        <v>2052937</v>
      </c>
      <c r="H52" s="112">
        <v>0</v>
      </c>
      <c r="I52" s="112">
        <f t="shared" si="5"/>
        <v>2052937</v>
      </c>
      <c r="J52" s="103">
        <v>5.6685368400729713E-2</v>
      </c>
      <c r="K52" s="103">
        <v>9.7348520046548107E-2</v>
      </c>
      <c r="L52" s="103">
        <v>0.14490433516563139</v>
      </c>
      <c r="M52" s="103">
        <v>0.21247949557797799</v>
      </c>
      <c r="N52" s="103">
        <v>0.48858228080911281</v>
      </c>
      <c r="O52" s="113" t="s">
        <v>572</v>
      </c>
      <c r="P52" s="105" t="s">
        <v>579</v>
      </c>
    </row>
    <row r="53" spans="1:16" ht="28" x14ac:dyDescent="0.2">
      <c r="A53" s="110" t="s">
        <v>156</v>
      </c>
      <c r="B53" s="111">
        <f t="shared" si="0"/>
        <v>66322.350839980107</v>
      </c>
      <c r="C53" s="111">
        <f t="shared" si="1"/>
        <v>113897.39622022622</v>
      </c>
      <c r="D53" s="111">
        <f t="shared" si="2"/>
        <v>169538.06841204665</v>
      </c>
      <c r="E53" s="111">
        <f t="shared" si="3"/>
        <v>248601.67905270582</v>
      </c>
      <c r="F53" s="111">
        <f t="shared" si="4"/>
        <v>571642.50547504122</v>
      </c>
      <c r="G53" s="111">
        <v>1170002</v>
      </c>
      <c r="H53" s="112">
        <v>0</v>
      </c>
      <c r="I53" s="112">
        <f t="shared" si="5"/>
        <v>1170002</v>
      </c>
      <c r="J53" s="103">
        <v>5.668567305011453E-2</v>
      </c>
      <c r="K53" s="103">
        <v>9.7348035490730969E-2</v>
      </c>
      <c r="L53" s="103">
        <v>0.14490408427681889</v>
      </c>
      <c r="M53" s="103">
        <v>0.2124797043532454</v>
      </c>
      <c r="N53" s="103">
        <v>0.48858250282909022</v>
      </c>
      <c r="O53" s="113" t="s">
        <v>572</v>
      </c>
      <c r="P53" s="105" t="s">
        <v>580</v>
      </c>
    </row>
    <row r="54" spans="1:16" ht="28" x14ac:dyDescent="0.2">
      <c r="A54" s="110" t="s">
        <v>157</v>
      </c>
      <c r="B54" s="111">
        <f t="shared" si="0"/>
        <v>791158.93036679586</v>
      </c>
      <c r="C54" s="111">
        <f t="shared" si="1"/>
        <v>1358692.4147135855</v>
      </c>
      <c r="D54" s="111">
        <f t="shared" si="2"/>
        <v>2022425.5323286266</v>
      </c>
      <c r="E54" s="111">
        <f t="shared" si="3"/>
        <v>2965566.6061092196</v>
      </c>
      <c r="F54" s="111">
        <f t="shared" si="4"/>
        <v>6819121.5164817711</v>
      </c>
      <c r="G54" s="111">
        <v>13956965</v>
      </c>
      <c r="H54" s="112">
        <v>0</v>
      </c>
      <c r="I54" s="112">
        <f t="shared" si="5"/>
        <v>13956965</v>
      </c>
      <c r="J54" s="103">
        <v>5.6685599653420057E-2</v>
      </c>
      <c r="K54" s="103">
        <v>9.7348701147676839E-2</v>
      </c>
      <c r="L54" s="103">
        <v>0.1449043923466618</v>
      </c>
      <c r="M54" s="103">
        <v>0.21247933244148851</v>
      </c>
      <c r="N54" s="103">
        <v>0.48858197441075268</v>
      </c>
      <c r="O54" s="113" t="s">
        <v>572</v>
      </c>
      <c r="P54" s="105" t="s">
        <v>581</v>
      </c>
    </row>
    <row r="55" spans="1:16" ht="28" x14ac:dyDescent="0.2">
      <c r="A55" s="110" t="s">
        <v>158</v>
      </c>
      <c r="B55" s="111">
        <f t="shared" si="0"/>
        <v>110179.7935538688</v>
      </c>
      <c r="C55" s="111">
        <f t="shared" si="1"/>
        <v>189217.73135328345</v>
      </c>
      <c r="D55" s="111">
        <f t="shared" si="2"/>
        <v>281651.88643254712</v>
      </c>
      <c r="E55" s="111">
        <f t="shared" si="3"/>
        <v>412998.01030654396</v>
      </c>
      <c r="F55" s="111">
        <f t="shared" si="4"/>
        <v>949661.57835375669</v>
      </c>
      <c r="G55" s="111">
        <v>1943709</v>
      </c>
      <c r="H55" s="112">
        <v>0</v>
      </c>
      <c r="I55" s="112">
        <f t="shared" si="5"/>
        <v>1943709</v>
      </c>
      <c r="J55" s="103">
        <v>5.6685333840543417E-2</v>
      </c>
      <c r="K55" s="103">
        <v>9.7348796220670608E-2</v>
      </c>
      <c r="L55" s="103">
        <v>0.14490434855863049</v>
      </c>
      <c r="M55" s="103">
        <v>0.21247934248724679</v>
      </c>
      <c r="N55" s="103">
        <v>0.48858217889290873</v>
      </c>
      <c r="O55" s="113" t="s">
        <v>572</v>
      </c>
      <c r="P55" s="105" t="s">
        <v>582</v>
      </c>
    </row>
    <row r="56" spans="1:16" ht="28" x14ac:dyDescent="0.2">
      <c r="A56" s="110" t="s">
        <v>159</v>
      </c>
      <c r="B56" s="111">
        <f t="shared" si="0"/>
        <v>76841.480844108664</v>
      </c>
      <c r="C56" s="111">
        <f t="shared" si="1"/>
        <v>131963.99881661718</v>
      </c>
      <c r="D56" s="111">
        <f t="shared" si="2"/>
        <v>196428.81775810287</v>
      </c>
      <c r="E56" s="111">
        <f t="shared" si="3"/>
        <v>288032.74597753648</v>
      </c>
      <c r="F56" s="111">
        <f t="shared" si="4"/>
        <v>662311.95660363464</v>
      </c>
      <c r="G56" s="111">
        <v>1355579</v>
      </c>
      <c r="H56" s="112">
        <v>0</v>
      </c>
      <c r="I56" s="112">
        <f t="shared" si="5"/>
        <v>1355579</v>
      </c>
      <c r="J56" s="103">
        <v>5.668535794970906E-2</v>
      </c>
      <c r="K56" s="103">
        <v>9.7348807274690141E-2</v>
      </c>
      <c r="L56" s="103">
        <v>0.14490399877698229</v>
      </c>
      <c r="M56" s="103">
        <v>0.21247949841177571</v>
      </c>
      <c r="N56" s="103">
        <v>0.48858233758684272</v>
      </c>
      <c r="O56" s="113" t="s">
        <v>572</v>
      </c>
      <c r="P56" s="105" t="s">
        <v>583</v>
      </c>
    </row>
    <row r="57" spans="1:16" ht="28" x14ac:dyDescent="0.2">
      <c r="A57" s="110" t="s">
        <v>160</v>
      </c>
      <c r="B57" s="111">
        <f t="shared" si="0"/>
        <v>441324.03447176318</v>
      </c>
      <c r="C57" s="111">
        <f t="shared" si="1"/>
        <v>757899.58811685315</v>
      </c>
      <c r="D57" s="111">
        <f t="shared" si="2"/>
        <v>1128137.0223523665</v>
      </c>
      <c r="E57" s="111">
        <f t="shared" si="3"/>
        <v>1654226.2729954848</v>
      </c>
      <c r="F57" s="111">
        <f t="shared" si="4"/>
        <v>3803776.0820635324</v>
      </c>
      <c r="G57" s="111">
        <v>7785363</v>
      </c>
      <c r="H57" s="112">
        <v>0</v>
      </c>
      <c r="I57" s="112">
        <f t="shared" si="5"/>
        <v>7785363</v>
      </c>
      <c r="J57" s="103">
        <v>5.6686378589124641E-2</v>
      </c>
      <c r="K57" s="103">
        <v>9.7349293554694002E-2</v>
      </c>
      <c r="L57" s="103">
        <v>0.1449048711476095</v>
      </c>
      <c r="M57" s="103">
        <v>0.21247901645632769</v>
      </c>
      <c r="N57" s="103">
        <v>0.48858044025224417</v>
      </c>
      <c r="O57" s="113" t="s">
        <v>584</v>
      </c>
      <c r="P57" s="105" t="s">
        <v>585</v>
      </c>
    </row>
    <row r="58" spans="1:16" x14ac:dyDescent="0.2">
      <c r="A58" s="106" t="s">
        <v>161</v>
      </c>
      <c r="B58" s="107">
        <f t="shared" si="0"/>
        <v>3049594.2107018712</v>
      </c>
      <c r="C58" s="107">
        <f t="shared" si="1"/>
        <v>4689898.119464525</v>
      </c>
      <c r="D58" s="107">
        <f t="shared" si="2"/>
        <v>5617396.7544407081</v>
      </c>
      <c r="E58" s="107">
        <f t="shared" si="3"/>
        <v>9324198.7787628714</v>
      </c>
      <c r="F58" s="107">
        <f t="shared" si="4"/>
        <v>26262918.136630021</v>
      </c>
      <c r="G58" s="107">
        <v>48944006</v>
      </c>
      <c r="H58" s="108">
        <v>0</v>
      </c>
      <c r="I58" s="108">
        <f t="shared" si="5"/>
        <v>48944006</v>
      </c>
      <c r="J58" s="103">
        <v>6.2307817850093247E-2</v>
      </c>
      <c r="K58" s="103">
        <v>9.5821705306764732E-2</v>
      </c>
      <c r="L58" s="103">
        <v>0.11477190392712661</v>
      </c>
      <c r="M58" s="103">
        <v>0.1905074704911337</v>
      </c>
      <c r="N58" s="103">
        <v>0.53659110242488162</v>
      </c>
      <c r="O58" s="109" t="s">
        <v>586</v>
      </c>
      <c r="P58" s="105" t="s">
        <v>587</v>
      </c>
    </row>
    <row r="59" spans="1:16" x14ac:dyDescent="0.2">
      <c r="A59" s="106" t="s">
        <v>162</v>
      </c>
      <c r="B59" s="107">
        <f t="shared" si="0"/>
        <v>4040308.9476586543</v>
      </c>
      <c r="C59" s="107">
        <f t="shared" si="1"/>
        <v>7986942.1210538177</v>
      </c>
      <c r="D59" s="107">
        <f t="shared" si="2"/>
        <v>11430696.721770296</v>
      </c>
      <c r="E59" s="107">
        <f t="shared" si="3"/>
        <v>14994028.908476468</v>
      </c>
      <c r="F59" s="107">
        <f t="shared" si="4"/>
        <v>36922658.934075028</v>
      </c>
      <c r="G59" s="107">
        <v>68548644</v>
      </c>
      <c r="H59" s="108">
        <v>6825991.6330342731</v>
      </c>
      <c r="I59" s="108">
        <f t="shared" si="5"/>
        <v>75374635.633034274</v>
      </c>
      <c r="J59" s="103">
        <v>5.3603031228291832E-2</v>
      </c>
      <c r="K59" s="103">
        <v>0.1059632601070034</v>
      </c>
      <c r="L59" s="103">
        <v>0.1516517675444734</v>
      </c>
      <c r="M59" s="103">
        <v>0.1989267182859199</v>
      </c>
      <c r="N59" s="103">
        <v>0.48985522283431138</v>
      </c>
      <c r="O59" s="109" t="s">
        <v>588</v>
      </c>
      <c r="P59" s="105" t="s">
        <v>589</v>
      </c>
    </row>
    <row r="60" spans="1:16" x14ac:dyDescent="0.2">
      <c r="A60" s="106" t="s">
        <v>163</v>
      </c>
      <c r="B60" s="107">
        <f t="shared" si="0"/>
        <v>8777472.6572384294</v>
      </c>
      <c r="C60" s="107">
        <f t="shared" si="1"/>
        <v>12848017.032731077</v>
      </c>
      <c r="D60" s="107">
        <f t="shared" si="2"/>
        <v>16423670.541651919</v>
      </c>
      <c r="E60" s="107">
        <f t="shared" si="3"/>
        <v>27139814.879327554</v>
      </c>
      <c r="F60" s="107">
        <f t="shared" si="4"/>
        <v>62325070.146961093</v>
      </c>
      <c r="G60" s="107">
        <v>111898867</v>
      </c>
      <c r="H60" s="108">
        <v>15615178.257910075</v>
      </c>
      <c r="I60" s="108">
        <f t="shared" si="5"/>
        <v>127514045.25791007</v>
      </c>
      <c r="J60" s="103">
        <v>6.883533997753033E-2</v>
      </c>
      <c r="K60" s="103">
        <v>0.10075766168930381</v>
      </c>
      <c r="L60" s="103">
        <v>0.12879891394264359</v>
      </c>
      <c r="M60" s="103">
        <v>0.21283784719114299</v>
      </c>
      <c r="N60" s="103">
        <v>0.48877023719937929</v>
      </c>
      <c r="O60" s="109" t="s">
        <v>590</v>
      </c>
      <c r="P60" s="105" t="s">
        <v>591</v>
      </c>
    </row>
    <row r="61" spans="1:16" ht="28" x14ac:dyDescent="0.2">
      <c r="A61" s="110" t="s">
        <v>164</v>
      </c>
      <c r="B61" s="111">
        <f t="shared" si="0"/>
        <v>7856.6306231460958</v>
      </c>
      <c r="C61" s="111">
        <f t="shared" si="1"/>
        <v>11690.443860685809</v>
      </c>
      <c r="D61" s="111">
        <f t="shared" si="2"/>
        <v>14698.707207338974</v>
      </c>
      <c r="E61" s="111">
        <f t="shared" si="3"/>
        <v>19217.739496732451</v>
      </c>
      <c r="F61" s="111">
        <f t="shared" si="4"/>
        <v>54580.47881209667</v>
      </c>
      <c r="G61" s="111">
        <v>108044</v>
      </c>
      <c r="H61" s="112">
        <v>0</v>
      </c>
      <c r="I61" s="112">
        <f t="shared" si="5"/>
        <v>108044</v>
      </c>
      <c r="J61" s="103">
        <v>7.27169544180713E-2</v>
      </c>
      <c r="K61" s="103">
        <v>0.1082007687672227</v>
      </c>
      <c r="L61" s="103">
        <v>0.1360437155912311</v>
      </c>
      <c r="M61" s="103">
        <v>0.17786956699800499</v>
      </c>
      <c r="N61" s="103">
        <v>0.5051689942254699</v>
      </c>
      <c r="O61" s="113" t="s">
        <v>592</v>
      </c>
      <c r="P61" s="105" t="s">
        <v>593</v>
      </c>
    </row>
    <row r="62" spans="1:16" ht="28" x14ac:dyDescent="0.2">
      <c r="A62" s="110" t="s">
        <v>165</v>
      </c>
      <c r="B62" s="111">
        <f t="shared" si="0"/>
        <v>244.71525042205965</v>
      </c>
      <c r="C62" s="111">
        <f t="shared" si="1"/>
        <v>364.85968861376858</v>
      </c>
      <c r="D62" s="111">
        <f t="shared" si="2"/>
        <v>458.44588257362585</v>
      </c>
      <c r="E62" s="111">
        <f t="shared" si="3"/>
        <v>599.45751266178956</v>
      </c>
      <c r="F62" s="111">
        <f t="shared" si="4"/>
        <v>1703.5216657287565</v>
      </c>
      <c r="G62" s="111">
        <v>3371</v>
      </c>
      <c r="H62" s="112">
        <v>0</v>
      </c>
      <c r="I62" s="112">
        <f t="shared" si="5"/>
        <v>3371</v>
      </c>
      <c r="J62" s="103">
        <v>7.259425998874508E-2</v>
      </c>
      <c r="K62" s="103">
        <v>0.1082348527480773</v>
      </c>
      <c r="L62" s="103">
        <v>0.1359969986869255</v>
      </c>
      <c r="M62" s="103">
        <v>0.17782779966235229</v>
      </c>
      <c r="N62" s="103">
        <v>0.50534608891389987</v>
      </c>
      <c r="O62" s="113" t="s">
        <v>594</v>
      </c>
      <c r="P62" s="105" t="s">
        <v>595</v>
      </c>
    </row>
    <row r="63" spans="1:16" ht="28" x14ac:dyDescent="0.2">
      <c r="A63" s="110" t="s">
        <v>166</v>
      </c>
      <c r="B63" s="111">
        <f t="shared" si="0"/>
        <v>9653.7213490208014</v>
      </c>
      <c r="C63" s="111">
        <f t="shared" si="1"/>
        <v>14364.272127759865</v>
      </c>
      <c r="D63" s="111">
        <f t="shared" si="2"/>
        <v>18060.904032492304</v>
      </c>
      <c r="E63" s="111">
        <f t="shared" si="3"/>
        <v>23613.437317576027</v>
      </c>
      <c r="F63" s="111">
        <f t="shared" si="4"/>
        <v>67064.665173151006</v>
      </c>
      <c r="G63" s="111">
        <v>132757</v>
      </c>
      <c r="H63" s="112">
        <v>0</v>
      </c>
      <c r="I63" s="112">
        <f t="shared" si="5"/>
        <v>132757</v>
      </c>
      <c r="J63" s="103">
        <v>7.2717230345825848E-2</v>
      </c>
      <c r="K63" s="103">
        <v>0.1081997343097529</v>
      </c>
      <c r="L63" s="103">
        <v>0.13604483403882511</v>
      </c>
      <c r="M63" s="103">
        <v>0.1778696213199758</v>
      </c>
      <c r="N63" s="103">
        <v>0.50516857998562037</v>
      </c>
      <c r="O63" s="113" t="s">
        <v>594</v>
      </c>
      <c r="P63" s="105" t="s">
        <v>596</v>
      </c>
    </row>
    <row r="64" spans="1:16" ht="28" x14ac:dyDescent="0.2">
      <c r="A64" s="110" t="s">
        <v>167</v>
      </c>
      <c r="B64" s="111">
        <f t="shared" si="0"/>
        <v>1527263.1279780308</v>
      </c>
      <c r="C64" s="111">
        <f t="shared" si="1"/>
        <v>2272547.3523893808</v>
      </c>
      <c r="D64" s="111">
        <f t="shared" si="2"/>
        <v>2857325.9363962216</v>
      </c>
      <c r="E64" s="111">
        <f t="shared" si="3"/>
        <v>3735728.9574181046</v>
      </c>
      <c r="F64" s="111">
        <f t="shared" si="4"/>
        <v>10609804.62581826</v>
      </c>
      <c r="G64" s="111">
        <v>21002670</v>
      </c>
      <c r="H64" s="112">
        <v>0</v>
      </c>
      <c r="I64" s="112">
        <f t="shared" si="5"/>
        <v>21002670</v>
      </c>
      <c r="J64" s="103">
        <v>7.2717570098374679E-2</v>
      </c>
      <c r="K64" s="103">
        <v>0.1082027833789409</v>
      </c>
      <c r="L64" s="103">
        <v>0.13604584257126459</v>
      </c>
      <c r="M64" s="103">
        <v>0.17786924031173679</v>
      </c>
      <c r="N64" s="103">
        <v>0.50516456363968298</v>
      </c>
      <c r="O64" s="113" t="s">
        <v>594</v>
      </c>
      <c r="P64" s="105" t="s">
        <v>597</v>
      </c>
    </row>
    <row r="65" spans="1:16" ht="28" x14ac:dyDescent="0.2">
      <c r="A65" s="110" t="s">
        <v>168</v>
      </c>
      <c r="B65" s="111">
        <f t="shared" si="0"/>
        <v>926270.5738611765</v>
      </c>
      <c r="C65" s="111">
        <f t="shared" si="1"/>
        <v>1378278.5245335079</v>
      </c>
      <c r="D65" s="111">
        <f t="shared" si="2"/>
        <v>1732941.6703750594</v>
      </c>
      <c r="E65" s="111">
        <f t="shared" si="3"/>
        <v>2265684.115114056</v>
      </c>
      <c r="F65" s="111">
        <f t="shared" si="4"/>
        <v>6434747.4085799903</v>
      </c>
      <c r="G65" s="111">
        <v>1694882</v>
      </c>
      <c r="H65" s="112">
        <v>11043040.292463791</v>
      </c>
      <c r="I65" s="112">
        <f t="shared" si="5"/>
        <v>12737922.292463791</v>
      </c>
      <c r="J65" s="103">
        <v>7.271755570444885E-2</v>
      </c>
      <c r="K65" s="103">
        <v>0.1082027738031458</v>
      </c>
      <c r="L65" s="103">
        <v>0.1360458660829113</v>
      </c>
      <c r="M65" s="103">
        <v>0.1778692052827576</v>
      </c>
      <c r="N65" s="103">
        <v>0.50516459912673639</v>
      </c>
      <c r="O65" s="113" t="s">
        <v>594</v>
      </c>
      <c r="P65" s="105" t="s">
        <v>598</v>
      </c>
    </row>
    <row r="66" spans="1:16" ht="28" x14ac:dyDescent="0.2">
      <c r="A66" s="110" t="s">
        <v>169</v>
      </c>
      <c r="B66" s="111">
        <f t="shared" si="0"/>
        <v>681995.48428146401</v>
      </c>
      <c r="C66" s="111">
        <f t="shared" si="1"/>
        <v>1014800.817990172</v>
      </c>
      <c r="D66" s="111">
        <f t="shared" si="2"/>
        <v>1275932.290019016</v>
      </c>
      <c r="E66" s="111">
        <f t="shared" si="3"/>
        <v>1668180.8575956589</v>
      </c>
      <c r="F66" s="111">
        <f t="shared" si="4"/>
        <v>4737783.5501136901</v>
      </c>
      <c r="G66" s="111">
        <v>9378693</v>
      </c>
      <c r="H66" s="112">
        <v>0</v>
      </c>
      <c r="I66" s="112">
        <f t="shared" si="5"/>
        <v>9378693</v>
      </c>
      <c r="J66" s="103">
        <v>7.2717540096627967E-2</v>
      </c>
      <c r="K66" s="103">
        <v>0.10820279733969029</v>
      </c>
      <c r="L66" s="103">
        <v>0.13604585308624731</v>
      </c>
      <c r="M66" s="103">
        <v>0.17786922523166701</v>
      </c>
      <c r="N66" s="103">
        <v>0.50516458424576749</v>
      </c>
      <c r="O66" s="113" t="s">
        <v>594</v>
      </c>
      <c r="P66" s="105" t="s">
        <v>599</v>
      </c>
    </row>
    <row r="67" spans="1:16" ht="28" x14ac:dyDescent="0.2">
      <c r="A67" s="110" t="s">
        <v>170</v>
      </c>
      <c r="B67" s="111">
        <f>I67*J67</f>
        <v>805579.93594107754</v>
      </c>
      <c r="C67" s="111">
        <f>I67*K67</f>
        <v>1198692.4114259738</v>
      </c>
      <c r="D67" s="111">
        <f>I67*L67</f>
        <v>1507143.3346605815</v>
      </c>
      <c r="E67" s="111">
        <f>I67*M67</f>
        <v>1970471.2174269466</v>
      </c>
      <c r="F67" s="111">
        <f>I67*N67</f>
        <v>5596315.0433869185</v>
      </c>
      <c r="G67" s="111">
        <v>11063471</v>
      </c>
      <c r="H67" s="112">
        <v>14730.94284149829</v>
      </c>
      <c r="I67" s="112">
        <f>SUM(G67:H67)</f>
        <v>11078201.942841498</v>
      </c>
      <c r="J67" s="103">
        <v>7.2717570964810435E-2</v>
      </c>
      <c r="K67" s="103">
        <v>0.1082027947866164</v>
      </c>
      <c r="L67" s="103">
        <v>0.13604584412134371</v>
      </c>
      <c r="M67" s="103">
        <v>0.1778692271176934</v>
      </c>
      <c r="N67" s="103">
        <v>0.50516456300953605</v>
      </c>
      <c r="O67" s="113" t="s">
        <v>594</v>
      </c>
      <c r="P67" s="105" t="s">
        <v>600</v>
      </c>
    </row>
    <row r="68" spans="1:16" ht="28" x14ac:dyDescent="0.2">
      <c r="A68" s="110" t="s">
        <v>171</v>
      </c>
      <c r="B68" s="111">
        <f>I68*J68</f>
        <v>125885.30630084213</v>
      </c>
      <c r="C68" s="111">
        <f>I68*K68</f>
        <v>187311.72193758591</v>
      </c>
      <c r="D68" s="111">
        <f>I68*L68</f>
        <v>235510.79543674318</v>
      </c>
      <c r="E68" s="111">
        <f>I68*M68</f>
        <v>307910.31231427094</v>
      </c>
      <c r="F68" s="111">
        <f>I68*N68</f>
        <v>874485.86401055788</v>
      </c>
      <c r="G68" s="111">
        <v>1731104</v>
      </c>
      <c r="H68" s="112">
        <v>0</v>
      </c>
      <c r="I68" s="112">
        <f>SUM(G68:H68)</f>
        <v>1731104</v>
      </c>
      <c r="J68" s="103">
        <v>7.2719666929798629E-2</v>
      </c>
      <c r="K68" s="103">
        <v>0.1082036214679106</v>
      </c>
      <c r="L68" s="103">
        <v>0.13604658959643279</v>
      </c>
      <c r="M68" s="103">
        <v>0.1778693321223167</v>
      </c>
      <c r="N68" s="103">
        <v>0.50516078988354129</v>
      </c>
      <c r="O68" s="113" t="s">
        <v>601</v>
      </c>
      <c r="P68" s="105" t="s">
        <v>602</v>
      </c>
    </row>
    <row r="69" spans="1:16" x14ac:dyDescent="0.2">
      <c r="A69" s="115" t="s">
        <v>603</v>
      </c>
      <c r="B69" s="116">
        <f>SUM(B2:B68)</f>
        <v>210723234.01233107</v>
      </c>
      <c r="C69" s="116">
        <f>SUM(C2:C68)</f>
        <v>305210232.22971833</v>
      </c>
      <c r="D69" s="116">
        <f>SUM(D2:D68)</f>
        <v>387820239.80992258</v>
      </c>
      <c r="E69" s="116">
        <f>SUM(E2:E68)</f>
        <v>535799894.3987819</v>
      </c>
      <c r="F69" s="116">
        <f>SUM(F2:F68)</f>
        <v>1280405820.6923895</v>
      </c>
      <c r="G69" s="116">
        <v>2685920281</v>
      </c>
      <c r="H69" s="117">
        <v>34039140.143143937</v>
      </c>
      <c r="I69" s="117">
        <f>SUM(G69:H69)</f>
        <v>2719959421.1431441</v>
      </c>
      <c r="J69" s="118"/>
      <c r="K69" s="118"/>
      <c r="L69" s="118"/>
      <c r="M69" s="118"/>
      <c r="N69" s="118"/>
      <c r="O69" s="119" t="s">
        <v>604</v>
      </c>
      <c r="P69" s="118"/>
    </row>
    <row r="70" spans="1:16" x14ac:dyDescent="0.2">
      <c r="B70" s="81"/>
      <c r="C70" s="81"/>
      <c r="D70" s="81"/>
      <c r="E70" s="81"/>
      <c r="F70" s="81"/>
      <c r="G70" s="81"/>
      <c r="H70" s="120"/>
      <c r="I70" s="120"/>
    </row>
    <row r="71" spans="1:16" ht="71" x14ac:dyDescent="0.2">
      <c r="A71" s="121" t="s">
        <v>1203</v>
      </c>
      <c r="B71" s="122" t="s">
        <v>605</v>
      </c>
      <c r="C71" s="123" t="s">
        <v>606</v>
      </c>
      <c r="D71" s="124" t="s">
        <v>607</v>
      </c>
      <c r="E71" s="125" t="s">
        <v>608</v>
      </c>
      <c r="F71" s="83"/>
      <c r="G71" s="83"/>
      <c r="H71" s="126"/>
      <c r="I71" s="126"/>
    </row>
    <row r="74" spans="1:16" ht="16" x14ac:dyDescent="0.2">
      <c r="A74" s="127" t="s">
        <v>609</v>
      </c>
    </row>
    <row r="76" spans="1:16" s="129" customFormat="1" ht="16" x14ac:dyDescent="0.2">
      <c r="A76" s="128" t="s">
        <v>610</v>
      </c>
      <c r="H76" s="130"/>
      <c r="I76" s="130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C66E3-EF7D-EF45-A9A8-BA8B2BC62A79}">
  <sheetPr>
    <tabColor theme="5" tint="0.59999389629810485"/>
  </sheetPr>
  <dimension ref="A1:K10"/>
  <sheetViews>
    <sheetView zoomScale="125" workbookViewId="0">
      <selection activeCell="F7" sqref="F7"/>
    </sheetView>
  </sheetViews>
  <sheetFormatPr baseColWidth="10" defaultRowHeight="16" x14ac:dyDescent="0.2"/>
  <cols>
    <col min="1" max="1" width="13.5" style="129" customWidth="1"/>
    <col min="2" max="2" width="15.33203125" style="129" customWidth="1"/>
    <col min="3" max="3" width="16.1640625" style="129" customWidth="1"/>
    <col min="4" max="4" width="17.83203125" style="129" customWidth="1"/>
    <col min="5" max="5" width="17.33203125" style="129" customWidth="1"/>
    <col min="6" max="6" width="13" style="129" customWidth="1"/>
    <col min="7" max="16384" width="10.83203125" style="129"/>
  </cols>
  <sheetData>
    <row r="1" spans="1:11" s="133" customFormat="1" x14ac:dyDescent="0.2">
      <c r="A1" s="131" t="s">
        <v>611</v>
      </c>
      <c r="B1" s="131" t="s">
        <v>612</v>
      </c>
      <c r="C1" s="131" t="s">
        <v>613</v>
      </c>
      <c r="D1" s="131" t="s">
        <v>614</v>
      </c>
      <c r="E1" s="131" t="s">
        <v>615</v>
      </c>
      <c r="F1" s="132" t="s">
        <v>603</v>
      </c>
      <c r="G1" s="132"/>
      <c r="H1" s="132"/>
      <c r="I1" s="132"/>
      <c r="J1" s="132"/>
      <c r="K1" s="132"/>
    </row>
    <row r="2" spans="1:11" x14ac:dyDescent="0.2">
      <c r="A2" s="129">
        <f>20%*F2</f>
        <v>20328.917800000003</v>
      </c>
      <c r="B2" s="129">
        <f>20%*F2</f>
        <v>20328.917800000003</v>
      </c>
      <c r="C2" s="129">
        <v>20328.917800000003</v>
      </c>
      <c r="D2" s="129">
        <v>20328.917799999999</v>
      </c>
      <c r="E2" s="129">
        <v>20328.917799999999</v>
      </c>
      <c r="F2" s="129">
        <f>101644589/1000</f>
        <v>101644.58900000001</v>
      </c>
    </row>
    <row r="5" spans="1:11" s="127" customFormat="1" x14ac:dyDescent="0.2">
      <c r="A5" s="600" t="s">
        <v>616</v>
      </c>
      <c r="B5" s="600"/>
      <c r="C5" s="600"/>
    </row>
    <row r="6" spans="1:11" s="134" customFormat="1" x14ac:dyDescent="0.2"/>
    <row r="7" spans="1:11" x14ac:dyDescent="0.2">
      <c r="A7" s="129" t="s">
        <v>617</v>
      </c>
    </row>
    <row r="8" spans="1:11" x14ac:dyDescent="0.2">
      <c r="A8" s="135"/>
      <c r="B8" s="135"/>
    </row>
    <row r="9" spans="1:11" x14ac:dyDescent="0.2">
      <c r="A9" s="136">
        <v>2016</v>
      </c>
      <c r="B9" s="136">
        <v>101644589</v>
      </c>
    </row>
    <row r="10" spans="1:11" x14ac:dyDescent="0.2">
      <c r="A10" s="136">
        <v>2017</v>
      </c>
      <c r="B10" s="136">
        <v>103696057</v>
      </c>
    </row>
  </sheetData>
  <mergeCells count="1">
    <mergeCell ref="A5:C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23C87-1D9F-AA4A-B83D-BDB429AD3F95}">
  <sheetPr>
    <tabColor theme="5" tint="0.59999389629810485"/>
  </sheetPr>
  <dimension ref="A1:BS110"/>
  <sheetViews>
    <sheetView zoomScale="106" workbookViewId="0">
      <selection activeCell="E99" sqref="E99"/>
    </sheetView>
  </sheetViews>
  <sheetFormatPr baseColWidth="10" defaultColWidth="8.83203125" defaultRowHeight="16" x14ac:dyDescent="0.2"/>
  <cols>
    <col min="1" max="1" width="56.1640625" style="129" customWidth="1"/>
    <col min="2" max="5" width="18" style="129" customWidth="1"/>
    <col min="6" max="6" width="19.33203125" style="129" customWidth="1"/>
    <col min="7" max="7" width="18" style="153" customWidth="1"/>
    <col min="8" max="8" width="13.33203125" style="129" customWidth="1"/>
    <col min="9" max="9" width="12.6640625" style="129" bestFit="1" customWidth="1"/>
    <col min="10" max="10" width="13.1640625" style="129" customWidth="1"/>
    <col min="11" max="11" width="13.6640625" style="129" bestFit="1" customWidth="1"/>
    <col min="12" max="12" width="11.33203125" style="129" customWidth="1"/>
    <col min="13" max="13" width="11.5" style="129" bestFit="1" customWidth="1"/>
    <col min="14" max="14" width="9" style="129" bestFit="1" customWidth="1"/>
    <col min="15" max="15" width="10.1640625" style="129" customWidth="1"/>
    <col min="16" max="29" width="9" style="129" bestFit="1" customWidth="1"/>
    <col min="30" max="30" width="9.83203125" style="129" bestFit="1" customWidth="1"/>
    <col min="31" max="31" width="9" style="129" bestFit="1" customWidth="1"/>
    <col min="32" max="34" width="9.83203125" style="129" bestFit="1" customWidth="1"/>
    <col min="35" max="35" width="8.83203125" style="129" bestFit="1" customWidth="1"/>
    <col min="36" max="39" width="9" style="129" bestFit="1" customWidth="1"/>
    <col min="40" max="40" width="10.1640625" style="129" customWidth="1"/>
    <col min="41" max="41" width="10" style="129" customWidth="1"/>
    <col min="42" max="57" width="9" style="129" bestFit="1" customWidth="1"/>
    <col min="58" max="59" width="11" style="129" bestFit="1" customWidth="1"/>
    <col min="60" max="60" width="9.83203125" style="129" bestFit="1" customWidth="1"/>
    <col min="61" max="63" width="9" style="129" bestFit="1" customWidth="1"/>
    <col min="64" max="64" width="9.83203125" style="129" bestFit="1" customWidth="1"/>
    <col min="65" max="68" width="9" style="129" bestFit="1" customWidth="1"/>
    <col min="69" max="69" width="11" style="129" bestFit="1" customWidth="1"/>
    <col min="70" max="16384" width="8.83203125" style="129"/>
  </cols>
  <sheetData>
    <row r="1" spans="1:13" s="138" customFormat="1" ht="28" customHeight="1" x14ac:dyDescent="0.2">
      <c r="A1" s="137" t="s">
        <v>466</v>
      </c>
      <c r="B1" s="137" t="s">
        <v>467</v>
      </c>
      <c r="C1" s="137" t="s">
        <v>468</v>
      </c>
      <c r="D1" s="137" t="s">
        <v>469</v>
      </c>
      <c r="E1" s="137" t="s">
        <v>470</v>
      </c>
      <c r="F1" s="137" t="s">
        <v>471</v>
      </c>
      <c r="G1" s="137" t="s">
        <v>618</v>
      </c>
      <c r="H1" s="137" t="s">
        <v>475</v>
      </c>
      <c r="I1" s="137" t="s">
        <v>476</v>
      </c>
      <c r="J1" s="137" t="s">
        <v>477</v>
      </c>
      <c r="K1" s="137" t="s">
        <v>478</v>
      </c>
      <c r="L1" s="137" t="s">
        <v>479</v>
      </c>
    </row>
    <row r="2" spans="1:13" s="142" customFormat="1" x14ac:dyDescent="0.2">
      <c r="A2" s="139" t="s">
        <v>105</v>
      </c>
      <c r="B2" s="139">
        <f>G2*H2</f>
        <v>8176126.2320275288</v>
      </c>
      <c r="C2" s="139">
        <f>G2*I2</f>
        <v>11279733.975354427</v>
      </c>
      <c r="D2" s="139">
        <f>G2*J2</f>
        <v>13937679.79827325</v>
      </c>
      <c r="E2" s="139">
        <f>G2*K2</f>
        <v>17124223.9413913</v>
      </c>
      <c r="F2" s="139">
        <f>G2*L2</f>
        <v>29958392.118358783</v>
      </c>
      <c r="G2" s="140">
        <v>80476156.065405294</v>
      </c>
      <c r="H2" s="141">
        <v>0.10159687827761747</v>
      </c>
      <c r="I2" s="141">
        <v>0.14016243477368703</v>
      </c>
      <c r="J2" s="141">
        <v>0.17319017805653758</v>
      </c>
      <c r="K2" s="141">
        <v>0.21278630564156106</v>
      </c>
      <c r="L2" s="141">
        <v>0.37226420325059678</v>
      </c>
    </row>
    <row r="3" spans="1:13" s="142" customFormat="1" x14ac:dyDescent="0.2">
      <c r="A3" s="139" t="s">
        <v>106</v>
      </c>
      <c r="B3" s="139">
        <f t="shared" ref="B3:B66" si="0">G3*H3</f>
        <v>825570.31023490487</v>
      </c>
      <c r="C3" s="139">
        <f t="shared" ref="C3:C66" si="1">G3*I3</f>
        <v>1138951.7741204558</v>
      </c>
      <c r="D3" s="139">
        <f t="shared" ref="D3:D66" si="2">G3*J3</f>
        <v>1407333.2906654261</v>
      </c>
      <c r="E3" s="139">
        <f t="shared" ref="E3:E66" si="3">G3*K3</f>
        <v>1729089.1151420765</v>
      </c>
      <c r="F3" s="139">
        <f t="shared" ref="F3:F66" si="4">G3*L3</f>
        <v>3024997.2142564538</v>
      </c>
      <c r="G3" s="143">
        <v>8125941.7044193177</v>
      </c>
      <c r="H3" s="141">
        <v>0.10159687827761747</v>
      </c>
      <c r="I3" s="141">
        <v>0.14016243477368703</v>
      </c>
      <c r="J3" s="141">
        <v>0.17319017805653758</v>
      </c>
      <c r="K3" s="141">
        <v>0.21278630564156106</v>
      </c>
      <c r="L3" s="141">
        <v>0.37226420325059678</v>
      </c>
    </row>
    <row r="4" spans="1:13" s="142" customFormat="1" x14ac:dyDescent="0.2">
      <c r="A4" s="139" t="s">
        <v>107</v>
      </c>
      <c r="B4" s="139">
        <f t="shared" si="0"/>
        <v>692372.93252230517</v>
      </c>
      <c r="C4" s="139">
        <f t="shared" si="1"/>
        <v>955193.48270274221</v>
      </c>
      <c r="D4" s="139">
        <f t="shared" si="2"/>
        <v>1180274.3696258101</v>
      </c>
      <c r="E4" s="139">
        <f t="shared" si="3"/>
        <v>1450118.1624405528</v>
      </c>
      <c r="F4" s="139">
        <f t="shared" si="4"/>
        <v>2536944.6625455851</v>
      </c>
      <c r="G4" s="144">
        <v>6814903.6098369956</v>
      </c>
      <c r="H4" s="141">
        <v>0.10159687827761747</v>
      </c>
      <c r="I4" s="141">
        <v>0.14016243477368703</v>
      </c>
      <c r="J4" s="141">
        <v>0.17319017805653758</v>
      </c>
      <c r="K4" s="141">
        <v>0.21278630564156106</v>
      </c>
      <c r="L4" s="141">
        <v>0.37226420325059678</v>
      </c>
    </row>
    <row r="5" spans="1:13" s="142" customFormat="1" x14ac:dyDescent="0.2">
      <c r="A5" s="139" t="s">
        <v>488</v>
      </c>
      <c r="B5" s="139">
        <f t="shared" si="0"/>
        <v>894485.69371070177</v>
      </c>
      <c r="C5" s="139">
        <f t="shared" si="1"/>
        <v>1234027.0176228739</v>
      </c>
      <c r="D5" s="139">
        <f t="shared" si="2"/>
        <v>1524811.9744335797</v>
      </c>
      <c r="E5" s="139">
        <f t="shared" si="3"/>
        <v>1873426.7178351008</v>
      </c>
      <c r="F5" s="139">
        <f t="shared" si="4"/>
        <v>3277512.1611352772</v>
      </c>
      <c r="G5" s="143">
        <v>8804263.5647375342</v>
      </c>
      <c r="H5" s="141">
        <v>0.10159687827761747</v>
      </c>
      <c r="I5" s="141">
        <v>0.14016243477368703</v>
      </c>
      <c r="J5" s="141">
        <v>0.17319017805653758</v>
      </c>
      <c r="K5" s="141">
        <v>0.21278630564156106</v>
      </c>
      <c r="L5" s="141">
        <v>0.37226420325059678</v>
      </c>
    </row>
    <row r="6" spans="1:13" s="142" customFormat="1" x14ac:dyDescent="0.2">
      <c r="A6" s="139" t="s">
        <v>109</v>
      </c>
      <c r="B6" s="139">
        <f t="shared" si="0"/>
        <v>1199991.2823790496</v>
      </c>
      <c r="C6" s="139">
        <f t="shared" si="1"/>
        <v>1655500.6679029199</v>
      </c>
      <c r="D6" s="145">
        <f t="shared" si="2"/>
        <v>2045601.2761890851</v>
      </c>
      <c r="E6" s="139">
        <f t="shared" si="3"/>
        <v>2513283.0467663305</v>
      </c>
      <c r="F6" s="139">
        <f t="shared" si="4"/>
        <v>4396924.4549211236</v>
      </c>
      <c r="G6" s="143">
        <v>11811300.728158515</v>
      </c>
      <c r="H6" s="141">
        <v>0.101596878277617</v>
      </c>
      <c r="I6" s="141">
        <v>0.14016243477368703</v>
      </c>
      <c r="J6" s="141">
        <v>0.17319017805653758</v>
      </c>
      <c r="K6" s="141">
        <v>0.21278630564156106</v>
      </c>
      <c r="L6" s="141">
        <v>0.37226420325059678</v>
      </c>
    </row>
    <row r="7" spans="1:13" s="142" customFormat="1" x14ac:dyDescent="0.2">
      <c r="A7" s="139" t="s">
        <v>110</v>
      </c>
      <c r="B7" s="139">
        <f t="shared" si="0"/>
        <v>194532.77840414041</v>
      </c>
      <c r="C7" s="139">
        <f t="shared" si="1"/>
        <v>268376.23681614024</v>
      </c>
      <c r="D7" s="139">
        <f t="shared" si="2"/>
        <v>331616.1588900754</v>
      </c>
      <c r="E7" s="139">
        <f t="shared" si="3"/>
        <v>407432.9048742521</v>
      </c>
      <c r="F7" s="139">
        <f t="shared" si="4"/>
        <v>712793.45376004872</v>
      </c>
      <c r="G7" s="143">
        <v>1914751.532744657</v>
      </c>
      <c r="H7" s="141">
        <v>0.10159687827761747</v>
      </c>
      <c r="I7" s="141">
        <v>0.14016243477368703</v>
      </c>
      <c r="J7" s="141">
        <v>0.17319017805653758</v>
      </c>
      <c r="K7" s="141">
        <v>0.21278630564156106</v>
      </c>
      <c r="L7" s="141">
        <v>0.37226420325059678</v>
      </c>
    </row>
    <row r="8" spans="1:13" s="142" customFormat="1" x14ac:dyDescent="0.2">
      <c r="A8" s="139" t="s">
        <v>111</v>
      </c>
      <c r="B8" s="139">
        <f t="shared" si="0"/>
        <v>194868.62467691902</v>
      </c>
      <c r="C8" s="139">
        <f t="shared" si="1"/>
        <v>268839.56828951184</v>
      </c>
      <c r="D8" s="139">
        <f t="shared" si="2"/>
        <v>332188.66935268248</v>
      </c>
      <c r="E8" s="139">
        <f t="shared" si="3"/>
        <v>408136.30727066012</v>
      </c>
      <c r="F8" s="139">
        <f t="shared" si="4"/>
        <v>714024.03827475186</v>
      </c>
      <c r="G8" s="143">
        <v>1918057.2078645255</v>
      </c>
      <c r="H8" s="141">
        <v>0.10159687827761747</v>
      </c>
      <c r="I8" s="141">
        <v>0.14016243477368703</v>
      </c>
      <c r="J8" s="141">
        <v>0.17319017805653758</v>
      </c>
      <c r="K8" s="141">
        <v>0.21278630564156106</v>
      </c>
      <c r="L8" s="141">
        <v>0.37226420325059678</v>
      </c>
    </row>
    <row r="9" spans="1:13" s="142" customFormat="1" x14ac:dyDescent="0.2">
      <c r="A9" s="139" t="s">
        <v>112</v>
      </c>
      <c r="B9" s="139">
        <f t="shared" si="0"/>
        <v>627176.45486222336</v>
      </c>
      <c r="C9" s="139">
        <f t="shared" si="1"/>
        <v>865248.81902385282</v>
      </c>
      <c r="D9" s="139">
        <f t="shared" si="2"/>
        <v>1069135.2306479914</v>
      </c>
      <c r="E9" s="139">
        <f t="shared" si="3"/>
        <v>1313569.5021143656</v>
      </c>
      <c r="F9" s="139">
        <f t="shared" si="4"/>
        <v>2298056.2712649386</v>
      </c>
      <c r="G9" s="143">
        <v>6173186.277913372</v>
      </c>
      <c r="H9" s="141">
        <v>0.10159687827761747</v>
      </c>
      <c r="I9" s="141">
        <v>0.14016243477368703</v>
      </c>
      <c r="J9" s="141">
        <v>0.17319017805653758</v>
      </c>
      <c r="K9" s="141">
        <v>0.21278630564156106</v>
      </c>
      <c r="L9" s="141">
        <v>0.37226420325059678</v>
      </c>
    </row>
    <row r="10" spans="1:13" s="142" customFormat="1" x14ac:dyDescent="0.2">
      <c r="A10" s="139" t="s">
        <v>113</v>
      </c>
      <c r="B10" s="139">
        <f t="shared" si="0"/>
        <v>217499.40621627338</v>
      </c>
      <c r="C10" s="139">
        <f t="shared" si="1"/>
        <v>300060.85673028202</v>
      </c>
      <c r="D10" s="139">
        <f t="shared" si="2"/>
        <v>370766.9126098167</v>
      </c>
      <c r="E10" s="139">
        <f t="shared" si="3"/>
        <v>455534.61791935796</v>
      </c>
      <c r="F10" s="139">
        <f t="shared" si="4"/>
        <v>796946.17133149237</v>
      </c>
      <c r="G10" s="143">
        <v>2140807.9648072226</v>
      </c>
      <c r="H10" s="141">
        <v>0.10159687827761747</v>
      </c>
      <c r="I10" s="141">
        <v>0.14016243477368703</v>
      </c>
      <c r="J10" s="141">
        <v>0.17319017805653758</v>
      </c>
      <c r="K10" s="141">
        <v>0.21278630564156106</v>
      </c>
      <c r="L10" s="141">
        <v>0.37226420325059678</v>
      </c>
    </row>
    <row r="11" spans="1:13" s="142" customFormat="1" x14ac:dyDescent="0.2">
      <c r="A11" s="139" t="s">
        <v>114</v>
      </c>
      <c r="B11" s="139">
        <f t="shared" si="0"/>
        <v>7572.2190753172463</v>
      </c>
      <c r="C11" s="139">
        <f t="shared" si="1"/>
        <v>10446.587338402929</v>
      </c>
      <c r="D11" s="139">
        <f t="shared" si="2"/>
        <v>12908.211277454404</v>
      </c>
      <c r="E11" s="139">
        <f t="shared" si="3"/>
        <v>15859.39007045542</v>
      </c>
      <c r="F11" s="139">
        <f t="shared" si="4"/>
        <v>27745.597588237728</v>
      </c>
      <c r="G11" s="143">
        <v>74532.00534986773</v>
      </c>
      <c r="H11" s="141">
        <v>0.10159687827761747</v>
      </c>
      <c r="I11" s="141">
        <v>0.14016243477368703</v>
      </c>
      <c r="J11" s="141">
        <v>0.17319017805653758</v>
      </c>
      <c r="K11" s="141">
        <v>0.21278630564156106</v>
      </c>
      <c r="L11" s="141">
        <v>0.37226420325059678</v>
      </c>
    </row>
    <row r="12" spans="1:13" s="142" customFormat="1" x14ac:dyDescent="0.2">
      <c r="A12" s="139" t="s">
        <v>115</v>
      </c>
      <c r="B12" s="139">
        <f t="shared" si="0"/>
        <v>12784.314586650811</v>
      </c>
      <c r="C12" s="139">
        <f t="shared" si="1"/>
        <v>17637.162575816114</v>
      </c>
      <c r="D12" s="139">
        <f t="shared" si="2"/>
        <v>21793.166848519504</v>
      </c>
      <c r="E12" s="139">
        <f t="shared" si="3"/>
        <v>26775.695446267018</v>
      </c>
      <c r="F12" s="139">
        <f t="shared" si="4"/>
        <v>46843.394840341469</v>
      </c>
      <c r="G12" s="140">
        <v>125833.73429759493</v>
      </c>
      <c r="H12" s="141">
        <v>0.10159687827761747</v>
      </c>
      <c r="I12" s="141">
        <v>0.14016243477368703</v>
      </c>
      <c r="J12" s="141">
        <v>0.17319017805653758</v>
      </c>
      <c r="K12" s="141">
        <v>0.21278630564156106</v>
      </c>
      <c r="L12" s="141">
        <v>0.37226420325059678</v>
      </c>
    </row>
    <row r="13" spans="1:13" s="142" customFormat="1" x14ac:dyDescent="0.2">
      <c r="A13" s="139" t="s">
        <v>116</v>
      </c>
      <c r="B13" s="139">
        <f t="shared" si="0"/>
        <v>159451.76194605132</v>
      </c>
      <c r="C13" s="139">
        <f t="shared" si="1"/>
        <v>219978.68007561183</v>
      </c>
      <c r="D13" s="139">
        <f t="shared" si="2"/>
        <v>271814.24775085005</v>
      </c>
      <c r="E13" s="139">
        <f t="shared" si="3"/>
        <v>333958.60116710642</v>
      </c>
      <c r="F13" s="139">
        <f t="shared" si="4"/>
        <v>584252.0373072098</v>
      </c>
      <c r="G13" s="143">
        <v>1569455.3282468296</v>
      </c>
      <c r="H13" s="141">
        <v>0.10159687827761747</v>
      </c>
      <c r="I13" s="141">
        <v>0.14016243477368703</v>
      </c>
      <c r="J13" s="141">
        <v>0.17319017805653758</v>
      </c>
      <c r="K13" s="141">
        <v>0.21278630564156106</v>
      </c>
      <c r="L13" s="141">
        <v>0.37226420325059678</v>
      </c>
    </row>
    <row r="14" spans="1:13" s="142" customFormat="1" x14ac:dyDescent="0.2">
      <c r="A14" s="139" t="s">
        <v>117</v>
      </c>
      <c r="B14" s="139">
        <f t="shared" si="0"/>
        <v>119361.44630276252</v>
      </c>
      <c r="C14" s="139">
        <f t="shared" si="1"/>
        <v>164670.32467462771</v>
      </c>
      <c r="D14" s="139">
        <f t="shared" si="2"/>
        <v>203473.08390493659</v>
      </c>
      <c r="E14" s="139">
        <f t="shared" si="3"/>
        <v>249992.73231010165</v>
      </c>
      <c r="F14" s="139">
        <f t="shared" si="4"/>
        <v>437355.89577190694</v>
      </c>
      <c r="G14" s="143">
        <v>1174853.4829643355</v>
      </c>
      <c r="H14" s="141">
        <v>0.10159687827761747</v>
      </c>
      <c r="I14" s="141">
        <v>0.14016243477368703</v>
      </c>
      <c r="J14" s="141">
        <v>0.17319017805653758</v>
      </c>
      <c r="K14" s="141">
        <v>0.21278630564156106</v>
      </c>
      <c r="L14" s="141">
        <v>0.37226420325059678</v>
      </c>
    </row>
    <row r="15" spans="1:13" s="142" customFormat="1" x14ac:dyDescent="0.2">
      <c r="A15" s="146" t="s">
        <v>118</v>
      </c>
      <c r="B15" s="146">
        <f t="shared" si="0"/>
        <v>1106620.0241226556</v>
      </c>
      <c r="C15" s="146">
        <f t="shared" si="1"/>
        <v>1526686.2484348477</v>
      </c>
      <c r="D15" s="146">
        <f t="shared" si="2"/>
        <v>1886433.1490090261</v>
      </c>
      <c r="E15" s="146">
        <f t="shared" si="3"/>
        <v>2317724.6257369663</v>
      </c>
      <c r="F15" s="146">
        <f>G15*L15</f>
        <v>4054799.9954830627</v>
      </c>
      <c r="G15" s="147">
        <v>10892264.042786559</v>
      </c>
      <c r="H15" s="141">
        <v>0.10159687827761747</v>
      </c>
      <c r="I15" s="141">
        <v>0.14016243477368703</v>
      </c>
      <c r="J15" s="141">
        <v>0.17319017805653758</v>
      </c>
      <c r="K15" s="141">
        <v>0.21278630564156106</v>
      </c>
      <c r="L15" s="141">
        <v>0.37226420325059678</v>
      </c>
      <c r="M15" s="573"/>
    </row>
    <row r="16" spans="1:13" s="142" customFormat="1" x14ac:dyDescent="0.2">
      <c r="A16" s="139" t="s">
        <v>119</v>
      </c>
      <c r="B16" s="139">
        <f t="shared" si="0"/>
        <v>572800.23792679503</v>
      </c>
      <c r="C16" s="139">
        <f t="shared" si="1"/>
        <v>790231.72116947034</v>
      </c>
      <c r="D16" s="139">
        <f t="shared" si="2"/>
        <v>976441.1749570847</v>
      </c>
      <c r="E16" s="139">
        <f t="shared" si="3"/>
        <v>1199682.9879555644</v>
      </c>
      <c r="F16" s="139">
        <f t="shared" si="4"/>
        <v>2098814.7254968109</v>
      </c>
      <c r="G16" s="143">
        <v>5637970.8475057259</v>
      </c>
      <c r="H16" s="141">
        <v>0.10159687827761747</v>
      </c>
      <c r="I16" s="141">
        <v>0.14016243477368703</v>
      </c>
      <c r="J16" s="141">
        <v>0.17319017805653758</v>
      </c>
      <c r="K16" s="141">
        <v>0.21278630564156106</v>
      </c>
      <c r="L16" s="141">
        <v>0.37226420325059678</v>
      </c>
    </row>
    <row r="17" spans="1:12" s="142" customFormat="1" x14ac:dyDescent="0.2">
      <c r="A17" s="139" t="s">
        <v>120</v>
      </c>
      <c r="B17" s="139">
        <f t="shared" si="0"/>
        <v>482890.89648371137</v>
      </c>
      <c r="C17" s="139">
        <f t="shared" si="1"/>
        <v>666193.34106170607</v>
      </c>
      <c r="D17" s="139">
        <f t="shared" si="2"/>
        <v>823174.50852542347</v>
      </c>
      <c r="E17" s="139">
        <f t="shared" si="3"/>
        <v>1011375.2669637643</v>
      </c>
      <c r="F17" s="139">
        <f t="shared" si="4"/>
        <v>1769375.1804584563</v>
      </c>
      <c r="G17" s="143">
        <v>4753009.1934930617</v>
      </c>
      <c r="H17" s="141">
        <v>0.10159687827761747</v>
      </c>
      <c r="I17" s="141">
        <v>0.14016243477368703</v>
      </c>
      <c r="J17" s="141">
        <v>0.17319017805653758</v>
      </c>
      <c r="K17" s="141">
        <v>0.21278630564156106</v>
      </c>
      <c r="L17" s="141">
        <v>0.37226420325059678</v>
      </c>
    </row>
    <row r="18" spans="1:12" s="142" customFormat="1" x14ac:dyDescent="0.2">
      <c r="A18" s="139" t="s">
        <v>121</v>
      </c>
      <c r="B18" s="139">
        <f t="shared" si="0"/>
        <v>153242.83075617507</v>
      </c>
      <c r="C18" s="139">
        <f t="shared" si="1"/>
        <v>211412.87640458441</v>
      </c>
      <c r="D18" s="139">
        <f t="shared" si="2"/>
        <v>261230.00622152779</v>
      </c>
      <c r="E18" s="139">
        <f t="shared" si="3"/>
        <v>320954.50544807984</v>
      </c>
      <c r="F18" s="139">
        <f t="shared" si="4"/>
        <v>561501.7042101518</v>
      </c>
      <c r="G18" s="143">
        <v>1508341.923040519</v>
      </c>
      <c r="H18" s="141">
        <v>0.10159687827761747</v>
      </c>
      <c r="I18" s="141">
        <v>0.14016243477368703</v>
      </c>
      <c r="J18" s="141">
        <v>0.17319017805653758</v>
      </c>
      <c r="K18" s="141">
        <v>0.21278630564156106</v>
      </c>
      <c r="L18" s="141">
        <v>0.37226420325059678</v>
      </c>
    </row>
    <row r="19" spans="1:12" s="142" customFormat="1" x14ac:dyDescent="0.2">
      <c r="A19" s="139" t="s">
        <v>122</v>
      </c>
      <c r="B19" s="139">
        <f t="shared" si="0"/>
        <v>583424.20551550074</v>
      </c>
      <c r="C19" s="139">
        <f t="shared" si="1"/>
        <v>804888.48217861028</v>
      </c>
      <c r="D19" s="139">
        <f t="shared" si="2"/>
        <v>994551.64123860805</v>
      </c>
      <c r="E19" s="139">
        <f t="shared" si="3"/>
        <v>1221934.0142939829</v>
      </c>
      <c r="F19" s="139">
        <f t="shared" si="4"/>
        <v>2137742.3273760998</v>
      </c>
      <c r="G19" s="143">
        <v>5742540.6706028022</v>
      </c>
      <c r="H19" s="141">
        <v>0.10159687827761747</v>
      </c>
      <c r="I19" s="141">
        <v>0.14016243477368703</v>
      </c>
      <c r="J19" s="141">
        <v>0.17319017805653758</v>
      </c>
      <c r="K19" s="141">
        <v>0.21278630564156106</v>
      </c>
      <c r="L19" s="141">
        <v>0.37226420325059678</v>
      </c>
    </row>
    <row r="20" spans="1:12" s="142" customFormat="1" x14ac:dyDescent="0.2">
      <c r="A20" s="139" t="s">
        <v>123</v>
      </c>
      <c r="B20" s="139">
        <f t="shared" si="0"/>
        <v>677785.49070590816</v>
      </c>
      <c r="C20" s="139">
        <f t="shared" si="1"/>
        <v>935068.73677778663</v>
      </c>
      <c r="D20" s="139">
        <f t="shared" si="2"/>
        <v>1155407.4476455136</v>
      </c>
      <c r="E20" s="139">
        <f t="shared" si="3"/>
        <v>1419565.9653111242</v>
      </c>
      <c r="F20" s="139">
        <f t="shared" si="4"/>
        <v>2483494.3745317473</v>
      </c>
      <c r="G20" s="143">
        <v>6671322.0149720805</v>
      </c>
      <c r="H20" s="141">
        <v>0.10159687827761747</v>
      </c>
      <c r="I20" s="141">
        <v>0.14016243477368703</v>
      </c>
      <c r="J20" s="141">
        <v>0.17319017805653758</v>
      </c>
      <c r="K20" s="141">
        <v>0.21278630564156106</v>
      </c>
      <c r="L20" s="141">
        <v>0.37226420325059678</v>
      </c>
    </row>
    <row r="21" spans="1:12" s="142" customFormat="1" x14ac:dyDescent="0.2">
      <c r="A21" s="139" t="s">
        <v>124</v>
      </c>
      <c r="B21" s="139">
        <f t="shared" si="0"/>
        <v>174839.29190969735</v>
      </c>
      <c r="C21" s="139">
        <f t="shared" si="1"/>
        <v>241207.22273776209</v>
      </c>
      <c r="D21" s="139">
        <f t="shared" si="2"/>
        <v>298045.06408530503</v>
      </c>
      <c r="E21" s="139">
        <f t="shared" si="3"/>
        <v>366186.51711710275</v>
      </c>
      <c r="F21" s="139">
        <f t="shared" si="4"/>
        <v>640633.95256900333</v>
      </c>
      <c r="G21" s="143">
        <v>1720912.0484188707</v>
      </c>
      <c r="H21" s="141">
        <v>0.10159687827761747</v>
      </c>
      <c r="I21" s="141">
        <v>0.14016243477368703</v>
      </c>
      <c r="J21" s="141">
        <v>0.17319017805653758</v>
      </c>
      <c r="K21" s="141">
        <v>0.21278630564156106</v>
      </c>
      <c r="L21" s="141">
        <v>0.37226420325059678</v>
      </c>
    </row>
    <row r="22" spans="1:12" s="142" customFormat="1" x14ac:dyDescent="0.2">
      <c r="A22" s="139" t="s">
        <v>125</v>
      </c>
      <c r="B22" s="139">
        <f t="shared" si="0"/>
        <v>95380.202215626123</v>
      </c>
      <c r="C22" s="139">
        <f t="shared" si="1"/>
        <v>131585.94632423861</v>
      </c>
      <c r="D22" s="139">
        <f t="shared" si="2"/>
        <v>162592.73399773432</v>
      </c>
      <c r="E22" s="139">
        <f t="shared" si="3"/>
        <v>199765.98892487219</v>
      </c>
      <c r="F22" s="139">
        <f t="shared" si="4"/>
        <v>349485.49193271063</v>
      </c>
      <c r="G22" s="143">
        <v>938810.36339518195</v>
      </c>
      <c r="H22" s="141">
        <v>0.10159687827761747</v>
      </c>
      <c r="I22" s="141">
        <v>0.14016243477368703</v>
      </c>
      <c r="J22" s="141">
        <v>0.17319017805653758</v>
      </c>
      <c r="K22" s="141">
        <v>0.21278630564156106</v>
      </c>
      <c r="L22" s="141">
        <v>0.37226420325059678</v>
      </c>
    </row>
    <row r="23" spans="1:12" s="142" customFormat="1" x14ac:dyDescent="0.2">
      <c r="A23" s="139" t="s">
        <v>126</v>
      </c>
      <c r="B23" s="139">
        <f t="shared" si="0"/>
        <v>324969.04137892614</v>
      </c>
      <c r="C23" s="139">
        <f t="shared" si="1"/>
        <v>448325.31115058868</v>
      </c>
      <c r="D23" s="139">
        <f t="shared" si="2"/>
        <v>553968.26254333602</v>
      </c>
      <c r="E23" s="139">
        <f t="shared" si="3"/>
        <v>680620.92984736222</v>
      </c>
      <c r="F23" s="139">
        <f t="shared" si="4"/>
        <v>1190728.9212122147</v>
      </c>
      <c r="G23" s="143">
        <v>3198612.466132428</v>
      </c>
      <c r="H23" s="141">
        <v>0.10159687827761747</v>
      </c>
      <c r="I23" s="141">
        <v>0.14016243477368703</v>
      </c>
      <c r="J23" s="141">
        <v>0.17319017805653758</v>
      </c>
      <c r="K23" s="141">
        <v>0.21278630564156106</v>
      </c>
      <c r="L23" s="141">
        <v>0.37226420325059678</v>
      </c>
    </row>
    <row r="24" spans="1:12" s="142" customFormat="1" x14ac:dyDescent="0.2">
      <c r="A24" s="139" t="s">
        <v>127</v>
      </c>
      <c r="B24" s="139">
        <f t="shared" si="0"/>
        <v>165067.8667271765</v>
      </c>
      <c r="C24" s="139">
        <f t="shared" si="1"/>
        <v>227726.62404211526</v>
      </c>
      <c r="D24" s="139">
        <f t="shared" si="2"/>
        <v>281387.90989004908</v>
      </c>
      <c r="E24" s="139">
        <f t="shared" si="3"/>
        <v>345721.0707304533</v>
      </c>
      <c r="F24" s="139">
        <f t="shared" si="4"/>
        <v>604830.17717883643</v>
      </c>
      <c r="G24" s="143">
        <v>1624733.6485686307</v>
      </c>
      <c r="H24" s="141">
        <v>0.10159687827761747</v>
      </c>
      <c r="I24" s="141">
        <v>0.14016243477368703</v>
      </c>
      <c r="J24" s="141">
        <v>0.17319017805653758</v>
      </c>
      <c r="K24" s="141">
        <v>0.21278630564156106</v>
      </c>
      <c r="L24" s="141">
        <v>0.37226420325059678</v>
      </c>
    </row>
    <row r="25" spans="1:12" s="142" customFormat="1" x14ac:dyDescent="0.2">
      <c r="A25" s="139" t="s">
        <v>128</v>
      </c>
      <c r="B25" s="139">
        <f t="shared" si="0"/>
        <v>121001.33815216548</v>
      </c>
      <c r="C25" s="139">
        <f t="shared" si="1"/>
        <v>166932.70948678468</v>
      </c>
      <c r="D25" s="139">
        <f t="shared" si="2"/>
        <v>206268.57492992151</v>
      </c>
      <c r="E25" s="139">
        <f t="shared" si="3"/>
        <v>253427.35091454984</v>
      </c>
      <c r="F25" s="139">
        <f t="shared" si="4"/>
        <v>443364.67323716526</v>
      </c>
      <c r="G25" s="143">
        <v>1190994.6467205868</v>
      </c>
      <c r="H25" s="141">
        <v>0.10159687827761747</v>
      </c>
      <c r="I25" s="141">
        <v>0.14016243477368703</v>
      </c>
      <c r="J25" s="141">
        <v>0.17319017805653758</v>
      </c>
      <c r="K25" s="141">
        <v>0.21278630564156106</v>
      </c>
      <c r="L25" s="141">
        <v>0.37226420325059678</v>
      </c>
    </row>
    <row r="26" spans="1:12" s="142" customFormat="1" x14ac:dyDescent="0.2">
      <c r="A26" s="139" t="s">
        <v>129</v>
      </c>
      <c r="B26" s="139">
        <f t="shared" si="0"/>
        <v>43359.129431508074</v>
      </c>
      <c r="C26" s="139">
        <f t="shared" si="1"/>
        <v>59817.99100343501</v>
      </c>
      <c r="D26" s="139">
        <f t="shared" si="2"/>
        <v>73913.445707452527</v>
      </c>
      <c r="E26" s="139">
        <f t="shared" si="3"/>
        <v>90812.130490405907</v>
      </c>
      <c r="F26" s="139">
        <f t="shared" si="4"/>
        <v>158873.50128370867</v>
      </c>
      <c r="G26" s="143">
        <v>426776.19791651022</v>
      </c>
      <c r="H26" s="141">
        <v>0.10159687827761747</v>
      </c>
      <c r="I26" s="141">
        <v>0.14016243477368703</v>
      </c>
      <c r="J26" s="141">
        <v>0.17319017805653758</v>
      </c>
      <c r="K26" s="141">
        <v>0.21278630564156106</v>
      </c>
      <c r="L26" s="141">
        <v>0.37226420325059678</v>
      </c>
    </row>
    <row r="27" spans="1:12" s="142" customFormat="1" x14ac:dyDescent="0.2">
      <c r="A27" s="139" t="s">
        <v>130</v>
      </c>
      <c r="B27" s="139">
        <f t="shared" si="0"/>
        <v>396852.57224672107</v>
      </c>
      <c r="C27" s="139">
        <f t="shared" si="1"/>
        <v>547495.39272561774</v>
      </c>
      <c r="D27" s="139">
        <f t="shared" si="2"/>
        <v>676506.68814640632</v>
      </c>
      <c r="E27" s="139">
        <f t="shared" si="3"/>
        <v>831175.07313543395</v>
      </c>
      <c r="F27" s="139">
        <f t="shared" si="4"/>
        <v>1454119.546977482</v>
      </c>
      <c r="G27" s="143">
        <v>3906149.2732316614</v>
      </c>
      <c r="H27" s="141">
        <v>0.10159687827761747</v>
      </c>
      <c r="I27" s="141">
        <v>0.14016243477368703</v>
      </c>
      <c r="J27" s="141">
        <v>0.17319017805653758</v>
      </c>
      <c r="K27" s="141">
        <v>0.21278630564156106</v>
      </c>
      <c r="L27" s="141">
        <v>0.37226420325059678</v>
      </c>
    </row>
    <row r="28" spans="1:12" s="142" customFormat="1" x14ac:dyDescent="0.2">
      <c r="A28" s="139" t="s">
        <v>131</v>
      </c>
      <c r="B28" s="139">
        <f t="shared" si="0"/>
        <v>262185.99115658255</v>
      </c>
      <c r="C28" s="139">
        <f t="shared" si="1"/>
        <v>361710.19727241929</v>
      </c>
      <c r="D28" s="139">
        <f t="shared" si="2"/>
        <v>446943.24532550166</v>
      </c>
      <c r="E28" s="139">
        <f t="shared" si="3"/>
        <v>549126.99479538086</v>
      </c>
      <c r="F28" s="139">
        <f t="shared" si="4"/>
        <v>960683.64260829589</v>
      </c>
      <c r="G28" s="143">
        <v>2580650.0711581805</v>
      </c>
      <c r="H28" s="141">
        <v>0.10159687827761747</v>
      </c>
      <c r="I28" s="141">
        <v>0.14016243477368703</v>
      </c>
      <c r="J28" s="141">
        <v>0.17319017805653758</v>
      </c>
      <c r="K28" s="141">
        <v>0.21278630564156106</v>
      </c>
      <c r="L28" s="141">
        <v>0.37226420325059678</v>
      </c>
    </row>
    <row r="29" spans="1:12" s="142" customFormat="1" x14ac:dyDescent="0.2">
      <c r="A29" s="139" t="s">
        <v>132</v>
      </c>
      <c r="B29" s="139">
        <f t="shared" si="0"/>
        <v>330221.12592341565</v>
      </c>
      <c r="C29" s="139">
        <f t="shared" si="1"/>
        <v>455571.05501469993</v>
      </c>
      <c r="D29" s="139">
        <f t="shared" si="2"/>
        <v>562921.38662400492</v>
      </c>
      <c r="E29" s="139">
        <f t="shared" si="3"/>
        <v>691620.98896419117</v>
      </c>
      <c r="F29" s="139">
        <f t="shared" si="4"/>
        <v>1209973.2434936201</v>
      </c>
      <c r="G29" s="143">
        <v>3250307.800019932</v>
      </c>
      <c r="H29" s="141">
        <v>0.10159687827761747</v>
      </c>
      <c r="I29" s="141">
        <v>0.14016243477368703</v>
      </c>
      <c r="J29" s="141">
        <v>0.17319017805653758</v>
      </c>
      <c r="K29" s="141">
        <v>0.21278630564156106</v>
      </c>
      <c r="L29" s="141">
        <v>0.37226420325059678</v>
      </c>
    </row>
    <row r="30" spans="1:12" s="142" customFormat="1" x14ac:dyDescent="0.2">
      <c r="A30" s="139" t="s">
        <v>133</v>
      </c>
      <c r="B30" s="139">
        <f t="shared" si="0"/>
        <v>4275423.763380832</v>
      </c>
      <c r="C30" s="139">
        <f t="shared" si="1"/>
        <v>5898348.5961768702</v>
      </c>
      <c r="D30" s="139">
        <f t="shared" si="2"/>
        <v>7288229.8688719384</v>
      </c>
      <c r="E30" s="139">
        <f t="shared" si="3"/>
        <v>8954523.4369900115</v>
      </c>
      <c r="F30" s="139">
        <f t="shared" si="4"/>
        <v>15665709.890067277</v>
      </c>
      <c r="G30" s="143">
        <v>42082235.555486932</v>
      </c>
      <c r="H30" s="141">
        <v>0.10159687827761747</v>
      </c>
      <c r="I30" s="141">
        <v>0.14016243477368703</v>
      </c>
      <c r="J30" s="141">
        <v>0.17319017805653758</v>
      </c>
      <c r="K30" s="141">
        <v>0.21278630564156106</v>
      </c>
      <c r="L30" s="141">
        <v>0.37226420325059678</v>
      </c>
    </row>
    <row r="31" spans="1:12" s="142" customFormat="1" x14ac:dyDescent="0.2">
      <c r="A31" s="139" t="s">
        <v>134</v>
      </c>
      <c r="B31" s="139">
        <f t="shared" si="0"/>
        <v>948025.87042801804</v>
      </c>
      <c r="C31" s="139">
        <f t="shared" si="1"/>
        <v>1307890.7194819672</v>
      </c>
      <c r="D31" s="139">
        <f t="shared" si="2"/>
        <v>1616080.8489900662</v>
      </c>
      <c r="E31" s="139">
        <f t="shared" si="3"/>
        <v>1985562.2145178167</v>
      </c>
      <c r="F31" s="139">
        <f t="shared" si="4"/>
        <v>3473690.346582131</v>
      </c>
      <c r="G31" s="143">
        <v>9331250</v>
      </c>
      <c r="H31" s="141">
        <v>0.10159687827761747</v>
      </c>
      <c r="I31" s="141">
        <v>0.14016243477368703</v>
      </c>
      <c r="J31" s="141">
        <v>0.17319017805653758</v>
      </c>
      <c r="K31" s="141">
        <v>0.21278630564156106</v>
      </c>
      <c r="L31" s="141">
        <v>0.37226420325059678</v>
      </c>
    </row>
    <row r="32" spans="1:12" s="142" customFormat="1" x14ac:dyDescent="0.2">
      <c r="A32" s="139" t="s">
        <v>135</v>
      </c>
      <c r="B32" s="139">
        <f t="shared" si="0"/>
        <v>3615291.1624654741</v>
      </c>
      <c r="C32" s="139">
        <f t="shared" si="1"/>
        <v>4987633.6786874486</v>
      </c>
      <c r="D32" s="139">
        <f t="shared" si="2"/>
        <v>6162914.9514091304</v>
      </c>
      <c r="E32" s="139">
        <f t="shared" si="3"/>
        <v>7571929.9974701283</v>
      </c>
      <c r="F32" s="139">
        <f t="shared" si="4"/>
        <v>13246898.004450129</v>
      </c>
      <c r="G32" s="143">
        <v>35584667.794482313</v>
      </c>
      <c r="H32" s="141">
        <v>0.10159687827761747</v>
      </c>
      <c r="I32" s="141">
        <v>0.14016243477368703</v>
      </c>
      <c r="J32" s="141">
        <v>0.17319017805653758</v>
      </c>
      <c r="K32" s="141">
        <v>0.21278630564156106</v>
      </c>
      <c r="L32" s="141">
        <v>0.37226420325059678</v>
      </c>
    </row>
    <row r="33" spans="1:12" s="142" customFormat="1" x14ac:dyDescent="0.2">
      <c r="A33" s="139" t="s">
        <v>136</v>
      </c>
      <c r="B33" s="139">
        <f t="shared" si="0"/>
        <v>5268217.4652303327</v>
      </c>
      <c r="C33" s="139">
        <f t="shared" si="1"/>
        <v>7268000.743351792</v>
      </c>
      <c r="D33" s="139">
        <f t="shared" si="2"/>
        <v>8980625.5498384889</v>
      </c>
      <c r="E33" s="139">
        <f t="shared" si="3"/>
        <v>11033848.192456491</v>
      </c>
      <c r="F33" s="139">
        <f t="shared" si="4"/>
        <v>19303435.405622184</v>
      </c>
      <c r="G33" s="143">
        <v>51854127.356499292</v>
      </c>
      <c r="H33" s="141">
        <v>0.10159687827761747</v>
      </c>
      <c r="I33" s="141">
        <v>0.14016243477368703</v>
      </c>
      <c r="J33" s="141">
        <v>0.17319017805653758</v>
      </c>
      <c r="K33" s="141">
        <v>0.21278630564156106</v>
      </c>
      <c r="L33" s="141">
        <v>0.37226420325059678</v>
      </c>
    </row>
    <row r="34" spans="1:12" s="142" customFormat="1" x14ac:dyDescent="0.2">
      <c r="A34" s="139" t="s">
        <v>547</v>
      </c>
      <c r="B34" s="139">
        <f t="shared" si="0"/>
        <v>6001309.7914276039</v>
      </c>
      <c r="C34" s="139">
        <f t="shared" si="1"/>
        <v>8279370.4536783397</v>
      </c>
      <c r="D34" s="139">
        <f t="shared" si="2"/>
        <v>10230313.460121041</v>
      </c>
      <c r="E34" s="139">
        <f t="shared" si="3"/>
        <v>12569249.775952404</v>
      </c>
      <c r="F34" s="139">
        <f t="shared" si="4"/>
        <v>21989581.233599618</v>
      </c>
      <c r="G34" s="143">
        <v>59069824.714779012</v>
      </c>
      <c r="H34" s="141">
        <v>0.10159687827761747</v>
      </c>
      <c r="I34" s="141">
        <v>0.14016243477368703</v>
      </c>
      <c r="J34" s="141">
        <v>0.17319017805653758</v>
      </c>
      <c r="K34" s="141">
        <v>0.21278630564156106</v>
      </c>
      <c r="L34" s="141">
        <v>0.37226420325059678</v>
      </c>
    </row>
    <row r="35" spans="1:12" s="142" customFormat="1" x14ac:dyDescent="0.2">
      <c r="A35" s="139" t="s">
        <v>138</v>
      </c>
      <c r="B35" s="139">
        <f t="shared" si="0"/>
        <v>638544.13462949917</v>
      </c>
      <c r="C35" s="139">
        <f t="shared" si="1"/>
        <v>880931.60082700173</v>
      </c>
      <c r="D35" s="139">
        <f t="shared" si="2"/>
        <v>1088513.4882909521</v>
      </c>
      <c r="E35" s="139">
        <f t="shared" si="3"/>
        <v>1337378.1724436372</v>
      </c>
      <c r="F35" s="139">
        <f t="shared" si="4"/>
        <v>2339708.9314953969</v>
      </c>
      <c r="G35" s="143">
        <v>6285076.3276864877</v>
      </c>
      <c r="H35" s="141">
        <v>0.10159687827761747</v>
      </c>
      <c r="I35" s="141">
        <v>0.14016243477368703</v>
      </c>
      <c r="J35" s="141">
        <v>0.17319017805653758</v>
      </c>
      <c r="K35" s="141">
        <v>0.21278630564156106</v>
      </c>
      <c r="L35" s="141">
        <v>0.37226420325059678</v>
      </c>
    </row>
    <row r="36" spans="1:12" s="142" customFormat="1" x14ac:dyDescent="0.2">
      <c r="A36" s="139" t="s">
        <v>139</v>
      </c>
      <c r="B36" s="139">
        <f t="shared" si="0"/>
        <v>914354.01853113587</v>
      </c>
      <c r="C36" s="139">
        <f t="shared" si="1"/>
        <v>1261437.2375914142</v>
      </c>
      <c r="D36" s="139">
        <f t="shared" si="2"/>
        <v>1558681.1126558532</v>
      </c>
      <c r="E36" s="139">
        <f t="shared" si="3"/>
        <v>1915039.2900863301</v>
      </c>
      <c r="F36" s="139">
        <f t="shared" si="4"/>
        <v>3350312.2927396395</v>
      </c>
      <c r="G36" s="143">
        <v>8999823.9516043738</v>
      </c>
      <c r="H36" s="141">
        <v>0.10159687827761747</v>
      </c>
      <c r="I36" s="141">
        <v>0.14016243477368703</v>
      </c>
      <c r="J36" s="141">
        <v>0.17319017805653758</v>
      </c>
      <c r="K36" s="141">
        <v>0.21278630564156106</v>
      </c>
      <c r="L36" s="141">
        <v>0.37226420325059678</v>
      </c>
    </row>
    <row r="37" spans="1:12" s="142" customFormat="1" x14ac:dyDescent="0.2">
      <c r="A37" s="139" t="s">
        <v>140</v>
      </c>
      <c r="B37" s="139">
        <f t="shared" si="0"/>
        <v>128182.40788437572</v>
      </c>
      <c r="C37" s="139">
        <f t="shared" si="1"/>
        <v>176839.6695726632</v>
      </c>
      <c r="D37" s="139">
        <f t="shared" si="2"/>
        <v>218510.00170053024</v>
      </c>
      <c r="E37" s="139">
        <f t="shared" si="3"/>
        <v>268467.51085623662</v>
      </c>
      <c r="F37" s="139">
        <f t="shared" si="4"/>
        <v>469677.04865330196</v>
      </c>
      <c r="G37" s="143">
        <v>1261676.6386671078</v>
      </c>
      <c r="H37" s="141">
        <v>0.10159687827761747</v>
      </c>
      <c r="I37" s="141">
        <v>0.14016243477368703</v>
      </c>
      <c r="J37" s="141">
        <v>0.17319017805653758</v>
      </c>
      <c r="K37" s="141">
        <v>0.21278630564156106</v>
      </c>
      <c r="L37" s="141">
        <v>0.37226420325059678</v>
      </c>
    </row>
    <row r="38" spans="1:12" s="142" customFormat="1" x14ac:dyDescent="0.2">
      <c r="A38" s="139" t="s">
        <v>141</v>
      </c>
      <c r="B38" s="139">
        <f t="shared" si="0"/>
        <v>19757.919464030983</v>
      </c>
      <c r="C38" s="139">
        <f t="shared" si="1"/>
        <v>27257.905410968764</v>
      </c>
      <c r="D38" s="139">
        <f t="shared" si="2"/>
        <v>33680.932406720611</v>
      </c>
      <c r="E38" s="139">
        <f t="shared" si="3"/>
        <v>41381.337312613708</v>
      </c>
      <c r="F38" s="139">
        <f t="shared" si="4"/>
        <v>72395.591989240755</v>
      </c>
      <c r="G38" s="143">
        <v>194473.68658357483</v>
      </c>
      <c r="H38" s="141">
        <v>0.10159687827761747</v>
      </c>
      <c r="I38" s="141">
        <v>0.14016243477368703</v>
      </c>
      <c r="J38" s="141">
        <v>0.17319017805653758</v>
      </c>
      <c r="K38" s="141">
        <v>0.21278630564156106</v>
      </c>
      <c r="L38" s="141">
        <v>0.37226420325059678</v>
      </c>
    </row>
    <row r="39" spans="1:12" s="142" customFormat="1" x14ac:dyDescent="0.2">
      <c r="A39" s="139" t="s">
        <v>142</v>
      </c>
      <c r="B39" s="139">
        <f t="shared" si="0"/>
        <v>232167.21018072893</v>
      </c>
      <c r="C39" s="139">
        <f t="shared" si="1"/>
        <v>320296.46978547325</v>
      </c>
      <c r="D39" s="139">
        <f t="shared" si="2"/>
        <v>395770.82634583645</v>
      </c>
      <c r="E39" s="139">
        <f t="shared" si="3"/>
        <v>486255.12695845059</v>
      </c>
      <c r="F39" s="139">
        <f t="shared" si="4"/>
        <v>850690.91672951053</v>
      </c>
      <c r="G39" s="143">
        <v>2285180.5499999998</v>
      </c>
      <c r="H39" s="141">
        <v>0.10159687827761747</v>
      </c>
      <c r="I39" s="141">
        <v>0.14016243477368703</v>
      </c>
      <c r="J39" s="141">
        <v>0.17319017805653758</v>
      </c>
      <c r="K39" s="141">
        <v>0.21278630564156106</v>
      </c>
      <c r="L39" s="141">
        <v>0.37226420325059678</v>
      </c>
    </row>
    <row r="40" spans="1:12" s="142" customFormat="1" x14ac:dyDescent="0.2">
      <c r="A40" s="139" t="s">
        <v>143</v>
      </c>
      <c r="B40" s="139">
        <f t="shared" si="0"/>
        <v>1522003.56758159</v>
      </c>
      <c r="C40" s="139">
        <f t="shared" si="1"/>
        <v>2099746.8562326017</v>
      </c>
      <c r="D40" s="139">
        <f t="shared" si="2"/>
        <v>2594529.215276225</v>
      </c>
      <c r="E40" s="139">
        <f t="shared" si="3"/>
        <v>3187711.2939828546</v>
      </c>
      <c r="F40" s="139">
        <f t="shared" si="4"/>
        <v>5576819.4361455077</v>
      </c>
      <c r="G40" s="143">
        <v>14980810.36921878</v>
      </c>
      <c r="H40" s="141">
        <v>0.10159687827761747</v>
      </c>
      <c r="I40" s="141">
        <v>0.14016243477368703</v>
      </c>
      <c r="J40" s="141">
        <v>0.17319017805653758</v>
      </c>
      <c r="K40" s="141">
        <v>0.21278630564156106</v>
      </c>
      <c r="L40" s="141">
        <v>0.37226420325059678</v>
      </c>
    </row>
    <row r="41" spans="1:12" s="142" customFormat="1" x14ac:dyDescent="0.2">
      <c r="A41" s="139" t="s">
        <v>144</v>
      </c>
      <c r="B41" s="139">
        <f t="shared" si="0"/>
        <v>3971247.6941162641</v>
      </c>
      <c r="C41" s="139">
        <f t="shared" si="1"/>
        <v>5478709.1427724827</v>
      </c>
      <c r="D41" s="139">
        <f t="shared" si="2"/>
        <v>6769706.9724054029</v>
      </c>
      <c r="E41" s="139">
        <f t="shared" si="3"/>
        <v>8317451.6771026971</v>
      </c>
      <c r="F41" s="139">
        <f t="shared" si="4"/>
        <v>14551169.128654741</v>
      </c>
      <c r="G41" s="143">
        <v>39088284.61505159</v>
      </c>
      <c r="H41" s="141">
        <v>0.10159687827761747</v>
      </c>
      <c r="I41" s="141">
        <v>0.14016243477368703</v>
      </c>
      <c r="J41" s="141">
        <v>0.17319017805653758</v>
      </c>
      <c r="K41" s="141">
        <v>0.21278630564156106</v>
      </c>
      <c r="L41" s="141">
        <v>0.37226420325059678</v>
      </c>
    </row>
    <row r="42" spans="1:12" s="142" customFormat="1" x14ac:dyDescent="0.2">
      <c r="A42" s="139" t="s">
        <v>145</v>
      </c>
      <c r="B42" s="139">
        <f t="shared" si="0"/>
        <v>645605.07888071309</v>
      </c>
      <c r="C42" s="139">
        <f t="shared" si="1"/>
        <v>890672.83653059381</v>
      </c>
      <c r="D42" s="139">
        <f t="shared" si="2"/>
        <v>1100550.1395429075</v>
      </c>
      <c r="E42" s="139">
        <f t="shared" si="3"/>
        <v>1352166.7394451869</v>
      </c>
      <c r="F42" s="139">
        <f t="shared" si="4"/>
        <v>2365581.1514930674</v>
      </c>
      <c r="G42" s="143">
        <v>6354575.945892469</v>
      </c>
      <c r="H42" s="141">
        <v>0.10159687827761747</v>
      </c>
      <c r="I42" s="141">
        <v>0.14016243477368703</v>
      </c>
      <c r="J42" s="141">
        <v>0.17319017805653758</v>
      </c>
      <c r="K42" s="141">
        <v>0.21278630564156106</v>
      </c>
      <c r="L42" s="141">
        <v>0.37226420325059678</v>
      </c>
    </row>
    <row r="43" spans="1:12" s="142" customFormat="1" x14ac:dyDescent="0.2">
      <c r="A43" s="139" t="s">
        <v>146</v>
      </c>
      <c r="B43" s="139">
        <f t="shared" si="0"/>
        <v>73997.070324719913</v>
      </c>
      <c r="C43" s="139">
        <f t="shared" si="1"/>
        <v>102085.90774306722</v>
      </c>
      <c r="D43" s="139">
        <f t="shared" si="2"/>
        <v>126141.33428569858</v>
      </c>
      <c r="E43" s="139">
        <f t="shared" si="3"/>
        <v>154980.77785097458</v>
      </c>
      <c r="F43" s="139">
        <f t="shared" si="4"/>
        <v>271134.90979553969</v>
      </c>
      <c r="G43" s="143">
        <v>728340</v>
      </c>
      <c r="H43" s="141">
        <v>0.10159687827761747</v>
      </c>
      <c r="I43" s="141">
        <v>0.14016243477368703</v>
      </c>
      <c r="J43" s="141">
        <v>0.17319017805653758</v>
      </c>
      <c r="K43" s="141">
        <v>0.21278630564156106</v>
      </c>
      <c r="L43" s="141">
        <v>0.37226420325059678</v>
      </c>
    </row>
    <row r="44" spans="1:12" s="142" customFormat="1" x14ac:dyDescent="0.2">
      <c r="A44" s="139" t="s">
        <v>147</v>
      </c>
      <c r="B44" s="139">
        <f t="shared" si="0"/>
        <v>448445.86402580689</v>
      </c>
      <c r="C44" s="139">
        <f t="shared" si="1"/>
        <v>618673.18397610995</v>
      </c>
      <c r="D44" s="139">
        <f t="shared" si="2"/>
        <v>764456.74666421139</v>
      </c>
      <c r="E44" s="139">
        <f t="shared" si="3"/>
        <v>939232.9794380276</v>
      </c>
      <c r="F44" s="139">
        <f t="shared" si="4"/>
        <v>1643164.0922708414</v>
      </c>
      <c r="G44" s="143">
        <v>4413972.8663749974</v>
      </c>
      <c r="H44" s="141">
        <v>0.10159687827761747</v>
      </c>
      <c r="I44" s="141">
        <v>0.14016243477368703</v>
      </c>
      <c r="J44" s="141">
        <v>0.17319017805653758</v>
      </c>
      <c r="K44" s="141">
        <v>0.21278630564156106</v>
      </c>
      <c r="L44" s="141">
        <v>0.37226420325059678</v>
      </c>
    </row>
    <row r="45" spans="1:12" s="142" customFormat="1" x14ac:dyDescent="0.2">
      <c r="A45" s="139" t="s">
        <v>148</v>
      </c>
      <c r="B45" s="139">
        <f t="shared" si="0"/>
        <v>169421.39016671714</v>
      </c>
      <c r="C45" s="139">
        <f t="shared" si="1"/>
        <v>233732.71847606957</v>
      </c>
      <c r="D45" s="139">
        <f t="shared" si="2"/>
        <v>288809.27472378989</v>
      </c>
      <c r="E45" s="139">
        <f t="shared" si="3"/>
        <v>354839.16751579399</v>
      </c>
      <c r="F45" s="139">
        <f t="shared" si="4"/>
        <v>620782.05446117651</v>
      </c>
      <c r="G45" s="143">
        <v>1667584.6053435472</v>
      </c>
      <c r="H45" s="141">
        <v>0.10159687827761747</v>
      </c>
      <c r="I45" s="141">
        <v>0.14016243477368703</v>
      </c>
      <c r="J45" s="141">
        <v>0.17319017805653758</v>
      </c>
      <c r="K45" s="141">
        <v>0.21278630564156106</v>
      </c>
      <c r="L45" s="141">
        <v>0.37226420325059678</v>
      </c>
    </row>
    <row r="46" spans="1:12" s="142" customFormat="1" x14ac:dyDescent="0.2">
      <c r="A46" s="139" t="s">
        <v>149</v>
      </c>
      <c r="B46" s="139">
        <f t="shared" si="0"/>
        <v>61813.68959365863</v>
      </c>
      <c r="C46" s="139">
        <f t="shared" si="1"/>
        <v>85277.789856077172</v>
      </c>
      <c r="D46" s="139">
        <f t="shared" si="2"/>
        <v>105372.56743070409</v>
      </c>
      <c r="E46" s="139">
        <f t="shared" si="3"/>
        <v>129463.6889409874</v>
      </c>
      <c r="F46" s="139">
        <f t="shared" si="4"/>
        <v>226493.41492249895</v>
      </c>
      <c r="G46" s="143">
        <v>608421.15074392629</v>
      </c>
      <c r="H46" s="141">
        <v>0.10159687827761747</v>
      </c>
      <c r="I46" s="141">
        <v>0.14016243477368703</v>
      </c>
      <c r="J46" s="141">
        <v>0.17319017805653758</v>
      </c>
      <c r="K46" s="141">
        <v>0.21278630564156106</v>
      </c>
      <c r="L46" s="141">
        <v>0.37226420325059678</v>
      </c>
    </row>
    <row r="47" spans="1:12" s="142" customFormat="1" x14ac:dyDescent="0.2">
      <c r="A47" s="139" t="s">
        <v>150</v>
      </c>
      <c r="B47" s="139">
        <f t="shared" si="0"/>
        <v>218677.78333759122</v>
      </c>
      <c r="C47" s="139">
        <f t="shared" si="1"/>
        <v>301686.53863316687</v>
      </c>
      <c r="D47" s="139">
        <f t="shared" si="2"/>
        <v>372775.66865546134</v>
      </c>
      <c r="E47" s="139">
        <f t="shared" si="3"/>
        <v>458002.63188345433</v>
      </c>
      <c r="F47" s="139">
        <f t="shared" si="4"/>
        <v>801263.89868328604</v>
      </c>
      <c r="G47" s="143">
        <v>2152406.52119296</v>
      </c>
      <c r="H47" s="141">
        <v>0.10159687827761747</v>
      </c>
      <c r="I47" s="141">
        <v>0.14016243477368703</v>
      </c>
      <c r="J47" s="141">
        <v>0.17319017805653758</v>
      </c>
      <c r="K47" s="141">
        <v>0.21278630564156106</v>
      </c>
      <c r="L47" s="141">
        <v>0.37226420325059678</v>
      </c>
    </row>
    <row r="48" spans="1:12" s="142" customFormat="1" x14ac:dyDescent="0.2">
      <c r="A48" s="139" t="s">
        <v>151</v>
      </c>
      <c r="B48" s="139">
        <f t="shared" si="0"/>
        <v>2837.324446626501</v>
      </c>
      <c r="C48" s="139">
        <f t="shared" si="1"/>
        <v>3914.3555335960336</v>
      </c>
      <c r="D48" s="139">
        <f t="shared" si="2"/>
        <v>4836.7305614710895</v>
      </c>
      <c r="E48" s="139">
        <f t="shared" si="3"/>
        <v>5942.5426955972616</v>
      </c>
      <c r="F48" s="139">
        <f t="shared" si="4"/>
        <v>10396.326564293176</v>
      </c>
      <c r="G48" s="143">
        <v>27927.279801584064</v>
      </c>
      <c r="H48" s="141">
        <v>0.10159687827761747</v>
      </c>
      <c r="I48" s="141">
        <v>0.14016243477368703</v>
      </c>
      <c r="J48" s="141">
        <v>0.17319017805653758</v>
      </c>
      <c r="K48" s="141">
        <v>0.21278630564156106</v>
      </c>
      <c r="L48" s="141">
        <v>0.37226420325059678</v>
      </c>
    </row>
    <row r="49" spans="1:12" s="142" customFormat="1" x14ac:dyDescent="0.2">
      <c r="A49" s="139" t="s">
        <v>152</v>
      </c>
      <c r="B49" s="139">
        <f t="shared" si="0"/>
        <v>133532.38981806173</v>
      </c>
      <c r="C49" s="139">
        <f t="shared" si="1"/>
        <v>184220.47207893341</v>
      </c>
      <c r="D49" s="139">
        <f t="shared" si="2"/>
        <v>227630.0095137867</v>
      </c>
      <c r="E49" s="139">
        <f t="shared" si="3"/>
        <v>279672.60800309392</v>
      </c>
      <c r="F49" s="139">
        <f t="shared" si="4"/>
        <v>489280.07972780569</v>
      </c>
      <c r="G49" s="143">
        <v>1314335.5591416815</v>
      </c>
      <c r="H49" s="141">
        <v>0.10159687827761747</v>
      </c>
      <c r="I49" s="141">
        <v>0.14016243477368703</v>
      </c>
      <c r="J49" s="141">
        <v>0.17319017805653758</v>
      </c>
      <c r="K49" s="141">
        <v>0.21278630564156106</v>
      </c>
      <c r="L49" s="141">
        <v>0.37226420325059678</v>
      </c>
    </row>
    <row r="50" spans="1:12" s="142" customFormat="1" x14ac:dyDescent="0.2">
      <c r="A50" s="139" t="s">
        <v>153</v>
      </c>
      <c r="B50" s="139">
        <f t="shared" si="0"/>
        <v>331430.15681867674</v>
      </c>
      <c r="C50" s="139">
        <f t="shared" si="1"/>
        <v>457239.02667750383</v>
      </c>
      <c r="D50" s="139">
        <f t="shared" si="2"/>
        <v>564982.39754851337</v>
      </c>
      <c r="E50" s="139">
        <f t="shared" si="3"/>
        <v>694153.2047366692</v>
      </c>
      <c r="F50" s="139">
        <f t="shared" si="4"/>
        <v>1214403.2902682843</v>
      </c>
      <c r="G50" s="143">
        <v>3262208.0760496478</v>
      </c>
      <c r="H50" s="141">
        <v>0.10159687827761747</v>
      </c>
      <c r="I50" s="141">
        <v>0.14016243477368703</v>
      </c>
      <c r="J50" s="141">
        <v>0.17319017805653758</v>
      </c>
      <c r="K50" s="141">
        <v>0.21278630564156106</v>
      </c>
      <c r="L50" s="141">
        <v>0.37226420325059678</v>
      </c>
    </row>
    <row r="51" spans="1:12" s="142" customFormat="1" x14ac:dyDescent="0.2">
      <c r="A51" s="139" t="s">
        <v>154</v>
      </c>
      <c r="B51" s="139">
        <f t="shared" si="0"/>
        <v>1250.8515605683565</v>
      </c>
      <c r="C51" s="139">
        <f t="shared" si="1"/>
        <v>1725.6671980673614</v>
      </c>
      <c r="D51" s="139">
        <f t="shared" si="2"/>
        <v>2132.3017810170049</v>
      </c>
      <c r="E51" s="139">
        <f t="shared" si="3"/>
        <v>2619.805716392369</v>
      </c>
      <c r="F51" s="139">
        <f t="shared" si="4"/>
        <v>4583.2831428869831</v>
      </c>
      <c r="G51" s="143">
        <v>12311.909398932075</v>
      </c>
      <c r="H51" s="141">
        <v>0.10159687827761747</v>
      </c>
      <c r="I51" s="141">
        <v>0.14016243477368703</v>
      </c>
      <c r="J51" s="141">
        <v>0.17319017805653758</v>
      </c>
      <c r="K51" s="141">
        <v>0.21278630564156106</v>
      </c>
      <c r="L51" s="141">
        <v>0.37226420325059678</v>
      </c>
    </row>
    <row r="52" spans="1:12" s="142" customFormat="1" x14ac:dyDescent="0.2">
      <c r="A52" s="139" t="s">
        <v>155</v>
      </c>
      <c r="B52" s="139">
        <f t="shared" si="0"/>
        <v>78926.512383728419</v>
      </c>
      <c r="C52" s="139">
        <f t="shared" si="1"/>
        <v>108886.53599838109</v>
      </c>
      <c r="D52" s="139">
        <f t="shared" si="2"/>
        <v>134544.45613739776</v>
      </c>
      <c r="E52" s="139">
        <f t="shared" si="3"/>
        <v>165305.08881793503</v>
      </c>
      <c r="F52" s="139">
        <f t="shared" si="4"/>
        <v>289197.0279597654</v>
      </c>
      <c r="G52" s="143">
        <v>776859.62129720778</v>
      </c>
      <c r="H52" s="141">
        <v>0.10159687827761747</v>
      </c>
      <c r="I52" s="141">
        <v>0.14016243477368703</v>
      </c>
      <c r="J52" s="141">
        <v>0.17319017805653758</v>
      </c>
      <c r="K52" s="141">
        <v>0.21278630564156106</v>
      </c>
      <c r="L52" s="141">
        <v>0.37226420325059678</v>
      </c>
    </row>
    <row r="53" spans="1:12" s="142" customFormat="1" x14ac:dyDescent="0.2">
      <c r="A53" s="139" t="s">
        <v>156</v>
      </c>
      <c r="B53" s="139">
        <f t="shared" si="0"/>
        <v>18404.928316101206</v>
      </c>
      <c r="C53" s="139">
        <f t="shared" si="1"/>
        <v>25391.327059979583</v>
      </c>
      <c r="D53" s="139">
        <f t="shared" si="2"/>
        <v>31374.515302264153</v>
      </c>
      <c r="E53" s="139">
        <f t="shared" si="3"/>
        <v>38547.608631039264</v>
      </c>
      <c r="F53" s="139">
        <f t="shared" si="4"/>
        <v>67438.056086288198</v>
      </c>
      <c r="G53" s="143">
        <v>181156.43539567242</v>
      </c>
      <c r="H53" s="141">
        <v>0.10159687827761747</v>
      </c>
      <c r="I53" s="141">
        <v>0.14016243477368703</v>
      </c>
      <c r="J53" s="141">
        <v>0.17319017805653758</v>
      </c>
      <c r="K53" s="141">
        <v>0.21278630564156106</v>
      </c>
      <c r="L53" s="141">
        <v>0.37226420325059678</v>
      </c>
    </row>
    <row r="54" spans="1:12" s="142" customFormat="1" x14ac:dyDescent="0.2">
      <c r="A54" s="139" t="s">
        <v>157</v>
      </c>
      <c r="B54" s="139">
        <f t="shared" si="0"/>
        <v>225839.65527230085</v>
      </c>
      <c r="C54" s="139">
        <f t="shared" si="1"/>
        <v>311567.01355448528</v>
      </c>
      <c r="D54" s="139">
        <f t="shared" si="2"/>
        <v>384984.36932243587</v>
      </c>
      <c r="E54" s="139">
        <f t="shared" si="3"/>
        <v>473002.58361721324</v>
      </c>
      <c r="F54" s="139">
        <f t="shared" si="4"/>
        <v>827505.93086730875</v>
      </c>
      <c r="G54" s="143">
        <v>2222899.5526337442</v>
      </c>
      <c r="H54" s="141">
        <v>0.10159687827761747</v>
      </c>
      <c r="I54" s="141">
        <v>0.14016243477368703</v>
      </c>
      <c r="J54" s="141">
        <v>0.17319017805653758</v>
      </c>
      <c r="K54" s="141">
        <v>0.21278630564156106</v>
      </c>
      <c r="L54" s="141">
        <v>0.37226420325059678</v>
      </c>
    </row>
    <row r="55" spans="1:12" s="142" customFormat="1" x14ac:dyDescent="0.2">
      <c r="A55" s="139" t="s">
        <v>158</v>
      </c>
      <c r="B55" s="139">
        <f t="shared" si="0"/>
        <v>74575.943263843626</v>
      </c>
      <c r="C55" s="139">
        <f t="shared" si="1"/>
        <v>102884.51732583877</v>
      </c>
      <c r="D55" s="139">
        <f t="shared" si="2"/>
        <v>127128.12747362503</v>
      </c>
      <c r="E55" s="139">
        <f t="shared" si="3"/>
        <v>156193.17961213324</v>
      </c>
      <c r="F55" s="139">
        <f t="shared" si="4"/>
        <v>273255.97568968433</v>
      </c>
      <c r="G55" s="143">
        <v>734037.74336512503</v>
      </c>
      <c r="H55" s="141">
        <v>0.10159687827761747</v>
      </c>
      <c r="I55" s="141">
        <v>0.14016243477368703</v>
      </c>
      <c r="J55" s="141">
        <v>0.17319017805653758</v>
      </c>
      <c r="K55" s="141">
        <v>0.21278630564156106</v>
      </c>
      <c r="L55" s="141">
        <v>0.37226420325059678</v>
      </c>
    </row>
    <row r="56" spans="1:12" s="142" customFormat="1" x14ac:dyDescent="0.2">
      <c r="A56" s="139" t="s">
        <v>159</v>
      </c>
      <c r="B56" s="139">
        <f t="shared" si="0"/>
        <v>37960.971197165061</v>
      </c>
      <c r="C56" s="139">
        <f t="shared" si="1"/>
        <v>52370.724766064479</v>
      </c>
      <c r="D56" s="139">
        <f t="shared" si="2"/>
        <v>64711.312712494182</v>
      </c>
      <c r="E56" s="139">
        <f t="shared" si="3"/>
        <v>79506.132044118218</v>
      </c>
      <c r="F56" s="139">
        <f t="shared" si="4"/>
        <v>139093.94596472339</v>
      </c>
      <c r="G56" s="143">
        <v>373643.08668456535</v>
      </c>
      <c r="H56" s="141">
        <v>0.10159687827761747</v>
      </c>
      <c r="I56" s="141">
        <v>0.14016243477368703</v>
      </c>
      <c r="J56" s="141">
        <v>0.17319017805653758</v>
      </c>
      <c r="K56" s="141">
        <v>0.21278630564156106</v>
      </c>
      <c r="L56" s="141">
        <v>0.37226420325059678</v>
      </c>
    </row>
    <row r="57" spans="1:12" s="142" customFormat="1" x14ac:dyDescent="0.2">
      <c r="A57" s="139" t="s">
        <v>160</v>
      </c>
      <c r="B57" s="139">
        <f t="shared" si="0"/>
        <v>192781.18893942775</v>
      </c>
      <c r="C57" s="139">
        <f t="shared" si="1"/>
        <v>265959.75465389108</v>
      </c>
      <c r="D57" s="139">
        <f t="shared" si="2"/>
        <v>328630.25916147744</v>
      </c>
      <c r="E57" s="139">
        <f t="shared" si="3"/>
        <v>403764.34480119136</v>
      </c>
      <c r="F57" s="139">
        <f t="shared" si="4"/>
        <v>706375.40167461336</v>
      </c>
      <c r="G57" s="143">
        <v>1897510.9492306011</v>
      </c>
      <c r="H57" s="141">
        <v>0.10159687827761747</v>
      </c>
      <c r="I57" s="141">
        <v>0.14016243477368703</v>
      </c>
      <c r="J57" s="141">
        <v>0.17319017805653758</v>
      </c>
      <c r="K57" s="141">
        <v>0.21278630564156106</v>
      </c>
      <c r="L57" s="141">
        <v>0.37226420325059678</v>
      </c>
    </row>
    <row r="58" spans="1:12" s="142" customFormat="1" x14ac:dyDescent="0.2">
      <c r="A58" s="139" t="s">
        <v>161</v>
      </c>
      <c r="B58" s="139">
        <f t="shared" si="0"/>
        <v>14076209.691325182</v>
      </c>
      <c r="C58" s="139">
        <f t="shared" si="1"/>
        <v>19419453.197468601</v>
      </c>
      <c r="D58" s="139">
        <f t="shared" si="2"/>
        <v>23995434.742987044</v>
      </c>
      <c r="E58" s="139">
        <f t="shared" si="3"/>
        <v>29481463.490132585</v>
      </c>
      <c r="F58" s="139">
        <f t="shared" si="4"/>
        <v>51577066.878086574</v>
      </c>
      <c r="G58" s="143">
        <v>138549628</v>
      </c>
      <c r="H58" s="141">
        <v>0.10159687827761747</v>
      </c>
      <c r="I58" s="141">
        <v>0.14016243477368703</v>
      </c>
      <c r="J58" s="141">
        <v>0.17319017805653758</v>
      </c>
      <c r="K58" s="141">
        <v>0.21278630564156106</v>
      </c>
      <c r="L58" s="141">
        <v>0.37226420325059678</v>
      </c>
    </row>
    <row r="59" spans="1:12" s="142" customFormat="1" x14ac:dyDescent="0.2">
      <c r="A59" s="139" t="s">
        <v>162</v>
      </c>
      <c r="B59" s="139">
        <f t="shared" si="0"/>
        <v>12251076.228994541</v>
      </c>
      <c r="C59" s="139">
        <f t="shared" si="1"/>
        <v>16901510.183824353</v>
      </c>
      <c r="D59" s="139">
        <f t="shared" si="2"/>
        <v>20884166.024136785</v>
      </c>
      <c r="E59" s="139">
        <f t="shared" si="3"/>
        <v>25658871.562741768</v>
      </c>
      <c r="F59" s="139">
        <f t="shared" si="4"/>
        <v>44889540.000302546</v>
      </c>
      <c r="G59" s="143">
        <v>120585164</v>
      </c>
      <c r="H59" s="141">
        <v>0.10159687827761747</v>
      </c>
      <c r="I59" s="141">
        <v>0.14016243477368703</v>
      </c>
      <c r="J59" s="141">
        <v>0.17319017805653758</v>
      </c>
      <c r="K59" s="141">
        <v>0.21278630564156106</v>
      </c>
      <c r="L59" s="141">
        <v>0.37226420325059678</v>
      </c>
    </row>
    <row r="60" spans="1:12" s="142" customFormat="1" x14ac:dyDescent="0.2">
      <c r="A60" s="139" t="s">
        <v>163</v>
      </c>
      <c r="B60" s="139">
        <f t="shared" si="0"/>
        <v>7430327.1124223256</v>
      </c>
      <c r="C60" s="139">
        <f t="shared" si="1"/>
        <v>10250834.050198294</v>
      </c>
      <c r="D60" s="139">
        <f t="shared" si="2"/>
        <v>12666330.869953962</v>
      </c>
      <c r="E60" s="139">
        <f t="shared" si="3"/>
        <v>15562209.024182158</v>
      </c>
      <c r="F60" s="139">
        <f t="shared" si="4"/>
        <v>27225686.943243258</v>
      </c>
      <c r="G60" s="143">
        <v>73135388</v>
      </c>
      <c r="H60" s="141">
        <v>0.10159687827761747</v>
      </c>
      <c r="I60" s="141">
        <v>0.14016243477368703</v>
      </c>
      <c r="J60" s="141">
        <v>0.17319017805653758</v>
      </c>
      <c r="K60" s="141">
        <v>0.21278630564156106</v>
      </c>
      <c r="L60" s="141">
        <v>0.37226420325059678</v>
      </c>
    </row>
    <row r="61" spans="1:12" s="142" customFormat="1" x14ac:dyDescent="0.2">
      <c r="A61" s="139" t="s">
        <v>164</v>
      </c>
      <c r="B61" s="139">
        <f t="shared" si="0"/>
        <v>2058.2699866801477</v>
      </c>
      <c r="C61" s="139">
        <f t="shared" si="1"/>
        <v>2839.576743356009</v>
      </c>
      <c r="D61" s="139">
        <f t="shared" si="2"/>
        <v>3508.6919157839461</v>
      </c>
      <c r="E61" s="139">
        <f t="shared" si="3"/>
        <v>4310.8772031538101</v>
      </c>
      <c r="F61" s="139">
        <f t="shared" si="4"/>
        <v>7541.7694879598039</v>
      </c>
      <c r="G61" s="143">
        <v>20259.185336933719</v>
      </c>
      <c r="H61" s="141">
        <v>0.10159687827761747</v>
      </c>
      <c r="I61" s="141">
        <v>0.14016243477368703</v>
      </c>
      <c r="J61" s="141">
        <v>0.17319017805653758</v>
      </c>
      <c r="K61" s="141">
        <v>0.21278630564156106</v>
      </c>
      <c r="L61" s="141">
        <v>0.37226420325059678</v>
      </c>
    </row>
    <row r="62" spans="1:12" s="142" customFormat="1" x14ac:dyDescent="0.2">
      <c r="A62" s="139" t="s">
        <v>165</v>
      </c>
      <c r="B62" s="139">
        <f t="shared" si="0"/>
        <v>457.22033440624068</v>
      </c>
      <c r="C62" s="139">
        <f t="shared" si="1"/>
        <v>630.77838989602594</v>
      </c>
      <c r="D62" s="139">
        <f t="shared" si="2"/>
        <v>779.41441183367294</v>
      </c>
      <c r="E62" s="139">
        <f t="shared" si="3"/>
        <v>957.61038598699577</v>
      </c>
      <c r="F62" s="139">
        <f t="shared" si="4"/>
        <v>1675.3148953318616</v>
      </c>
      <c r="G62" s="143">
        <v>4500.3384174547973</v>
      </c>
      <c r="H62" s="141">
        <v>0.10159687827761747</v>
      </c>
      <c r="I62" s="141">
        <v>0.14016243477368703</v>
      </c>
      <c r="J62" s="141">
        <v>0.17319017805653758</v>
      </c>
      <c r="K62" s="141">
        <v>0.21278630564156106</v>
      </c>
      <c r="L62" s="141">
        <v>0.37226420325059678</v>
      </c>
    </row>
    <row r="63" spans="1:12" s="142" customFormat="1" x14ac:dyDescent="0.2">
      <c r="A63" s="139" t="s">
        <v>166</v>
      </c>
      <c r="B63" s="139">
        <f t="shared" si="0"/>
        <v>2439.0672438586375</v>
      </c>
      <c r="C63" s="139">
        <f t="shared" si="1"/>
        <v>3364.9223211545104</v>
      </c>
      <c r="D63" s="139">
        <f t="shared" si="2"/>
        <v>4157.8294276076049</v>
      </c>
      <c r="E63" s="139">
        <f t="shared" si="3"/>
        <v>5108.4257393601774</v>
      </c>
      <c r="F63" s="139">
        <f t="shared" si="4"/>
        <v>8937.0602680190677</v>
      </c>
      <c r="G63" s="143">
        <v>24007.305</v>
      </c>
      <c r="H63" s="141">
        <v>0.10159687827761747</v>
      </c>
      <c r="I63" s="141">
        <v>0.14016243477368703</v>
      </c>
      <c r="J63" s="141">
        <v>0.17319017805653758</v>
      </c>
      <c r="K63" s="141">
        <v>0.21278630564156106</v>
      </c>
      <c r="L63" s="141">
        <v>0.37226420325059678</v>
      </c>
    </row>
    <row r="64" spans="1:12" s="142" customFormat="1" x14ac:dyDescent="0.2">
      <c r="A64" s="139" t="s">
        <v>167</v>
      </c>
      <c r="B64" s="139">
        <f t="shared" si="0"/>
        <v>2354957.6266576764</v>
      </c>
      <c r="C64" s="139">
        <f t="shared" si="1"/>
        <v>3248885.2053038096</v>
      </c>
      <c r="D64" s="139">
        <f t="shared" si="2"/>
        <v>4014449.435758871</v>
      </c>
      <c r="E64" s="139">
        <f t="shared" si="3"/>
        <v>4932265.0637908643</v>
      </c>
      <c r="F64" s="139">
        <f t="shared" si="4"/>
        <v>8628871.6684887782</v>
      </c>
      <c r="G64" s="143">
        <v>23179429</v>
      </c>
      <c r="H64" s="141">
        <v>0.10159687827761747</v>
      </c>
      <c r="I64" s="141">
        <v>0.14016243477368703</v>
      </c>
      <c r="J64" s="141">
        <v>0.17319017805653758</v>
      </c>
      <c r="K64" s="141">
        <v>0.21278630564156106</v>
      </c>
      <c r="L64" s="141">
        <v>0.37226420325059678</v>
      </c>
    </row>
    <row r="65" spans="1:71" s="142" customFormat="1" x14ac:dyDescent="0.2">
      <c r="A65" s="139" t="s">
        <v>168</v>
      </c>
      <c r="B65" s="139">
        <f t="shared" si="0"/>
        <v>633283.56585209968</v>
      </c>
      <c r="C65" s="139">
        <f t="shared" si="1"/>
        <v>873674.15216681804</v>
      </c>
      <c r="D65" s="139">
        <f t="shared" si="2"/>
        <v>1079545.9013071582</v>
      </c>
      <c r="E65" s="139">
        <f t="shared" si="3"/>
        <v>1326360.3437987706</v>
      </c>
      <c r="F65" s="139">
        <f t="shared" si="4"/>
        <v>2320433.5218788497</v>
      </c>
      <c r="G65" s="143">
        <v>6233297.4850036968</v>
      </c>
      <c r="H65" s="141">
        <v>0.10159687827761747</v>
      </c>
      <c r="I65" s="141">
        <v>0.14016243477368703</v>
      </c>
      <c r="J65" s="141">
        <v>0.17319017805653758</v>
      </c>
      <c r="K65" s="141">
        <v>0.21278630564156106</v>
      </c>
      <c r="L65" s="141">
        <v>0.37226420325059678</v>
      </c>
    </row>
    <row r="66" spans="1:71" s="142" customFormat="1" x14ac:dyDescent="0.2">
      <c r="A66" s="139" t="s">
        <v>169</v>
      </c>
      <c r="B66" s="139">
        <f t="shared" si="0"/>
        <v>39540.571515010233</v>
      </c>
      <c r="C66" s="139">
        <f t="shared" si="1"/>
        <v>54549.931748325136</v>
      </c>
      <c r="D66" s="139">
        <f t="shared" si="2"/>
        <v>67404.025962582687</v>
      </c>
      <c r="E66" s="139">
        <f t="shared" si="3"/>
        <v>82814.474994440534</v>
      </c>
      <c r="F66" s="139">
        <f t="shared" si="4"/>
        <v>144881.80740048731</v>
      </c>
      <c r="G66" s="143">
        <v>389190.81162084593</v>
      </c>
      <c r="H66" s="141">
        <v>0.10159687827761747</v>
      </c>
      <c r="I66" s="141">
        <v>0.14016243477368703</v>
      </c>
      <c r="J66" s="141">
        <v>0.17319017805653758</v>
      </c>
      <c r="K66" s="141">
        <v>0.21278630564156106</v>
      </c>
      <c r="L66" s="141">
        <v>0.37226420325059678</v>
      </c>
    </row>
    <row r="67" spans="1:71" s="142" customFormat="1" x14ac:dyDescent="0.2">
      <c r="A67" s="139" t="s">
        <v>170</v>
      </c>
      <c r="B67" s="139">
        <f>G67*H67</f>
        <v>250651.82104017062</v>
      </c>
      <c r="C67" s="139">
        <f>G67*I67</f>
        <v>345797.7263971566</v>
      </c>
      <c r="D67" s="139">
        <f>G67*J67</f>
        <v>427281.17489517562</v>
      </c>
      <c r="E67" s="139">
        <f>G67*K67</f>
        <v>524969.62412296631</v>
      </c>
      <c r="F67" s="139">
        <f>G67*L67</f>
        <v>918420.94003971841</v>
      </c>
      <c r="G67" s="143">
        <v>2467121.2864951878</v>
      </c>
      <c r="H67" s="141">
        <v>0.10159687827761747</v>
      </c>
      <c r="I67" s="141">
        <v>0.14016243477368703</v>
      </c>
      <c r="J67" s="141">
        <v>0.17319017805653758</v>
      </c>
      <c r="K67" s="141">
        <v>0.21278630564156106</v>
      </c>
      <c r="L67" s="141">
        <v>0.37226420325059678</v>
      </c>
    </row>
    <row r="68" spans="1:71" s="142" customFormat="1" x14ac:dyDescent="0.2">
      <c r="A68" s="139" t="s">
        <v>171</v>
      </c>
      <c r="B68" s="139">
        <f>G68*H68</f>
        <v>100218.85170048545</v>
      </c>
      <c r="C68" s="139">
        <f>G68*I68</f>
        <v>138261.31769698029</v>
      </c>
      <c r="D68" s="139">
        <f>G68*J68</f>
        <v>170841.0835537716</v>
      </c>
      <c r="E68" s="139">
        <f>G68*K68</f>
        <v>209900.14231258005</v>
      </c>
      <c r="F68" s="139">
        <f>G68*L68</f>
        <v>367214.9342721501</v>
      </c>
      <c r="G68" s="143">
        <v>986436.32953596755</v>
      </c>
      <c r="H68" s="141">
        <v>0.10159687827761747</v>
      </c>
      <c r="I68" s="141">
        <v>0.14016243477368703</v>
      </c>
      <c r="J68" s="141">
        <v>0.17319017805653758</v>
      </c>
      <c r="K68" s="141">
        <v>0.21278630564156106</v>
      </c>
      <c r="L68" s="141">
        <v>0.37226420325059678</v>
      </c>
    </row>
    <row r="69" spans="1:71" x14ac:dyDescent="0.2">
      <c r="A69" s="148" t="s">
        <v>603</v>
      </c>
      <c r="B69" s="149">
        <f>SUM(B2:B68)</f>
        <v>86203679.53233543</v>
      </c>
      <c r="C69" s="149">
        <f>SUM(C2:C68)</f>
        <v>118926071.4949019</v>
      </c>
      <c r="D69" s="149">
        <f>SUM(D2:D68)</f>
        <v>146949698.26275635</v>
      </c>
      <c r="E69" s="149">
        <f>SUM(E2:E68)</f>
        <v>180546516.89466131</v>
      </c>
      <c r="F69" s="149">
        <f>SUM(F2:F68)</f>
        <v>315861516.83407003</v>
      </c>
      <c r="G69" s="150">
        <v>848487483.01872504</v>
      </c>
      <c r="H69" s="149"/>
      <c r="I69" s="149"/>
      <c r="J69" s="149"/>
      <c r="K69" s="149"/>
      <c r="L69" s="149"/>
    </row>
    <row r="70" spans="1:71" x14ac:dyDescent="0.2">
      <c r="B70" s="151"/>
      <c r="C70" s="151"/>
      <c r="D70" s="151"/>
      <c r="E70" s="151"/>
      <c r="F70" s="151"/>
      <c r="G70" s="152"/>
      <c r="M70" s="142"/>
    </row>
    <row r="72" spans="1:71" s="134" customFormat="1" x14ac:dyDescent="0.2">
      <c r="A72" s="127" t="s">
        <v>619</v>
      </c>
      <c r="G72" s="154"/>
    </row>
    <row r="74" spans="1:71" x14ac:dyDescent="0.2">
      <c r="A74" s="128"/>
    </row>
    <row r="75" spans="1:71" s="133" customFormat="1" x14ac:dyDescent="0.2">
      <c r="B75" s="131" t="s">
        <v>370</v>
      </c>
      <c r="C75" s="131" t="s">
        <v>371</v>
      </c>
      <c r="D75" s="131" t="s">
        <v>372</v>
      </c>
      <c r="E75" s="131" t="s">
        <v>373</v>
      </c>
      <c r="F75" s="131" t="s">
        <v>374</v>
      </c>
      <c r="G75" s="131" t="s">
        <v>375</v>
      </c>
      <c r="H75" s="131" t="s">
        <v>376</v>
      </c>
      <c r="I75" s="131" t="s">
        <v>377</v>
      </c>
      <c r="J75" s="131" t="s">
        <v>378</v>
      </c>
      <c r="K75" s="131" t="s">
        <v>379</v>
      </c>
    </row>
    <row r="76" spans="1:71" s="133" customFormat="1" x14ac:dyDescent="0.2">
      <c r="B76" s="132">
        <v>57765416.335504897</v>
      </c>
      <c r="C76" s="132">
        <v>75775888.940560296</v>
      </c>
      <c r="D76" s="132">
        <v>81225825.485055536</v>
      </c>
      <c r="E76" s="132">
        <v>90261672.413050875</v>
      </c>
      <c r="F76" s="132">
        <v>83992742.018667027</v>
      </c>
      <c r="G76" s="132">
        <v>28438263.196830548</v>
      </c>
      <c r="H76" s="132">
        <v>43150182.554341599</v>
      </c>
      <c r="I76" s="132">
        <v>65723872.777700864</v>
      </c>
      <c r="J76" s="132">
        <v>90284844.481610447</v>
      </c>
      <c r="K76" s="132">
        <v>231868774.81540293</v>
      </c>
    </row>
    <row r="77" spans="1:71" s="133" customFormat="1" x14ac:dyDescent="0.2">
      <c r="B77" s="132"/>
      <c r="C77" s="132"/>
      <c r="D77" s="132"/>
      <c r="E77" s="132"/>
      <c r="F77" s="132"/>
      <c r="G77" s="132"/>
      <c r="H77" s="132"/>
      <c r="I77" s="132"/>
      <c r="J77" s="132"/>
      <c r="K77" s="132"/>
    </row>
    <row r="78" spans="1:71" s="133" customFormat="1" x14ac:dyDescent="0.2">
      <c r="B78" s="131" t="s">
        <v>611</v>
      </c>
      <c r="C78" s="131" t="s">
        <v>612</v>
      </c>
      <c r="D78" s="131" t="s">
        <v>613</v>
      </c>
      <c r="E78" s="131" t="s">
        <v>614</v>
      </c>
      <c r="F78" s="131" t="s">
        <v>615</v>
      </c>
      <c r="G78" s="132" t="s">
        <v>620</v>
      </c>
      <c r="H78" s="132"/>
      <c r="I78" s="132"/>
      <c r="J78" s="132"/>
      <c r="K78" s="132"/>
    </row>
    <row r="79" spans="1:71" s="133" customFormat="1" x14ac:dyDescent="0.2">
      <c r="B79" s="132">
        <f>B76+G76</f>
        <v>86203679.532335445</v>
      </c>
      <c r="C79" s="132">
        <f>C76+H76</f>
        <v>118926071.4949019</v>
      </c>
      <c r="D79" s="132">
        <f>D76+I76</f>
        <v>146949698.26275641</v>
      </c>
      <c r="E79" s="132">
        <f>E76+J76</f>
        <v>180546516.89466131</v>
      </c>
      <c r="F79" s="132">
        <f>F76+K76</f>
        <v>315861516.83406997</v>
      </c>
      <c r="G79" s="132">
        <f>SUM(B79:F79)</f>
        <v>848487483.01872504</v>
      </c>
      <c r="H79" s="132"/>
      <c r="I79" s="132"/>
      <c r="J79" s="132"/>
      <c r="K79" s="132"/>
    </row>
    <row r="80" spans="1:71" s="155" customFormat="1" x14ac:dyDescent="0.2">
      <c r="B80" s="156">
        <f>B79/G79</f>
        <v>0.10159687827761749</v>
      </c>
      <c r="C80" s="156">
        <f>C79/G79</f>
        <v>0.14016243477368698</v>
      </c>
      <c r="D80" s="156">
        <f>D79/G79</f>
        <v>0.17319017805653758</v>
      </c>
      <c r="E80" s="156">
        <f>E79/G79</f>
        <v>0.21278630564156109</v>
      </c>
      <c r="F80" s="156">
        <f>F79/G79</f>
        <v>0.37226420325059684</v>
      </c>
      <c r="G80" s="157"/>
      <c r="H80" s="157"/>
      <c r="I80" s="157"/>
      <c r="J80" s="157"/>
      <c r="K80" s="157"/>
      <c r="BR80" s="158"/>
      <c r="BS80" s="158"/>
    </row>
    <row r="83" spans="1:11" s="160" customFormat="1" x14ac:dyDescent="0.2">
      <c r="A83" s="159" t="s">
        <v>621</v>
      </c>
      <c r="G83" s="161"/>
    </row>
    <row r="84" spans="1:11" x14ac:dyDescent="0.2">
      <c r="A84" s="162" t="s">
        <v>370</v>
      </c>
      <c r="B84" s="155">
        <f>C84/C94</f>
        <v>6.8080457863666705E-2</v>
      </c>
      <c r="C84" s="133">
        <f>SUM(D84:K84)</f>
        <v>107.40233930157001</v>
      </c>
      <c r="D84" s="163">
        <v>36.153596753339997</v>
      </c>
      <c r="E84" s="163">
        <v>20.56380720615347</v>
      </c>
      <c r="F84" s="163">
        <v>40.275314891682726</v>
      </c>
      <c r="G84" s="163">
        <v>10.409620450393824</v>
      </c>
      <c r="H84" s="163"/>
      <c r="I84" s="163"/>
      <c r="J84" s="163"/>
      <c r="K84" s="163"/>
    </row>
    <row r="85" spans="1:11" x14ac:dyDescent="0.2">
      <c r="A85" s="162" t="s">
        <v>371</v>
      </c>
      <c r="B85" s="155">
        <f>C85/C94</f>
        <v>8.9307020382866448E-2</v>
      </c>
      <c r="C85" s="133">
        <f t="shared" ref="C85:C93" si="5">SUM(D85:K85)</f>
        <v>140.88893062941355</v>
      </c>
      <c r="D85" s="163">
        <v>37.845730820592159</v>
      </c>
      <c r="E85" s="163">
        <v>23.554103657294188</v>
      </c>
      <c r="F85" s="163">
        <v>58.78006901812477</v>
      </c>
      <c r="G85" s="163">
        <v>20.70902713340244</v>
      </c>
      <c r="H85" s="163"/>
      <c r="I85" s="163"/>
      <c r="J85" s="163"/>
      <c r="K85" s="163"/>
    </row>
    <row r="86" spans="1:11" x14ac:dyDescent="0.2">
      <c r="A86" s="162" t="s">
        <v>372</v>
      </c>
      <c r="B86" s="155">
        <f>C86/C94</f>
        <v>9.5730139938037223E-2</v>
      </c>
      <c r="C86" s="133">
        <f t="shared" si="5"/>
        <v>151.02191280207262</v>
      </c>
      <c r="D86" s="163">
        <v>35.971002078218298</v>
      </c>
      <c r="E86" s="163">
        <v>23.828161499850257</v>
      </c>
      <c r="F86" s="163">
        <v>63.298804160659678</v>
      </c>
      <c r="G86" s="163">
        <v>27.923945063344366</v>
      </c>
      <c r="H86" s="163"/>
      <c r="I86" s="163"/>
      <c r="J86" s="163"/>
      <c r="K86" s="163"/>
    </row>
    <row r="87" spans="1:11" x14ac:dyDescent="0.2">
      <c r="A87" s="162" t="s">
        <v>373</v>
      </c>
      <c r="B87" s="155">
        <f>C87/C94</f>
        <v>0.10637949789420631</v>
      </c>
      <c r="C87" s="133">
        <f t="shared" si="5"/>
        <v>167.82212232538066</v>
      </c>
      <c r="D87" s="163">
        <v>37.937348874453122</v>
      </c>
      <c r="E87" s="163">
        <v>22.79754133460202</v>
      </c>
      <c r="F87" s="163">
        <v>66.388154884226736</v>
      </c>
      <c r="G87" s="163">
        <v>40.69907723209878</v>
      </c>
      <c r="H87" s="163"/>
      <c r="I87" s="163"/>
      <c r="J87" s="163"/>
      <c r="K87" s="163"/>
    </row>
    <row r="88" spans="1:11" x14ac:dyDescent="0.2">
      <c r="A88" s="162" t="s">
        <v>374</v>
      </c>
      <c r="B88" s="155">
        <f>C88/C94</f>
        <v>9.8991138584437324E-2</v>
      </c>
      <c r="C88" s="133">
        <f t="shared" si="5"/>
        <v>156.16639763770618</v>
      </c>
      <c r="D88" s="163">
        <v>33.118079695016135</v>
      </c>
      <c r="E88" s="163">
        <v>16.926963430370861</v>
      </c>
      <c r="F88" s="163">
        <v>57.680498336451912</v>
      </c>
      <c r="G88" s="163">
        <v>48.440856175867282</v>
      </c>
      <c r="H88" s="163"/>
      <c r="I88" s="163"/>
      <c r="J88" s="163"/>
      <c r="K88" s="163"/>
    </row>
    <row r="89" spans="1:11" x14ac:dyDescent="0.2">
      <c r="A89" s="164" t="s">
        <v>375</v>
      </c>
      <c r="B89" s="165">
        <f>C89/C94</f>
        <v>3.3516420413950823E-2</v>
      </c>
      <c r="C89" s="133">
        <f t="shared" si="5"/>
        <v>52.874820035461752</v>
      </c>
      <c r="D89" s="163"/>
      <c r="E89" s="163"/>
      <c r="F89" s="163"/>
      <c r="G89" s="163"/>
      <c r="H89" s="163">
        <v>15.215676107014492</v>
      </c>
      <c r="I89" s="163">
        <v>11.345232097332774</v>
      </c>
      <c r="J89" s="163">
        <v>18.055399707990556</v>
      </c>
      <c r="K89" s="163">
        <v>8.2585121231239338</v>
      </c>
    </row>
    <row r="90" spans="1:11" x14ac:dyDescent="0.2">
      <c r="A90" s="164" t="s">
        <v>376</v>
      </c>
      <c r="B90" s="165">
        <f>C90/C94</f>
        <v>5.08554143908206E-2</v>
      </c>
      <c r="C90" s="133">
        <f t="shared" si="5"/>
        <v>80.228462661967853</v>
      </c>
      <c r="D90" s="163"/>
      <c r="E90" s="163"/>
      <c r="F90" s="163"/>
      <c r="G90" s="163"/>
      <c r="H90" s="163">
        <v>17.650087275538215</v>
      </c>
      <c r="I90" s="163">
        <v>13.447487646288454</v>
      </c>
      <c r="J90" s="163">
        <v>32.399289048574516</v>
      </c>
      <c r="K90" s="163">
        <v>16.73159869156666</v>
      </c>
    </row>
    <row r="91" spans="1:11" x14ac:dyDescent="0.2">
      <c r="A91" s="164" t="s">
        <v>377</v>
      </c>
      <c r="B91" s="165">
        <f>C91/C94</f>
        <v>7.7460038118500357E-2</v>
      </c>
      <c r="C91" s="133">
        <f t="shared" si="5"/>
        <v>122.19937346742827</v>
      </c>
      <c r="D91" s="163"/>
      <c r="E91" s="163"/>
      <c r="F91" s="163"/>
      <c r="G91" s="163"/>
      <c r="H91" s="163">
        <v>19.964487303600947</v>
      </c>
      <c r="I91" s="163">
        <v>17.391530716026562</v>
      </c>
      <c r="J91" s="163">
        <v>48.632222601847644</v>
      </c>
      <c r="K91" s="163">
        <v>36.211132845953109</v>
      </c>
    </row>
    <row r="92" spans="1:11" x14ac:dyDescent="0.2">
      <c r="A92" s="164" t="s">
        <v>378</v>
      </c>
      <c r="B92" s="165">
        <f>C92/C94</f>
        <v>0.1064068077473548</v>
      </c>
      <c r="C92" s="133">
        <f t="shared" si="5"/>
        <v>167.86520579171111</v>
      </c>
      <c r="D92" s="163"/>
      <c r="E92" s="163"/>
      <c r="F92" s="163"/>
      <c r="G92" s="163"/>
      <c r="H92" s="163">
        <v>21.952808113032795</v>
      </c>
      <c r="I92" s="163">
        <v>19.997914030621036</v>
      </c>
      <c r="J92" s="163">
        <v>63.700729302710016</v>
      </c>
      <c r="K92" s="163">
        <v>62.21375434534724</v>
      </c>
    </row>
    <row r="93" spans="1:11" x14ac:dyDescent="0.2">
      <c r="A93" s="164" t="s">
        <v>379</v>
      </c>
      <c r="B93" s="165">
        <f>C93/C94</f>
        <v>0.27327306466615947</v>
      </c>
      <c r="C93" s="133">
        <f t="shared" si="5"/>
        <v>431.11000328507464</v>
      </c>
      <c r="D93" s="163"/>
      <c r="E93" s="163"/>
      <c r="F93" s="163"/>
      <c r="G93" s="163"/>
      <c r="H93" s="163">
        <v>19.499982834542443</v>
      </c>
      <c r="I93" s="163">
        <v>19.221642122326184</v>
      </c>
      <c r="J93" s="163">
        <v>81.592338420251252</v>
      </c>
      <c r="K93" s="163">
        <v>310.79603990795476</v>
      </c>
    </row>
    <row r="94" spans="1:11" x14ac:dyDescent="0.2">
      <c r="B94" s="133"/>
      <c r="C94" s="133">
        <f>SUM(C84:C93)</f>
        <v>1577.5795679377866</v>
      </c>
      <c r="G94" s="129"/>
    </row>
    <row r="96" spans="1:11" s="160" customFormat="1" x14ac:dyDescent="0.2">
      <c r="A96" s="159" t="s">
        <v>622</v>
      </c>
      <c r="G96" s="161"/>
    </row>
    <row r="97" spans="1:71" x14ac:dyDescent="0.2">
      <c r="A97" s="166" t="s">
        <v>370</v>
      </c>
      <c r="B97" s="155">
        <v>6.8080457863666705E-2</v>
      </c>
      <c r="C97" s="129">
        <f>B97*C107</f>
        <v>57765416.335504927</v>
      </c>
      <c r="D97" s="155"/>
    </row>
    <row r="98" spans="1:71" x14ac:dyDescent="0.2">
      <c r="A98" s="166" t="s">
        <v>371</v>
      </c>
      <c r="B98" s="155">
        <v>8.9307020382866448E-2</v>
      </c>
      <c r="C98" s="129">
        <f>B98*C107</f>
        <v>75775888.940560326</v>
      </c>
      <c r="D98" s="155"/>
    </row>
    <row r="99" spans="1:71" x14ac:dyDescent="0.2">
      <c r="A99" s="166" t="s">
        <v>372</v>
      </c>
      <c r="B99" s="155">
        <v>9.5730139938037223E-2</v>
      </c>
      <c r="C99" s="129">
        <f>B99*C107</f>
        <v>81225825.485055536</v>
      </c>
      <c r="D99" s="155"/>
    </row>
    <row r="100" spans="1:71" x14ac:dyDescent="0.2">
      <c r="A100" s="166" t="s">
        <v>373</v>
      </c>
      <c r="B100" s="155">
        <v>0.10637949789420631</v>
      </c>
      <c r="C100" s="129">
        <f>B100*C107</f>
        <v>90261672.413050875</v>
      </c>
      <c r="D100" s="155"/>
    </row>
    <row r="101" spans="1:71" x14ac:dyDescent="0.2">
      <c r="A101" s="166" t="s">
        <v>374</v>
      </c>
      <c r="B101" s="155">
        <v>9.8991138584437324E-2</v>
      </c>
      <c r="C101" s="129">
        <f>B101*C107</f>
        <v>83992742.018667027</v>
      </c>
      <c r="D101" s="155"/>
    </row>
    <row r="102" spans="1:71" x14ac:dyDescent="0.2">
      <c r="A102" s="166" t="s">
        <v>375</v>
      </c>
      <c r="B102" s="155">
        <v>3.3516420413950823E-2</v>
      </c>
      <c r="C102" s="129">
        <f>B102*C107</f>
        <v>28438263.196830548</v>
      </c>
      <c r="D102" s="155"/>
    </row>
    <row r="103" spans="1:71" x14ac:dyDescent="0.2">
      <c r="A103" s="166" t="s">
        <v>376</v>
      </c>
      <c r="B103" s="155">
        <v>5.08554143908206E-2</v>
      </c>
      <c r="C103" s="129">
        <f>B103*C107</f>
        <v>43150182.554341622</v>
      </c>
      <c r="D103" s="155"/>
    </row>
    <row r="104" spans="1:71" x14ac:dyDescent="0.2">
      <c r="A104" s="166" t="s">
        <v>377</v>
      </c>
      <c r="B104" s="155">
        <v>7.7460038118500357E-2</v>
      </c>
      <c r="C104" s="129">
        <f>B104*C107</f>
        <v>65723872.777700864</v>
      </c>
      <c r="D104" s="155"/>
    </row>
    <row r="105" spans="1:71" x14ac:dyDescent="0.2">
      <c r="A105" s="166" t="s">
        <v>378</v>
      </c>
      <c r="B105" s="155">
        <v>0.1064068077473548</v>
      </c>
      <c r="C105" s="129">
        <f>B105*C107</f>
        <v>90284844.481610447</v>
      </c>
      <c r="D105" s="155"/>
    </row>
    <row r="106" spans="1:71" x14ac:dyDescent="0.2">
      <c r="A106" s="166" t="s">
        <v>379</v>
      </c>
      <c r="B106" s="155">
        <v>0.27327306466615947</v>
      </c>
      <c r="C106" s="129">
        <f>B106*C107</f>
        <v>231868774.81540293</v>
      </c>
      <c r="D106" s="155"/>
    </row>
    <row r="107" spans="1:71" x14ac:dyDescent="0.2">
      <c r="B107" s="133"/>
      <c r="C107" s="167">
        <v>848487483.01872504</v>
      </c>
    </row>
    <row r="109" spans="1:71" s="168" customFormat="1" ht="143" x14ac:dyDescent="0.15">
      <c r="B109" s="169" t="s">
        <v>105</v>
      </c>
      <c r="C109" s="170" t="s">
        <v>106</v>
      </c>
      <c r="D109" s="170" t="s">
        <v>107</v>
      </c>
      <c r="E109" s="170" t="s">
        <v>108</v>
      </c>
      <c r="F109" s="170" t="s">
        <v>109</v>
      </c>
      <c r="G109" s="170" t="s">
        <v>110</v>
      </c>
      <c r="H109" s="170" t="s">
        <v>111</v>
      </c>
      <c r="I109" s="170" t="s">
        <v>112</v>
      </c>
      <c r="J109" s="170" t="s">
        <v>113</v>
      </c>
      <c r="K109" s="170" t="s">
        <v>114</v>
      </c>
      <c r="L109" s="169" t="s">
        <v>115</v>
      </c>
      <c r="M109" s="170" t="s">
        <v>116</v>
      </c>
      <c r="N109" s="170" t="s">
        <v>117</v>
      </c>
      <c r="O109" s="171" t="s">
        <v>118</v>
      </c>
      <c r="P109" s="170" t="s">
        <v>119</v>
      </c>
      <c r="Q109" s="170" t="s">
        <v>120</v>
      </c>
      <c r="R109" s="170" t="s">
        <v>121</v>
      </c>
      <c r="S109" s="170" t="s">
        <v>122</v>
      </c>
      <c r="T109" s="170" t="s">
        <v>123</v>
      </c>
      <c r="U109" s="170" t="s">
        <v>124</v>
      </c>
      <c r="V109" s="170" t="s">
        <v>125</v>
      </c>
      <c r="W109" s="170" t="s">
        <v>126</v>
      </c>
      <c r="X109" s="170" t="s">
        <v>127</v>
      </c>
      <c r="Y109" s="170" t="s">
        <v>128</v>
      </c>
      <c r="Z109" s="170" t="s">
        <v>129</v>
      </c>
      <c r="AA109" s="170" t="s">
        <v>130</v>
      </c>
      <c r="AB109" s="170" t="s">
        <v>131</v>
      </c>
      <c r="AC109" s="170" t="s">
        <v>132</v>
      </c>
      <c r="AD109" s="170" t="s">
        <v>133</v>
      </c>
      <c r="AE109" s="170" t="s">
        <v>134</v>
      </c>
      <c r="AF109" s="170" t="s">
        <v>135</v>
      </c>
      <c r="AG109" s="170" t="s">
        <v>136</v>
      </c>
      <c r="AH109" s="170" t="s">
        <v>137</v>
      </c>
      <c r="AI109" s="170" t="s">
        <v>138</v>
      </c>
      <c r="AJ109" s="170" t="s">
        <v>139</v>
      </c>
      <c r="AK109" s="170" t="s">
        <v>140</v>
      </c>
      <c r="AL109" s="170" t="s">
        <v>141</v>
      </c>
      <c r="AM109" s="170" t="s">
        <v>142</v>
      </c>
      <c r="AN109" s="170" t="s">
        <v>143</v>
      </c>
      <c r="AO109" s="170" t="s">
        <v>144</v>
      </c>
      <c r="AP109" s="170" t="s">
        <v>145</v>
      </c>
      <c r="AQ109" s="170" t="s">
        <v>146</v>
      </c>
      <c r="AR109" s="170" t="s">
        <v>147</v>
      </c>
      <c r="AS109" s="170" t="s">
        <v>148</v>
      </c>
      <c r="AT109" s="170" t="s">
        <v>149</v>
      </c>
      <c r="AU109" s="170" t="s">
        <v>150</v>
      </c>
      <c r="AV109" s="170" t="s">
        <v>151</v>
      </c>
      <c r="AW109" s="170" t="s">
        <v>152</v>
      </c>
      <c r="AX109" s="170" t="s">
        <v>153</v>
      </c>
      <c r="AY109" s="170" t="s">
        <v>154</v>
      </c>
      <c r="AZ109" s="170" t="s">
        <v>155</v>
      </c>
      <c r="BA109" s="170" t="s">
        <v>156</v>
      </c>
      <c r="BB109" s="170" t="s">
        <v>157</v>
      </c>
      <c r="BC109" s="170" t="s">
        <v>158</v>
      </c>
      <c r="BD109" s="170" t="s">
        <v>159</v>
      </c>
      <c r="BE109" s="170" t="s">
        <v>160</v>
      </c>
      <c r="BF109" s="170" t="s">
        <v>161</v>
      </c>
      <c r="BG109" s="170" t="s">
        <v>162</v>
      </c>
      <c r="BH109" s="170" t="s">
        <v>163</v>
      </c>
      <c r="BI109" s="170" t="s">
        <v>164</v>
      </c>
      <c r="BJ109" s="170" t="s">
        <v>165</v>
      </c>
      <c r="BK109" s="170" t="s">
        <v>166</v>
      </c>
      <c r="BL109" s="170" t="s">
        <v>167</v>
      </c>
      <c r="BM109" s="170" t="s">
        <v>168</v>
      </c>
      <c r="BN109" s="170" t="s">
        <v>169</v>
      </c>
      <c r="BO109" s="170" t="s">
        <v>170</v>
      </c>
      <c r="BP109" s="170" t="s">
        <v>171</v>
      </c>
      <c r="BQ109" s="172" t="s">
        <v>172</v>
      </c>
      <c r="BR109" s="170"/>
      <c r="BS109" s="170"/>
    </row>
    <row r="110" spans="1:71" s="133" customFormat="1" x14ac:dyDescent="0.2">
      <c r="A110" s="129" t="s">
        <v>623</v>
      </c>
      <c r="B110" s="173">
        <v>80476156.065405294</v>
      </c>
      <c r="C110" s="174">
        <v>8125941.7044193177</v>
      </c>
      <c r="D110" s="174">
        <v>6814903.6098369956</v>
      </c>
      <c r="E110" s="174">
        <v>8804263.5647375342</v>
      </c>
      <c r="F110" s="174">
        <v>11811300.728158515</v>
      </c>
      <c r="G110" s="174">
        <v>1914751.532744657</v>
      </c>
      <c r="H110" s="174">
        <v>1918057.2078645255</v>
      </c>
      <c r="I110" s="174">
        <v>6173186.277913372</v>
      </c>
      <c r="J110" s="174">
        <v>2140807.9648072226</v>
      </c>
      <c r="K110" s="174">
        <v>74532.00534986773</v>
      </c>
      <c r="L110" s="173">
        <v>125833.73429759493</v>
      </c>
      <c r="M110" s="174">
        <v>1569455.3282468296</v>
      </c>
      <c r="N110" s="174">
        <v>1174853.4829643355</v>
      </c>
      <c r="O110" s="175">
        <v>10892264.042786559</v>
      </c>
      <c r="P110" s="174">
        <v>5637970.8475057259</v>
      </c>
      <c r="Q110" s="174">
        <v>4753009.1934930617</v>
      </c>
      <c r="R110" s="174">
        <v>1508341.923040519</v>
      </c>
      <c r="S110" s="174">
        <v>5742540.6706028022</v>
      </c>
      <c r="T110" s="174">
        <v>6671322.0149720805</v>
      </c>
      <c r="U110" s="174">
        <v>1720912.0484188707</v>
      </c>
      <c r="V110" s="174">
        <v>938810.36339518195</v>
      </c>
      <c r="W110" s="174">
        <v>3198612.466132428</v>
      </c>
      <c r="X110" s="174">
        <v>1624733.6485686307</v>
      </c>
      <c r="Y110" s="174">
        <v>1190994.6467205868</v>
      </c>
      <c r="Z110" s="174">
        <v>426776.19791651022</v>
      </c>
      <c r="AA110" s="174">
        <v>3906149.2732316614</v>
      </c>
      <c r="AB110" s="174">
        <v>2580650.0711581805</v>
      </c>
      <c r="AC110" s="174">
        <v>3250307.800019932</v>
      </c>
      <c r="AD110" s="174">
        <v>42082235.555486932</v>
      </c>
      <c r="AE110" s="174">
        <v>9331250</v>
      </c>
      <c r="AF110" s="174">
        <v>35584667.794482313</v>
      </c>
      <c r="AG110" s="174">
        <v>51854127.356499292</v>
      </c>
      <c r="AH110" s="174">
        <v>59069824.714779012</v>
      </c>
      <c r="AI110" s="174">
        <v>6285076.3276864877</v>
      </c>
      <c r="AJ110" s="174">
        <v>8999823.9516043738</v>
      </c>
      <c r="AK110" s="174">
        <v>1261676.6386671078</v>
      </c>
      <c r="AL110" s="174">
        <v>194473.68658357483</v>
      </c>
      <c r="AM110" s="174">
        <v>2285180.5499999998</v>
      </c>
      <c r="AN110" s="174">
        <v>14980810.36921878</v>
      </c>
      <c r="AO110" s="174">
        <v>39088284.61505159</v>
      </c>
      <c r="AP110" s="174">
        <v>6354575.945892469</v>
      </c>
      <c r="AQ110" s="174">
        <v>728340</v>
      </c>
      <c r="AR110" s="174">
        <v>4413972.8663749974</v>
      </c>
      <c r="AS110" s="174">
        <v>1667584.6053435472</v>
      </c>
      <c r="AT110" s="174">
        <v>608421.15074392629</v>
      </c>
      <c r="AU110" s="174">
        <v>2152406.52119296</v>
      </c>
      <c r="AV110" s="174">
        <v>27927.279801584064</v>
      </c>
      <c r="AW110" s="174">
        <v>1314335.5591416815</v>
      </c>
      <c r="AX110" s="174">
        <v>3262208.0760496478</v>
      </c>
      <c r="AY110" s="174">
        <v>12311.909398932075</v>
      </c>
      <c r="AZ110" s="174">
        <v>776859.62129720778</v>
      </c>
      <c r="BA110" s="174">
        <v>181156.43539567242</v>
      </c>
      <c r="BB110" s="174">
        <v>2222899.5526337442</v>
      </c>
      <c r="BC110" s="174">
        <v>734037.74336512503</v>
      </c>
      <c r="BD110" s="174">
        <v>373643.08668456535</v>
      </c>
      <c r="BE110" s="174">
        <v>1897510.9492306011</v>
      </c>
      <c r="BF110" s="174">
        <v>138549628</v>
      </c>
      <c r="BG110" s="174">
        <v>120585164</v>
      </c>
      <c r="BH110" s="174">
        <v>73135388</v>
      </c>
      <c r="BI110" s="174">
        <v>20259.185336933719</v>
      </c>
      <c r="BJ110" s="174">
        <v>4500.3384174547973</v>
      </c>
      <c r="BK110" s="174">
        <v>24007.305</v>
      </c>
      <c r="BL110" s="174">
        <v>23179429</v>
      </c>
      <c r="BM110" s="174">
        <v>6233297.4850036968</v>
      </c>
      <c r="BN110" s="174">
        <v>389190.81162084593</v>
      </c>
      <c r="BO110" s="174">
        <v>2467121.2864951878</v>
      </c>
      <c r="BP110" s="174">
        <v>986436.32953596755</v>
      </c>
      <c r="BQ110" s="176">
        <v>848487483.01872492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C22F5-8484-BC46-BF9D-CE4B648F38D9}">
  <sheetPr>
    <tabColor theme="5" tint="0.59999389629810485"/>
  </sheetPr>
  <dimension ref="A1:M23"/>
  <sheetViews>
    <sheetView zoomScale="125" workbookViewId="0">
      <selection activeCell="C16" sqref="C16"/>
    </sheetView>
  </sheetViews>
  <sheetFormatPr baseColWidth="10" defaultRowHeight="16" x14ac:dyDescent="0.2"/>
  <cols>
    <col min="1" max="16384" width="10.83203125" style="129"/>
  </cols>
  <sheetData>
    <row r="1" spans="1:13" x14ac:dyDescent="0.2">
      <c r="B1" s="138" t="s">
        <v>370</v>
      </c>
      <c r="C1" s="138" t="s">
        <v>371</v>
      </c>
      <c r="D1" s="138" t="s">
        <v>372</v>
      </c>
      <c r="E1" s="138" t="s">
        <v>373</v>
      </c>
      <c r="F1" s="138" t="s">
        <v>374</v>
      </c>
      <c r="G1" s="177" t="s">
        <v>375</v>
      </c>
      <c r="H1" s="177" t="s">
        <v>376</v>
      </c>
      <c r="I1" s="177" t="s">
        <v>377</v>
      </c>
      <c r="J1" s="177" t="s">
        <v>378</v>
      </c>
      <c r="K1" s="177" t="s">
        <v>379</v>
      </c>
    </row>
    <row r="2" spans="1:13" x14ac:dyDescent="0.2">
      <c r="A2" s="178" t="s">
        <v>369</v>
      </c>
      <c r="B2" s="155">
        <f>B13/B23</f>
        <v>4.9649580143524441E-2</v>
      </c>
      <c r="C2" s="155">
        <f>B14/B23</f>
        <v>6.7407570272237038E-2</v>
      </c>
      <c r="D2" s="155">
        <f>B15/B23</f>
        <v>7.7708092239078486E-2</v>
      </c>
      <c r="E2" s="155">
        <f>B16/B23</f>
        <v>9.0880849645928061E-2</v>
      </c>
      <c r="F2" s="155">
        <f>B17/B23</f>
        <v>0.11019927531822697</v>
      </c>
      <c r="G2" s="155">
        <f>B18/B23</f>
        <v>3.1052061383334318E-2</v>
      </c>
      <c r="H2" s="155">
        <f>B19/B23</f>
        <v>4.9747255803211696E-2</v>
      </c>
      <c r="I2" s="155">
        <f>B20/B23</f>
        <v>7.5004658996106144E-2</v>
      </c>
      <c r="J2" s="155">
        <f>B21/B23</f>
        <v>0.10346669451235131</v>
      </c>
      <c r="K2" s="155">
        <f>B22/B23</f>
        <v>0.34488396168600133</v>
      </c>
    </row>
    <row r="4" spans="1:13" s="133" customFormat="1" x14ac:dyDescent="0.2">
      <c r="B4" s="131" t="s">
        <v>611</v>
      </c>
      <c r="C4" s="131" t="s">
        <v>612</v>
      </c>
      <c r="D4" s="131" t="s">
        <v>613</v>
      </c>
      <c r="E4" s="131" t="s">
        <v>614</v>
      </c>
      <c r="F4" s="131" t="s">
        <v>615</v>
      </c>
      <c r="G4" s="132"/>
      <c r="H4" s="132"/>
      <c r="I4" s="132"/>
      <c r="J4" s="132"/>
      <c r="K4" s="132"/>
    </row>
    <row r="5" spans="1:13" s="180" customFormat="1" x14ac:dyDescent="0.2">
      <c r="A5" s="179" t="s">
        <v>369</v>
      </c>
      <c r="B5" s="180">
        <f>B2+G2</f>
        <v>8.0701641526858756E-2</v>
      </c>
      <c r="C5" s="180">
        <f>C2+H2</f>
        <v>0.11715482607544873</v>
      </c>
      <c r="D5" s="180">
        <f>D2+I2</f>
        <v>0.15271275123518463</v>
      </c>
      <c r="E5" s="180">
        <f>E2+J2</f>
        <v>0.19434754415827937</v>
      </c>
      <c r="F5" s="180">
        <f>F2+K2</f>
        <v>0.45508323700422831</v>
      </c>
    </row>
    <row r="6" spans="1:13" x14ac:dyDescent="0.2">
      <c r="A6" s="178"/>
      <c r="B6" s="181"/>
      <c r="C6" s="181"/>
      <c r="D6" s="181"/>
      <c r="E6" s="181"/>
      <c r="F6" s="181"/>
    </row>
    <row r="8" spans="1:13" s="134" customFormat="1" x14ac:dyDescent="0.2">
      <c r="A8" s="601" t="s">
        <v>624</v>
      </c>
      <c r="B8" s="601"/>
      <c r="C8" s="601"/>
      <c r="D8" s="601"/>
      <c r="E8" s="601"/>
      <c r="F8" s="601"/>
      <c r="M8" s="183"/>
    </row>
    <row r="12" spans="1:13" x14ac:dyDescent="0.2">
      <c r="A12" s="178" t="s">
        <v>369</v>
      </c>
    </row>
    <row r="13" spans="1:13" x14ac:dyDescent="0.2">
      <c r="A13" s="184" t="s">
        <v>370</v>
      </c>
      <c r="B13" s="185">
        <v>111.089580540735</v>
      </c>
    </row>
    <row r="14" spans="1:13" x14ac:dyDescent="0.2">
      <c r="A14" s="184" t="s">
        <v>371</v>
      </c>
      <c r="B14" s="185">
        <v>150.8225988047875</v>
      </c>
    </row>
    <row r="15" spans="1:13" x14ac:dyDescent="0.2">
      <c r="A15" s="184" t="s">
        <v>372</v>
      </c>
      <c r="B15" s="185">
        <v>173.86973558498212</v>
      </c>
    </row>
    <row r="16" spans="1:13" x14ac:dyDescent="0.2">
      <c r="A16" s="184" t="s">
        <v>373</v>
      </c>
      <c r="B16" s="185">
        <v>203.34342077348896</v>
      </c>
    </row>
    <row r="17" spans="1:2" x14ac:dyDescent="0.2">
      <c r="A17" s="184" t="s">
        <v>374</v>
      </c>
      <c r="B17" s="185">
        <v>246.56787097909569</v>
      </c>
    </row>
    <row r="18" spans="1:2" x14ac:dyDescent="0.2">
      <c r="A18" s="186" t="s">
        <v>375</v>
      </c>
      <c r="B18" s="185">
        <v>69.478139876066493</v>
      </c>
    </row>
    <row r="19" spans="1:2" x14ac:dyDescent="0.2">
      <c r="A19" s="186" t="s">
        <v>376</v>
      </c>
      <c r="B19" s="185">
        <v>111.3081271635328</v>
      </c>
    </row>
    <row r="20" spans="1:2" x14ac:dyDescent="0.2">
      <c r="A20" s="186" t="s">
        <v>377</v>
      </c>
      <c r="B20" s="185">
        <v>167.82087748560812</v>
      </c>
    </row>
    <row r="21" spans="1:2" x14ac:dyDescent="0.2">
      <c r="A21" s="186" t="s">
        <v>378</v>
      </c>
      <c r="B21" s="185">
        <v>231.50390517073873</v>
      </c>
    </row>
    <row r="22" spans="1:2" x14ac:dyDescent="0.2">
      <c r="A22" s="186" t="s">
        <v>379</v>
      </c>
      <c r="B22" s="185">
        <v>771.66845174060938</v>
      </c>
    </row>
    <row r="23" spans="1:2" x14ac:dyDescent="0.2">
      <c r="A23" s="129" t="s">
        <v>389</v>
      </c>
      <c r="B23" s="151">
        <f>SUM(B13:B22)</f>
        <v>2237.4727081196452</v>
      </c>
    </row>
  </sheetData>
  <mergeCells count="1">
    <mergeCell ref="A8:F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E97AB-21D5-284F-8CF0-6B0515440BE4}">
  <sheetPr>
    <tabColor theme="5" tint="0.59999389629810485"/>
  </sheetPr>
  <dimension ref="A1:P45"/>
  <sheetViews>
    <sheetView zoomScale="125" workbookViewId="0">
      <selection activeCell="I40" sqref="I40"/>
    </sheetView>
  </sheetViews>
  <sheetFormatPr baseColWidth="10" defaultRowHeight="16" x14ac:dyDescent="0.2"/>
  <cols>
    <col min="1" max="1" width="13.33203125" style="129" customWidth="1"/>
    <col min="2" max="2" width="10.83203125" style="129"/>
    <col min="3" max="3" width="10.83203125" style="133"/>
    <col min="4" max="12" width="10.83203125" style="129"/>
    <col min="13" max="13" width="10.83203125" style="133"/>
    <col min="14" max="16384" width="10.83203125" style="129"/>
  </cols>
  <sheetData>
    <row r="1" spans="1:16" x14ac:dyDescent="0.2">
      <c r="A1" s="187" t="s">
        <v>370</v>
      </c>
      <c r="B1" s="187" t="s">
        <v>371</v>
      </c>
      <c r="C1" s="187" t="s">
        <v>372</v>
      </c>
      <c r="D1" s="187" t="s">
        <v>373</v>
      </c>
      <c r="E1" s="187" t="s">
        <v>374</v>
      </c>
      <c r="F1" s="187" t="s">
        <v>375</v>
      </c>
      <c r="G1" s="187" t="s">
        <v>376</v>
      </c>
      <c r="H1" s="187" t="s">
        <v>377</v>
      </c>
      <c r="I1" s="187" t="s">
        <v>378</v>
      </c>
      <c r="J1" s="187" t="s">
        <v>379</v>
      </c>
    </row>
    <row r="2" spans="1:16" x14ac:dyDescent="0.2">
      <c r="A2" s="129">
        <v>1978875.5422871287</v>
      </c>
      <c r="B2" s="129">
        <v>3303588.4472580003</v>
      </c>
      <c r="C2" s="129">
        <v>3938043.4797698138</v>
      </c>
      <c r="D2" s="129">
        <v>4923029.0799861159</v>
      </c>
      <c r="E2" s="129">
        <v>5537180.6524834968</v>
      </c>
      <c r="F2" s="129">
        <v>892258.88438356691</v>
      </c>
      <c r="G2" s="129">
        <v>2010116.7781636461</v>
      </c>
      <c r="H2" s="129">
        <v>3327233.6009701663</v>
      </c>
      <c r="I2" s="129">
        <v>5174894.795608134</v>
      </c>
      <c r="J2" s="129">
        <v>15582375.224969743</v>
      </c>
    </row>
    <row r="4" spans="1:16" x14ac:dyDescent="0.2">
      <c r="A4" s="131" t="s">
        <v>611</v>
      </c>
      <c r="B4" s="131" t="s">
        <v>612</v>
      </c>
      <c r="C4" s="131" t="s">
        <v>613</v>
      </c>
      <c r="D4" s="131" t="s">
        <v>614</v>
      </c>
      <c r="E4" s="131" t="s">
        <v>615</v>
      </c>
    </row>
    <row r="5" spans="1:16" x14ac:dyDescent="0.2">
      <c r="A5" s="129">
        <f>A2+F2</f>
        <v>2871134.4266706957</v>
      </c>
      <c r="B5" s="129">
        <f>B2+G2</f>
        <v>5313705.2254216466</v>
      </c>
      <c r="C5" s="129">
        <f>C2+H2</f>
        <v>7265277.0807399806</v>
      </c>
      <c r="D5" s="129">
        <f>D2+I2</f>
        <v>10097923.875594251</v>
      </c>
      <c r="E5" s="129">
        <f>E2+J2</f>
        <v>21119555.877453238</v>
      </c>
    </row>
    <row r="7" spans="1:16" x14ac:dyDescent="0.2">
      <c r="A7" s="131" t="s">
        <v>611</v>
      </c>
      <c r="B7" s="131" t="s">
        <v>612</v>
      </c>
      <c r="C7" s="131" t="s">
        <v>613</v>
      </c>
      <c r="D7" s="131" t="s">
        <v>614</v>
      </c>
      <c r="E7" s="131" t="s">
        <v>615</v>
      </c>
    </row>
    <row r="8" spans="1:16" x14ac:dyDescent="0.2">
      <c r="A8" s="188">
        <f>A5/SUM(I29,I34)</f>
        <v>3.3306402258545337E-2</v>
      </c>
      <c r="B8" s="188">
        <f>B5/SUM(I30,I35)</f>
        <v>4.4680742907154979E-2</v>
      </c>
      <c r="C8" s="188">
        <f>C5/SUM(I31,I36)</f>
        <v>4.9440571614847099E-2</v>
      </c>
      <c r="D8" s="188">
        <f>D5/SUM(I37,I32)</f>
        <v>5.5929762862641202E-2</v>
      </c>
      <c r="E8" s="188">
        <f>E5/SUM(I38,I33)</f>
        <v>6.6863339634210248E-2</v>
      </c>
    </row>
    <row r="10" spans="1:16" s="134" customFormat="1" x14ac:dyDescent="0.2">
      <c r="A10" s="601" t="s">
        <v>692</v>
      </c>
      <c r="B10" s="601"/>
      <c r="C10" s="601"/>
      <c r="D10" s="601"/>
      <c r="E10" s="601"/>
      <c r="F10" s="601"/>
      <c r="M10" s="183"/>
    </row>
    <row r="11" spans="1:16" s="134" customFormat="1" x14ac:dyDescent="0.2">
      <c r="A11" s="182"/>
      <c r="B11" s="182"/>
      <c r="C11" s="182"/>
      <c r="D11" s="182"/>
      <c r="E11" s="182"/>
      <c r="F11" s="182"/>
      <c r="M11" s="183"/>
    </row>
    <row r="12" spans="1:16" s="134" customFormat="1" x14ac:dyDescent="0.2">
      <c r="A12" s="182"/>
      <c r="B12" s="182"/>
      <c r="C12" s="182"/>
      <c r="D12" s="182"/>
      <c r="E12" s="182"/>
      <c r="F12" s="182"/>
      <c r="M12" s="183"/>
    </row>
    <row r="13" spans="1:16" x14ac:dyDescent="0.2">
      <c r="A13" s="129" t="s">
        <v>625</v>
      </c>
      <c r="G13" s="151" t="s">
        <v>463</v>
      </c>
      <c r="H13" s="151" t="s">
        <v>464</v>
      </c>
      <c r="I13" s="151" t="s">
        <v>465</v>
      </c>
      <c r="J13" s="151"/>
      <c r="K13" s="151"/>
      <c r="L13" s="151"/>
      <c r="M13" s="151"/>
      <c r="N13" s="151"/>
      <c r="O13" s="151"/>
      <c r="P13" s="151"/>
    </row>
    <row r="14" spans="1:16" x14ac:dyDescent="0.2">
      <c r="A14" s="129" t="s">
        <v>626</v>
      </c>
      <c r="E14" s="129" t="s">
        <v>370</v>
      </c>
      <c r="G14" s="189">
        <v>3.6792924886731502</v>
      </c>
      <c r="H14" s="155">
        <f>G14/SUM(I14:S14)</f>
        <v>3.425709824012526E-2</v>
      </c>
      <c r="I14" s="163">
        <v>36.153596753339997</v>
      </c>
      <c r="J14" s="163">
        <v>20.56380720615347</v>
      </c>
      <c r="K14" s="163">
        <v>40.275314891682726</v>
      </c>
      <c r="L14" s="163">
        <v>10.409620450393824</v>
      </c>
      <c r="M14" s="163"/>
      <c r="N14" s="163"/>
      <c r="O14" s="163"/>
      <c r="P14" s="163"/>
    </row>
    <row r="15" spans="1:16" x14ac:dyDescent="0.2">
      <c r="E15" s="129" t="s">
        <v>371</v>
      </c>
      <c r="G15" s="189">
        <v>6.1423105697771678</v>
      </c>
      <c r="H15" s="155">
        <f t="shared" ref="H15:H23" si="0">G15/SUM(I15:S15)</f>
        <v>4.3596828667353302E-2</v>
      </c>
      <c r="I15" s="163">
        <v>37.845730820592159</v>
      </c>
      <c r="J15" s="163">
        <v>23.554103657294188</v>
      </c>
      <c r="K15" s="163">
        <v>58.78006901812477</v>
      </c>
      <c r="L15" s="163">
        <v>20.70902713340244</v>
      </c>
      <c r="M15" s="163"/>
      <c r="N15" s="163"/>
      <c r="O15" s="163"/>
      <c r="P15" s="163"/>
    </row>
    <row r="16" spans="1:16" x14ac:dyDescent="0.2">
      <c r="E16" s="129" t="s">
        <v>372</v>
      </c>
      <c r="G16" s="189">
        <v>7.3219429345410587</v>
      </c>
      <c r="H16" s="155">
        <f t="shared" si="0"/>
        <v>4.8482652607751718E-2</v>
      </c>
      <c r="I16" s="163">
        <v>35.971002078218298</v>
      </c>
      <c r="J16" s="163">
        <v>23.828161499850257</v>
      </c>
      <c r="K16" s="163">
        <v>63.298804160659678</v>
      </c>
      <c r="L16" s="163">
        <v>27.923945063344366</v>
      </c>
      <c r="M16" s="163"/>
      <c r="N16" s="163"/>
      <c r="O16" s="163"/>
      <c r="P16" s="163"/>
    </row>
    <row r="17" spans="1:16" x14ac:dyDescent="0.2">
      <c r="E17" s="129" t="s">
        <v>373</v>
      </c>
      <c r="G17" s="189">
        <v>9.1533113267838981</v>
      </c>
      <c r="H17" s="155">
        <f t="shared" si="0"/>
        <v>5.4541744556400429E-2</v>
      </c>
      <c r="I17" s="163">
        <v>37.937348874453122</v>
      </c>
      <c r="J17" s="163">
        <v>22.79754133460202</v>
      </c>
      <c r="K17" s="163">
        <v>66.388154884226736</v>
      </c>
      <c r="L17" s="163">
        <v>40.69907723209878</v>
      </c>
      <c r="M17" s="163"/>
      <c r="N17" s="163"/>
      <c r="O17" s="163"/>
      <c r="P17" s="163"/>
    </row>
    <row r="18" spans="1:16" x14ac:dyDescent="0.2">
      <c r="E18" s="129" t="s">
        <v>374</v>
      </c>
      <c r="G18" s="189">
        <v>10.295193784426878</v>
      </c>
      <c r="H18" s="155">
        <f>G18/SUM(I18:S18)</f>
        <v>6.5924513468709978E-2</v>
      </c>
      <c r="I18" s="163">
        <v>33.118079695016135</v>
      </c>
      <c r="J18" s="163">
        <v>16.926963430370861</v>
      </c>
      <c r="K18" s="163">
        <v>57.680498336451912</v>
      </c>
      <c r="L18" s="163">
        <v>48.440856175867282</v>
      </c>
      <c r="M18" s="163"/>
      <c r="N18" s="163"/>
      <c r="O18" s="163"/>
      <c r="P18" s="163"/>
    </row>
    <row r="19" spans="1:16" x14ac:dyDescent="0.2">
      <c r="E19" s="178" t="s">
        <v>375</v>
      </c>
      <c r="G19" s="189">
        <v>1.6589630530629935</v>
      </c>
      <c r="H19" s="155">
        <f t="shared" si="0"/>
        <v>3.1375294553255606E-2</v>
      </c>
      <c r="I19" s="163"/>
      <c r="J19" s="163"/>
      <c r="K19" s="163"/>
      <c r="L19" s="163"/>
      <c r="M19" s="163">
        <v>15.215676107014492</v>
      </c>
      <c r="N19" s="163">
        <v>11.345232097332774</v>
      </c>
      <c r="O19" s="163">
        <v>18.055399707990556</v>
      </c>
      <c r="P19" s="163">
        <v>8.2585121231239338</v>
      </c>
    </row>
    <row r="20" spans="1:16" x14ac:dyDescent="0.2">
      <c r="E20" s="178" t="s">
        <v>376</v>
      </c>
      <c r="G20" s="189">
        <v>3.7373788321753212</v>
      </c>
      <c r="H20" s="155">
        <f t="shared" si="0"/>
        <v>4.6584201020057912E-2</v>
      </c>
      <c r="I20" s="163"/>
      <c r="J20" s="163"/>
      <c r="K20" s="163"/>
      <c r="L20" s="163"/>
      <c r="M20" s="163">
        <v>17.650087275538215</v>
      </c>
      <c r="N20" s="163">
        <v>13.447487646288454</v>
      </c>
      <c r="O20" s="163">
        <v>32.399289048574516</v>
      </c>
      <c r="P20" s="163">
        <v>16.73159869156666</v>
      </c>
    </row>
    <row r="21" spans="1:16" x14ac:dyDescent="0.2">
      <c r="E21" s="178" t="s">
        <v>377</v>
      </c>
      <c r="G21" s="189">
        <v>6.1862736359668409</v>
      </c>
      <c r="H21" s="155">
        <f t="shared" si="0"/>
        <v>5.062443006400328E-2</v>
      </c>
      <c r="I21" s="163"/>
      <c r="J21" s="163"/>
      <c r="K21" s="163"/>
      <c r="L21" s="163"/>
      <c r="M21" s="163">
        <v>19.964487303600947</v>
      </c>
      <c r="N21" s="163">
        <v>17.391530716026562</v>
      </c>
      <c r="O21" s="163">
        <v>48.632222601847644</v>
      </c>
      <c r="P21" s="163">
        <v>36.211132845953109</v>
      </c>
    </row>
    <row r="22" spans="1:16" x14ac:dyDescent="0.2">
      <c r="E22" s="178" t="s">
        <v>378</v>
      </c>
      <c r="G22" s="189">
        <v>9.6216013307986721</v>
      </c>
      <c r="H22" s="155">
        <f t="shared" si="0"/>
        <v>5.7317424926862183E-2</v>
      </c>
      <c r="I22" s="163"/>
      <c r="J22" s="163"/>
      <c r="K22" s="163"/>
      <c r="L22" s="163"/>
      <c r="M22" s="163">
        <v>21.952808113032795</v>
      </c>
      <c r="N22" s="163">
        <v>19.997914030621036</v>
      </c>
      <c r="O22" s="163">
        <v>63.700729302710016</v>
      </c>
      <c r="P22" s="163">
        <v>62.21375434534724</v>
      </c>
    </row>
    <row r="23" spans="1:16" x14ac:dyDescent="0.2">
      <c r="E23" s="178" t="s">
        <v>379</v>
      </c>
      <c r="G23" s="189">
        <v>28.972067669629649</v>
      </c>
      <c r="H23" s="155">
        <f t="shared" si="0"/>
        <v>6.7203422441746624E-2</v>
      </c>
      <c r="I23" s="163"/>
      <c r="J23" s="163"/>
      <c r="K23" s="163"/>
      <c r="L23" s="163"/>
      <c r="M23" s="163">
        <v>19.499982834542443</v>
      </c>
      <c r="N23" s="163">
        <v>19.221642122326184</v>
      </c>
      <c r="O23" s="163">
        <v>81.592338420251252</v>
      </c>
      <c r="P23" s="163">
        <v>310.79603990795476</v>
      </c>
    </row>
    <row r="25" spans="1:16" x14ac:dyDescent="0.2">
      <c r="E25" s="129" t="s">
        <v>603</v>
      </c>
      <c r="G25" s="151">
        <f>SUM(G14:G23)</f>
        <v>86.768335625835633</v>
      </c>
      <c r="H25" s="188">
        <f>G25/I25</f>
        <v>5.5000925081236489E-2</v>
      </c>
      <c r="I25" s="151">
        <f>SUM(I14:P23)</f>
        <v>1577.5795679377866</v>
      </c>
    </row>
    <row r="28" spans="1:16" x14ac:dyDescent="0.2">
      <c r="A28" s="129" t="s">
        <v>627</v>
      </c>
      <c r="E28" s="190"/>
      <c r="G28" s="129" t="s">
        <v>463</v>
      </c>
      <c r="H28" s="129" t="s">
        <v>464</v>
      </c>
      <c r="I28" s="129" t="s">
        <v>628</v>
      </c>
    </row>
    <row r="29" spans="1:16" x14ac:dyDescent="0.2">
      <c r="A29" s="129" t="s">
        <v>622</v>
      </c>
      <c r="E29" s="190" t="s">
        <v>370</v>
      </c>
      <c r="G29" s="129">
        <f>H29*I29</f>
        <v>1978875.5422871278</v>
      </c>
      <c r="H29" s="155">
        <v>3.425709824012526E-2</v>
      </c>
      <c r="I29" s="191">
        <v>57765416.335504897</v>
      </c>
    </row>
    <row r="30" spans="1:16" x14ac:dyDescent="0.2">
      <c r="E30" s="190" t="s">
        <v>371</v>
      </c>
      <c r="G30" s="129">
        <f t="shared" ref="G30:G38" si="1">H30*I30</f>
        <v>3303588.4472580003</v>
      </c>
      <c r="H30" s="155">
        <v>4.3596828667353302E-2</v>
      </c>
      <c r="I30" s="191">
        <v>75775888.940560326</v>
      </c>
    </row>
    <row r="31" spans="1:16" x14ac:dyDescent="0.2">
      <c r="E31" s="190" t="s">
        <v>372</v>
      </c>
      <c r="G31" s="129">
        <f t="shared" si="1"/>
        <v>3938043.4797698138</v>
      </c>
      <c r="H31" s="155">
        <v>4.8482652607751718E-2</v>
      </c>
      <c r="I31" s="191">
        <v>81225825.485055536</v>
      </c>
    </row>
    <row r="32" spans="1:16" x14ac:dyDescent="0.2">
      <c r="E32" s="190" t="s">
        <v>373</v>
      </c>
      <c r="G32" s="129">
        <f t="shared" si="1"/>
        <v>4923029.0799861159</v>
      </c>
      <c r="H32" s="155">
        <v>5.4541744556400429E-2</v>
      </c>
      <c r="I32" s="191">
        <v>90261672.413050875</v>
      </c>
    </row>
    <row r="33" spans="5:9" x14ac:dyDescent="0.2">
      <c r="E33" s="190" t="s">
        <v>374</v>
      </c>
      <c r="G33" s="129">
        <f t="shared" si="1"/>
        <v>5537180.6524834968</v>
      </c>
      <c r="H33" s="155">
        <v>6.5924513468709978E-2</v>
      </c>
      <c r="I33" s="191">
        <v>83992742.018667027</v>
      </c>
    </row>
    <row r="34" spans="5:9" x14ac:dyDescent="0.2">
      <c r="E34" s="190" t="s">
        <v>375</v>
      </c>
      <c r="G34" s="129">
        <f t="shared" si="1"/>
        <v>892258.88438356691</v>
      </c>
      <c r="H34" s="155">
        <v>3.1375294553255606E-2</v>
      </c>
      <c r="I34" s="191">
        <v>28438263.196830548</v>
      </c>
    </row>
    <row r="35" spans="5:9" x14ac:dyDescent="0.2">
      <c r="E35" s="190" t="s">
        <v>376</v>
      </c>
      <c r="G35" s="129">
        <f t="shared" si="1"/>
        <v>2010116.7781636461</v>
      </c>
      <c r="H35" s="155">
        <v>4.6584201020057912E-2</v>
      </c>
      <c r="I35" s="191">
        <v>43150182.554341622</v>
      </c>
    </row>
    <row r="36" spans="5:9" x14ac:dyDescent="0.2">
      <c r="E36" s="190" t="s">
        <v>377</v>
      </c>
      <c r="G36" s="129">
        <f t="shared" si="1"/>
        <v>3327233.6009701663</v>
      </c>
      <c r="H36" s="155">
        <v>5.062443006400328E-2</v>
      </c>
      <c r="I36" s="191">
        <v>65723872.777700864</v>
      </c>
    </row>
    <row r="37" spans="5:9" x14ac:dyDescent="0.2">
      <c r="E37" s="190" t="s">
        <v>378</v>
      </c>
      <c r="G37" s="129">
        <f t="shared" si="1"/>
        <v>5174894.795608134</v>
      </c>
      <c r="H37" s="155">
        <v>5.7317424926862183E-2</v>
      </c>
      <c r="I37" s="191">
        <v>90284844.481610447</v>
      </c>
    </row>
    <row r="38" spans="5:9" x14ac:dyDescent="0.2">
      <c r="E38" s="190" t="s">
        <v>379</v>
      </c>
      <c r="G38" s="129">
        <f t="shared" si="1"/>
        <v>15582375.224969743</v>
      </c>
      <c r="H38" s="155">
        <v>6.7203422441746624E-2</v>
      </c>
      <c r="I38" s="191">
        <v>231868774.81540293</v>
      </c>
    </row>
    <row r="39" spans="5:9" x14ac:dyDescent="0.2">
      <c r="E39" s="190"/>
    </row>
    <row r="40" spans="5:9" x14ac:dyDescent="0.2">
      <c r="E40" s="190" t="s">
        <v>603</v>
      </c>
      <c r="G40" s="129">
        <f>H40*I40</f>
        <v>46667596.485879824</v>
      </c>
      <c r="H40" s="188">
        <v>5.5000925081236503E-2</v>
      </c>
      <c r="I40" s="129">
        <v>848487483.01872504</v>
      </c>
    </row>
    <row r="41" spans="5:9" x14ac:dyDescent="0.2">
      <c r="E41" s="190"/>
    </row>
    <row r="42" spans="5:9" x14ac:dyDescent="0.2">
      <c r="E42" s="190"/>
    </row>
    <row r="44" spans="5:9" x14ac:dyDescent="0.2">
      <c r="E44" s="190"/>
    </row>
    <row r="45" spans="5:9" x14ac:dyDescent="0.2">
      <c r="E45" s="190"/>
    </row>
  </sheetData>
  <mergeCells count="1">
    <mergeCell ref="A10:F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AC032-B999-1F4A-87E5-037026FE7D33}">
  <sheetPr>
    <tabColor theme="3" tint="0.59999389629810485"/>
  </sheetPr>
  <dimension ref="A1:H71"/>
  <sheetViews>
    <sheetView topLeftCell="A37" zoomScale="131" workbookViewId="0">
      <selection activeCell="H59" sqref="H59"/>
    </sheetView>
  </sheetViews>
  <sheetFormatPr baseColWidth="10" defaultColWidth="8.83203125" defaultRowHeight="15" x14ac:dyDescent="0.2"/>
  <cols>
    <col min="1" max="1" width="10" style="84" customWidth="1"/>
    <col min="2" max="2" width="60" style="84" customWidth="1"/>
    <col min="3" max="7" width="10" style="84" customWidth="1"/>
    <col min="8" max="8" width="65" style="84" customWidth="1"/>
    <col min="9" max="16384" width="8.83203125" style="84"/>
  </cols>
  <sheetData>
    <row r="1" spans="1:8" ht="28" customHeight="1" x14ac:dyDescent="0.2">
      <c r="A1" s="99" t="s">
        <v>726</v>
      </c>
      <c r="B1" s="99" t="s">
        <v>466</v>
      </c>
      <c r="C1" s="99" t="s">
        <v>467</v>
      </c>
      <c r="D1" s="99" t="s">
        <v>468</v>
      </c>
      <c r="E1" s="99" t="s">
        <v>469</v>
      </c>
      <c r="F1" s="99" t="s">
        <v>470</v>
      </c>
      <c r="G1" s="99" t="s">
        <v>471</v>
      </c>
      <c r="H1" s="99" t="s">
        <v>629</v>
      </c>
    </row>
    <row r="2" spans="1:8" x14ac:dyDescent="0.2">
      <c r="A2" s="192">
        <v>1</v>
      </c>
      <c r="B2" s="106" t="s">
        <v>105</v>
      </c>
      <c r="C2" s="193">
        <v>-0.1115</v>
      </c>
      <c r="D2" s="193">
        <v>-0.126</v>
      </c>
      <c r="E2" s="193">
        <v>-0.14050000000000001</v>
      </c>
      <c r="F2" s="193">
        <v>-0.155</v>
      </c>
      <c r="G2" s="193">
        <v>-0.1694</v>
      </c>
      <c r="H2" s="194" t="s">
        <v>630</v>
      </c>
    </row>
    <row r="3" spans="1:8" x14ac:dyDescent="0.2">
      <c r="A3" s="192">
        <v>2</v>
      </c>
      <c r="B3" s="106" t="s">
        <v>106</v>
      </c>
      <c r="C3" s="193">
        <v>-0.1125</v>
      </c>
      <c r="D3" s="193">
        <v>-0.12709999999999999</v>
      </c>
      <c r="E3" s="193">
        <v>-0.14180000000000001</v>
      </c>
      <c r="F3" s="193">
        <v>-0.15640000000000001</v>
      </c>
      <c r="G3" s="193">
        <v>-0.1711</v>
      </c>
      <c r="H3" s="194" t="s">
        <v>631</v>
      </c>
    </row>
    <row r="4" spans="1:8" x14ac:dyDescent="0.2">
      <c r="A4" s="195">
        <v>3</v>
      </c>
      <c r="B4" s="110" t="s">
        <v>107</v>
      </c>
      <c r="C4" s="196">
        <v>-9.4600000000000004E-2</v>
      </c>
      <c r="D4" s="196">
        <v>-0.1061</v>
      </c>
      <c r="E4" s="196">
        <v>-0.11749999999999999</v>
      </c>
      <c r="F4" s="196">
        <v>-0.12889999999999999</v>
      </c>
      <c r="G4" s="196">
        <v>-0.1404</v>
      </c>
      <c r="H4" s="197" t="s">
        <v>632</v>
      </c>
    </row>
    <row r="5" spans="1:8" x14ac:dyDescent="0.2">
      <c r="A5" s="192">
        <v>4</v>
      </c>
      <c r="B5" s="106" t="s">
        <v>488</v>
      </c>
      <c r="C5" s="193">
        <v>-0.2394</v>
      </c>
      <c r="D5" s="193">
        <v>-0.26540000000000002</v>
      </c>
      <c r="E5" s="193">
        <v>-0.29139999999999999</v>
      </c>
      <c r="F5" s="193">
        <v>-0.31740000000000002</v>
      </c>
      <c r="G5" s="193">
        <v>-0.34350000000000003</v>
      </c>
      <c r="H5" s="194" t="s">
        <v>633</v>
      </c>
    </row>
    <row r="6" spans="1:8" x14ac:dyDescent="0.2">
      <c r="A6" s="192">
        <v>5</v>
      </c>
      <c r="B6" s="106" t="s">
        <v>109</v>
      </c>
      <c r="C6" s="193">
        <v>-0.1331</v>
      </c>
      <c r="D6" s="193">
        <v>-0.14810000000000001</v>
      </c>
      <c r="E6" s="193">
        <v>-0.16309999999999999</v>
      </c>
      <c r="F6" s="193">
        <v>-0.17810000000000001</v>
      </c>
      <c r="G6" s="193">
        <v>-0.19309999999999999</v>
      </c>
      <c r="H6" s="194" t="s">
        <v>634</v>
      </c>
    </row>
    <row r="7" spans="1:8" x14ac:dyDescent="0.2">
      <c r="A7" s="192">
        <v>6</v>
      </c>
      <c r="B7" s="106" t="s">
        <v>110</v>
      </c>
      <c r="C7" s="193">
        <v>-0.13089999999999999</v>
      </c>
      <c r="D7" s="193">
        <v>-0.15010000000000001</v>
      </c>
      <c r="E7" s="193">
        <v>-0.16930000000000001</v>
      </c>
      <c r="F7" s="193">
        <v>-0.1885</v>
      </c>
      <c r="G7" s="193">
        <v>-0.2077</v>
      </c>
      <c r="H7" s="194" t="s">
        <v>635</v>
      </c>
    </row>
    <row r="8" spans="1:8" x14ac:dyDescent="0.2">
      <c r="A8" s="192">
        <v>7</v>
      </c>
      <c r="B8" s="106" t="s">
        <v>111</v>
      </c>
      <c r="C8" s="193">
        <v>-0.112</v>
      </c>
      <c r="D8" s="193">
        <v>-0.1244</v>
      </c>
      <c r="E8" s="193">
        <v>-0.13669999999999999</v>
      </c>
      <c r="F8" s="193">
        <v>-0.14910000000000001</v>
      </c>
      <c r="G8" s="193">
        <v>-0.16139999999999999</v>
      </c>
      <c r="H8" s="194" t="s">
        <v>636</v>
      </c>
    </row>
    <row r="9" spans="1:8" x14ac:dyDescent="0.2">
      <c r="A9" s="192">
        <v>8</v>
      </c>
      <c r="B9" s="106" t="s">
        <v>112</v>
      </c>
      <c r="C9" s="193">
        <v>-0.2122</v>
      </c>
      <c r="D9" s="193">
        <v>-0.23830000000000001</v>
      </c>
      <c r="E9" s="193">
        <v>-0.26440000000000002</v>
      </c>
      <c r="F9" s="193">
        <v>-0.29039999999999999</v>
      </c>
      <c r="G9" s="193">
        <v>-0.3165</v>
      </c>
      <c r="H9" s="194" t="s">
        <v>637</v>
      </c>
    </row>
    <row r="10" spans="1:8" x14ac:dyDescent="0.2">
      <c r="A10" s="195">
        <v>9</v>
      </c>
      <c r="B10" s="110" t="s">
        <v>113</v>
      </c>
      <c r="C10" s="196">
        <v>-0.20250000000000001</v>
      </c>
      <c r="D10" s="196">
        <v>-0.2266</v>
      </c>
      <c r="E10" s="196">
        <v>-0.25080000000000002</v>
      </c>
      <c r="F10" s="196">
        <v>-0.27489999999999998</v>
      </c>
      <c r="G10" s="196">
        <v>-0.29899999999999999</v>
      </c>
      <c r="H10" s="197" t="s">
        <v>638</v>
      </c>
    </row>
    <row r="11" spans="1:8" x14ac:dyDescent="0.2">
      <c r="A11" s="192">
        <v>10</v>
      </c>
      <c r="B11" s="106" t="s">
        <v>114</v>
      </c>
      <c r="C11" s="193">
        <v>-0.16550000000000001</v>
      </c>
      <c r="D11" s="193">
        <v>-0.1895</v>
      </c>
      <c r="E11" s="193">
        <v>-0.21340000000000001</v>
      </c>
      <c r="F11" s="193">
        <v>-0.2374</v>
      </c>
      <c r="G11" s="193">
        <v>-0.26129999999999998</v>
      </c>
      <c r="H11" s="194" t="s">
        <v>639</v>
      </c>
    </row>
    <row r="12" spans="1:8" x14ac:dyDescent="0.2">
      <c r="A12" s="192">
        <v>11</v>
      </c>
      <c r="B12" s="106" t="s">
        <v>640</v>
      </c>
      <c r="C12" s="193">
        <v>-0.37769999999999998</v>
      </c>
      <c r="D12" s="193">
        <v>-0.43099999999999999</v>
      </c>
      <c r="E12" s="193">
        <v>-0.48430000000000001</v>
      </c>
      <c r="F12" s="193">
        <v>-0.53749999999999998</v>
      </c>
      <c r="G12" s="193">
        <v>-0.59079999999999999</v>
      </c>
      <c r="H12" s="194" t="s">
        <v>641</v>
      </c>
    </row>
    <row r="13" spans="1:8" x14ac:dyDescent="0.2">
      <c r="A13" s="192">
        <v>12</v>
      </c>
      <c r="B13" s="106" t="s">
        <v>116</v>
      </c>
      <c r="C13" s="193">
        <v>-0.37969999999999998</v>
      </c>
      <c r="D13" s="193">
        <v>-0.4335</v>
      </c>
      <c r="E13" s="193">
        <v>-0.48730000000000001</v>
      </c>
      <c r="F13" s="193">
        <v>-0.54110000000000003</v>
      </c>
      <c r="G13" s="193">
        <v>-0.59499999999999997</v>
      </c>
      <c r="H13" s="194" t="s">
        <v>642</v>
      </c>
    </row>
    <row r="14" spans="1:8" x14ac:dyDescent="0.2">
      <c r="A14" s="195">
        <v>13</v>
      </c>
      <c r="B14" s="110" t="s">
        <v>117</v>
      </c>
      <c r="C14" s="196">
        <v>-0.1905</v>
      </c>
      <c r="D14" s="196">
        <v>-0.2208</v>
      </c>
      <c r="E14" s="196">
        <v>-0.25109999999999999</v>
      </c>
      <c r="F14" s="196">
        <v>-0.28139999999999998</v>
      </c>
      <c r="G14" s="196">
        <v>-0.31169999999999998</v>
      </c>
      <c r="H14" s="197" t="s">
        <v>669</v>
      </c>
    </row>
    <row r="15" spans="1:8" x14ac:dyDescent="0.2">
      <c r="A15" s="192">
        <v>14</v>
      </c>
      <c r="B15" s="106" t="s">
        <v>118</v>
      </c>
      <c r="C15" s="193">
        <v>-0.1016</v>
      </c>
      <c r="D15" s="193">
        <v>-0.11509999999999999</v>
      </c>
      <c r="E15" s="193">
        <v>-0.12859999999999999</v>
      </c>
      <c r="F15" s="193">
        <v>-0.14219999999999999</v>
      </c>
      <c r="G15" s="193">
        <v>-0.15570000000000001</v>
      </c>
      <c r="H15" s="194" t="s">
        <v>644</v>
      </c>
    </row>
    <row r="16" spans="1:8" x14ac:dyDescent="0.2">
      <c r="A16" s="192">
        <v>15</v>
      </c>
      <c r="B16" s="106" t="s">
        <v>119</v>
      </c>
      <c r="C16" s="193">
        <v>-0.1192</v>
      </c>
      <c r="D16" s="193">
        <v>-0.1326</v>
      </c>
      <c r="E16" s="193">
        <v>-0.14599999999999999</v>
      </c>
      <c r="F16" s="193">
        <v>-0.15939999999999999</v>
      </c>
      <c r="G16" s="193">
        <v>-0.17280000000000001</v>
      </c>
      <c r="H16" s="194" t="s">
        <v>645</v>
      </c>
    </row>
    <row r="17" spans="1:8" x14ac:dyDescent="0.2">
      <c r="A17" s="195">
        <v>16</v>
      </c>
      <c r="B17" s="110" t="s">
        <v>120</v>
      </c>
      <c r="C17" s="196">
        <v>-0.1192</v>
      </c>
      <c r="D17" s="196">
        <v>-0.1326</v>
      </c>
      <c r="E17" s="196">
        <v>-0.14599999999999999</v>
      </c>
      <c r="F17" s="196">
        <v>-0.15939999999999999</v>
      </c>
      <c r="G17" s="196">
        <v>-0.17280000000000001</v>
      </c>
      <c r="H17" s="197" t="s">
        <v>646</v>
      </c>
    </row>
    <row r="18" spans="1:8" x14ac:dyDescent="0.2">
      <c r="A18" s="195">
        <v>17</v>
      </c>
      <c r="B18" s="110" t="s">
        <v>121</v>
      </c>
      <c r="C18" s="196">
        <v>-0.1192</v>
      </c>
      <c r="D18" s="196">
        <v>-0.1326</v>
      </c>
      <c r="E18" s="196">
        <v>-0.14599999999999999</v>
      </c>
      <c r="F18" s="196">
        <v>-0.15939999999999999</v>
      </c>
      <c r="G18" s="196">
        <v>-0.17280000000000001</v>
      </c>
      <c r="H18" s="197" t="s">
        <v>647</v>
      </c>
    </row>
    <row r="19" spans="1:8" x14ac:dyDescent="0.2">
      <c r="A19" s="195">
        <v>18</v>
      </c>
      <c r="B19" s="110" t="s">
        <v>122</v>
      </c>
      <c r="C19" s="196">
        <v>-0.32769999999999999</v>
      </c>
      <c r="D19" s="196">
        <v>-0.37130000000000002</v>
      </c>
      <c r="E19" s="196">
        <v>-0.4148</v>
      </c>
      <c r="F19" s="196">
        <v>-0.45839999999999997</v>
      </c>
      <c r="G19" s="196">
        <v>-0.502</v>
      </c>
      <c r="H19" s="197" t="s">
        <v>648</v>
      </c>
    </row>
    <row r="20" spans="1:8" x14ac:dyDescent="0.2">
      <c r="A20" s="192">
        <v>19</v>
      </c>
      <c r="B20" s="106" t="s">
        <v>123</v>
      </c>
      <c r="C20" s="193">
        <v>-0.45910000000000001</v>
      </c>
      <c r="D20" s="193">
        <v>-0.49759999999999999</v>
      </c>
      <c r="E20" s="193">
        <v>-0.53610000000000002</v>
      </c>
      <c r="F20" s="193">
        <v>-0.5746</v>
      </c>
      <c r="G20" s="193">
        <v>-0.61309999999999998</v>
      </c>
      <c r="H20" s="194" t="s">
        <v>649</v>
      </c>
    </row>
    <row r="21" spans="1:8" x14ac:dyDescent="0.2">
      <c r="A21" s="195">
        <v>20</v>
      </c>
      <c r="B21" s="110" t="s">
        <v>124</v>
      </c>
      <c r="C21" s="196">
        <v>-0.45910000000000001</v>
      </c>
      <c r="D21" s="196">
        <v>-0.49759999999999999</v>
      </c>
      <c r="E21" s="196">
        <v>-0.53610000000000002</v>
      </c>
      <c r="F21" s="196">
        <v>-0.5746</v>
      </c>
      <c r="G21" s="196">
        <v>-0.61309999999999998</v>
      </c>
      <c r="H21" s="197" t="s">
        <v>650</v>
      </c>
    </row>
    <row r="22" spans="1:8" x14ac:dyDescent="0.2">
      <c r="A22" s="195">
        <v>21</v>
      </c>
      <c r="B22" s="110" t="s">
        <v>125</v>
      </c>
      <c r="C22" s="196">
        <v>-0.18149999999999999</v>
      </c>
      <c r="D22" s="196">
        <v>-0.20760000000000001</v>
      </c>
      <c r="E22" s="196">
        <v>-0.23380000000000001</v>
      </c>
      <c r="F22" s="196">
        <v>-0.26</v>
      </c>
      <c r="G22" s="196">
        <v>-0.28620000000000001</v>
      </c>
      <c r="H22" s="197" t="s">
        <v>651</v>
      </c>
    </row>
    <row r="23" spans="1:8" x14ac:dyDescent="0.2">
      <c r="A23" s="192">
        <v>22</v>
      </c>
      <c r="B23" s="106" t="s">
        <v>126</v>
      </c>
      <c r="C23" s="193">
        <v>-0.18859999999999999</v>
      </c>
      <c r="D23" s="193">
        <v>-0.2155</v>
      </c>
      <c r="E23" s="193">
        <v>-0.24249999999999999</v>
      </c>
      <c r="F23" s="193">
        <v>-0.26939999999999997</v>
      </c>
      <c r="G23" s="193">
        <v>-0.29630000000000001</v>
      </c>
      <c r="H23" s="194" t="s">
        <v>652</v>
      </c>
    </row>
    <row r="24" spans="1:8" x14ac:dyDescent="0.2">
      <c r="A24" s="192">
        <v>23</v>
      </c>
      <c r="B24" s="106" t="s">
        <v>127</v>
      </c>
      <c r="C24" s="193">
        <v>-0.185</v>
      </c>
      <c r="D24" s="193">
        <v>-0.21160000000000001</v>
      </c>
      <c r="E24" s="193">
        <v>-0.23810000000000001</v>
      </c>
      <c r="F24" s="193">
        <v>-0.26469999999999999</v>
      </c>
      <c r="G24" s="193">
        <v>-0.29120000000000001</v>
      </c>
      <c r="H24" s="194" t="s">
        <v>653</v>
      </c>
    </row>
    <row r="25" spans="1:8" x14ac:dyDescent="0.2">
      <c r="A25" s="192">
        <v>24</v>
      </c>
      <c r="B25" s="106" t="s">
        <v>128</v>
      </c>
      <c r="C25" s="193">
        <v>-0.16250000000000001</v>
      </c>
      <c r="D25" s="193">
        <v>-0.19040000000000001</v>
      </c>
      <c r="E25" s="193">
        <v>-0.21829999999999999</v>
      </c>
      <c r="F25" s="193">
        <v>-0.24610000000000001</v>
      </c>
      <c r="G25" s="193">
        <v>-0.27400000000000002</v>
      </c>
      <c r="H25" s="194" t="s">
        <v>654</v>
      </c>
    </row>
    <row r="26" spans="1:8" x14ac:dyDescent="0.2">
      <c r="A26" s="324">
        <v>25</v>
      </c>
      <c r="B26" s="325" t="s">
        <v>129</v>
      </c>
      <c r="C26" s="326">
        <v>-0.16250000000000001</v>
      </c>
      <c r="D26" s="326">
        <v>-0.19040000000000001</v>
      </c>
      <c r="E26" s="326">
        <v>-0.21829999999999999</v>
      </c>
      <c r="F26" s="326">
        <v>-0.24610000000000001</v>
      </c>
      <c r="G26" s="326">
        <v>-0.27400000000000002</v>
      </c>
      <c r="H26" s="327" t="s">
        <v>860</v>
      </c>
    </row>
    <row r="27" spans="1:8" x14ac:dyDescent="0.2">
      <c r="A27" s="192">
        <v>26</v>
      </c>
      <c r="B27" s="106" t="s">
        <v>130</v>
      </c>
      <c r="C27" s="193">
        <v>-0.3871</v>
      </c>
      <c r="D27" s="193">
        <v>-0.43890000000000001</v>
      </c>
      <c r="E27" s="193">
        <v>-0.49070000000000003</v>
      </c>
      <c r="F27" s="193">
        <v>-0.54249999999999998</v>
      </c>
      <c r="G27" s="193">
        <v>-0.59419999999999995</v>
      </c>
      <c r="H27" s="194" t="s">
        <v>655</v>
      </c>
    </row>
    <row r="28" spans="1:8" x14ac:dyDescent="0.2">
      <c r="A28" s="195">
        <v>27</v>
      </c>
      <c r="B28" s="110" t="s">
        <v>131</v>
      </c>
      <c r="C28" s="196">
        <v>-0.3871</v>
      </c>
      <c r="D28" s="196">
        <v>-0.43890000000000001</v>
      </c>
      <c r="E28" s="196">
        <v>-0.49070000000000003</v>
      </c>
      <c r="F28" s="196">
        <v>-0.54249999999999998</v>
      </c>
      <c r="G28" s="196">
        <v>-0.59419999999999995</v>
      </c>
      <c r="H28" s="197" t="s">
        <v>656</v>
      </c>
    </row>
    <row r="29" spans="1:8" x14ac:dyDescent="0.2">
      <c r="A29" s="195">
        <v>28</v>
      </c>
      <c r="B29" s="110" t="s">
        <v>132</v>
      </c>
      <c r="C29" s="196">
        <v>-0.17549999999999999</v>
      </c>
      <c r="D29" s="196">
        <v>-0.20300000000000001</v>
      </c>
      <c r="E29" s="196">
        <v>-0.23039999999999999</v>
      </c>
      <c r="F29" s="196">
        <v>-0.25779999999999997</v>
      </c>
      <c r="G29" s="196">
        <v>-0.28520000000000001</v>
      </c>
      <c r="H29" s="197" t="s">
        <v>657</v>
      </c>
    </row>
    <row r="30" spans="1:8" x14ac:dyDescent="0.2">
      <c r="A30" s="192">
        <v>29</v>
      </c>
      <c r="B30" s="106" t="s">
        <v>133</v>
      </c>
      <c r="C30" s="193">
        <v>-8.9300000000000004E-2</v>
      </c>
      <c r="D30" s="193">
        <v>-0.1002</v>
      </c>
      <c r="E30" s="193">
        <v>-0.111</v>
      </c>
      <c r="F30" s="193">
        <v>-0.12180000000000001</v>
      </c>
      <c r="G30" s="193">
        <v>-0.13270000000000001</v>
      </c>
      <c r="H30" s="194" t="s">
        <v>658</v>
      </c>
    </row>
    <row r="31" spans="1:8" x14ac:dyDescent="0.2">
      <c r="A31" s="192">
        <v>30</v>
      </c>
      <c r="B31" s="106" t="s">
        <v>659</v>
      </c>
      <c r="C31" s="193">
        <v>-8.9700000000000002E-2</v>
      </c>
      <c r="D31" s="193">
        <v>-0.10249999999999999</v>
      </c>
      <c r="E31" s="193">
        <v>-0.1152</v>
      </c>
      <c r="F31" s="193">
        <v>-0.12790000000000001</v>
      </c>
      <c r="G31" s="193">
        <v>-0.1406</v>
      </c>
      <c r="H31" s="194" t="s">
        <v>660</v>
      </c>
    </row>
    <row r="32" spans="1:8" x14ac:dyDescent="0.2">
      <c r="A32" s="192">
        <v>31</v>
      </c>
      <c r="B32" s="106" t="s">
        <v>135</v>
      </c>
      <c r="C32" s="193">
        <v>-0.1845</v>
      </c>
      <c r="D32" s="193">
        <v>-0.21110000000000001</v>
      </c>
      <c r="E32" s="193">
        <v>-0.23780000000000001</v>
      </c>
      <c r="F32" s="193">
        <v>-0.26450000000000001</v>
      </c>
      <c r="G32" s="193">
        <v>-0.29120000000000001</v>
      </c>
      <c r="H32" s="194" t="s">
        <v>661</v>
      </c>
    </row>
    <row r="33" spans="1:8" x14ac:dyDescent="0.2">
      <c r="A33" s="192">
        <v>32</v>
      </c>
      <c r="B33" s="106" t="s">
        <v>662</v>
      </c>
      <c r="C33" s="193">
        <v>-0.1842</v>
      </c>
      <c r="D33" s="193">
        <v>-0.21029999999999999</v>
      </c>
      <c r="E33" s="193">
        <v>-0.2364</v>
      </c>
      <c r="F33" s="193">
        <v>-0.26250000000000001</v>
      </c>
      <c r="G33" s="193">
        <v>-0.28860000000000002</v>
      </c>
      <c r="H33" s="194" t="s">
        <v>663</v>
      </c>
    </row>
    <row r="34" spans="1:8" x14ac:dyDescent="0.2">
      <c r="A34" s="192">
        <v>33</v>
      </c>
      <c r="B34" s="106" t="s">
        <v>547</v>
      </c>
      <c r="C34" s="193">
        <v>-0.18859999999999999</v>
      </c>
      <c r="D34" s="193">
        <v>-0.221</v>
      </c>
      <c r="E34" s="193">
        <v>-0.25330000000000003</v>
      </c>
      <c r="F34" s="193">
        <v>-0.28570000000000001</v>
      </c>
      <c r="G34" s="193">
        <v>-0.31809999999999999</v>
      </c>
      <c r="H34" s="194" t="s">
        <v>664</v>
      </c>
    </row>
    <row r="35" spans="1:8" x14ac:dyDescent="0.2">
      <c r="A35" s="195">
        <v>34</v>
      </c>
      <c r="B35" s="110" t="s">
        <v>138</v>
      </c>
      <c r="C35" s="196">
        <v>-0.18859999999999999</v>
      </c>
      <c r="D35" s="196">
        <v>-0.221</v>
      </c>
      <c r="E35" s="196">
        <v>-0.25330000000000003</v>
      </c>
      <c r="F35" s="196">
        <v>-0.28570000000000001</v>
      </c>
      <c r="G35" s="196">
        <v>-0.31809999999999999</v>
      </c>
      <c r="H35" s="197" t="s">
        <v>665</v>
      </c>
    </row>
    <row r="36" spans="1:8" x14ac:dyDescent="0.2">
      <c r="A36" s="195">
        <v>35</v>
      </c>
      <c r="B36" s="110" t="s">
        <v>139</v>
      </c>
      <c r="C36" s="196">
        <v>-0.13059999999999999</v>
      </c>
      <c r="D36" s="196">
        <v>-0.1472</v>
      </c>
      <c r="E36" s="196">
        <v>-0.16389999999999999</v>
      </c>
      <c r="F36" s="196">
        <v>-0.18049999999999999</v>
      </c>
      <c r="G36" s="196">
        <v>-0.1971</v>
      </c>
      <c r="H36" s="197" t="s">
        <v>666</v>
      </c>
    </row>
    <row r="37" spans="1:8" x14ac:dyDescent="0.2">
      <c r="A37" s="195">
        <v>36</v>
      </c>
      <c r="B37" s="110" t="s">
        <v>140</v>
      </c>
      <c r="C37" s="196">
        <v>-0.1905</v>
      </c>
      <c r="D37" s="196">
        <v>-0.2208</v>
      </c>
      <c r="E37" s="196">
        <v>-0.25109999999999999</v>
      </c>
      <c r="F37" s="196">
        <v>-0.28139999999999998</v>
      </c>
      <c r="G37" s="196">
        <v>-0.31169999999999998</v>
      </c>
      <c r="H37" s="197" t="s">
        <v>667</v>
      </c>
    </row>
    <row r="38" spans="1:8" x14ac:dyDescent="0.2">
      <c r="A38" s="195">
        <v>37</v>
      </c>
      <c r="B38" s="110" t="s">
        <v>668</v>
      </c>
      <c r="C38" s="196">
        <v>-0.1905</v>
      </c>
      <c r="D38" s="196">
        <v>-0.2208</v>
      </c>
      <c r="E38" s="196">
        <v>-0.25109999999999999</v>
      </c>
      <c r="F38" s="196">
        <v>-0.28139999999999998</v>
      </c>
      <c r="G38" s="196">
        <v>-0.31169999999999998</v>
      </c>
      <c r="H38" s="197" t="s">
        <v>669</v>
      </c>
    </row>
    <row r="39" spans="1:8" x14ac:dyDescent="0.2">
      <c r="A39" s="195">
        <v>38</v>
      </c>
      <c r="B39" s="110" t="s">
        <v>142</v>
      </c>
      <c r="C39" s="196">
        <v>-0.1905</v>
      </c>
      <c r="D39" s="196">
        <v>-0.2208</v>
      </c>
      <c r="E39" s="196">
        <v>-0.25109999999999999</v>
      </c>
      <c r="F39" s="196">
        <v>-0.28139999999999998</v>
      </c>
      <c r="G39" s="196">
        <v>-0.31169999999999998</v>
      </c>
      <c r="H39" s="197" t="s">
        <v>669</v>
      </c>
    </row>
    <row r="40" spans="1:8" x14ac:dyDescent="0.2">
      <c r="A40" s="192">
        <v>39</v>
      </c>
      <c r="B40" s="106" t="s">
        <v>670</v>
      </c>
      <c r="C40" s="193">
        <v>-0.23200000000000001</v>
      </c>
      <c r="D40" s="193">
        <v>-0.26129999999999998</v>
      </c>
      <c r="E40" s="193">
        <v>-0.29060000000000002</v>
      </c>
      <c r="F40" s="193">
        <v>-0.31990000000000002</v>
      </c>
      <c r="G40" s="193">
        <v>-0.34920000000000001</v>
      </c>
      <c r="H40" s="194" t="s">
        <v>671</v>
      </c>
    </row>
    <row r="41" spans="1:8" x14ac:dyDescent="0.2">
      <c r="A41" s="192">
        <v>40</v>
      </c>
      <c r="B41" s="106" t="s">
        <v>144</v>
      </c>
      <c r="C41" s="193">
        <v>-0.19819999999999999</v>
      </c>
      <c r="D41" s="193">
        <v>-0.2263</v>
      </c>
      <c r="E41" s="193">
        <v>-0.25440000000000002</v>
      </c>
      <c r="F41" s="193">
        <v>-0.28249999999999997</v>
      </c>
      <c r="G41" s="193">
        <v>-0.31059999999999999</v>
      </c>
      <c r="H41" s="194" t="s">
        <v>672</v>
      </c>
    </row>
    <row r="42" spans="1:8" x14ac:dyDescent="0.2">
      <c r="A42" s="195">
        <v>41</v>
      </c>
      <c r="B42" s="110" t="s">
        <v>673</v>
      </c>
      <c r="C42" s="196">
        <v>-0.19819999999999999</v>
      </c>
      <c r="D42" s="196">
        <v>-0.2263</v>
      </c>
      <c r="E42" s="196">
        <v>-0.25440000000000002</v>
      </c>
      <c r="F42" s="196">
        <v>-0.28249999999999997</v>
      </c>
      <c r="G42" s="196">
        <v>-0.31059999999999999</v>
      </c>
      <c r="H42" s="197" t="s">
        <v>674</v>
      </c>
    </row>
    <row r="43" spans="1:8" x14ac:dyDescent="0.2">
      <c r="A43" s="195">
        <v>42</v>
      </c>
      <c r="B43" s="110" t="s">
        <v>146</v>
      </c>
      <c r="C43" s="196">
        <v>-0.19819999999999999</v>
      </c>
      <c r="D43" s="196">
        <v>-0.2263</v>
      </c>
      <c r="E43" s="196">
        <v>-0.25440000000000002</v>
      </c>
      <c r="F43" s="196">
        <v>-0.28249999999999997</v>
      </c>
      <c r="G43" s="196">
        <v>-0.31059999999999999</v>
      </c>
      <c r="H43" s="197" t="s">
        <v>674</v>
      </c>
    </row>
    <row r="44" spans="1:8" x14ac:dyDescent="0.2">
      <c r="A44" s="192">
        <v>43</v>
      </c>
      <c r="B44" s="106" t="s">
        <v>147</v>
      </c>
      <c r="C44" s="193">
        <v>-0.1605</v>
      </c>
      <c r="D44" s="193">
        <v>-0.1731</v>
      </c>
      <c r="E44" s="193">
        <v>-0.18559999999999999</v>
      </c>
      <c r="F44" s="193">
        <v>-0.1981</v>
      </c>
      <c r="G44" s="193">
        <v>-0.21060000000000001</v>
      </c>
      <c r="H44" s="194" t="s">
        <v>675</v>
      </c>
    </row>
    <row r="45" spans="1:8" x14ac:dyDescent="0.2">
      <c r="A45" s="192">
        <v>44</v>
      </c>
      <c r="B45" s="106" t="s">
        <v>148</v>
      </c>
      <c r="C45" s="193">
        <v>-0.18820000000000001</v>
      </c>
      <c r="D45" s="193">
        <v>-0.21460000000000001</v>
      </c>
      <c r="E45" s="193">
        <v>-0.24110000000000001</v>
      </c>
      <c r="F45" s="193">
        <v>-0.26750000000000002</v>
      </c>
      <c r="G45" s="193">
        <v>-0.29399999999999998</v>
      </c>
      <c r="H45" s="194" t="s">
        <v>676</v>
      </c>
    </row>
    <row r="46" spans="1:8" x14ac:dyDescent="0.2">
      <c r="A46" s="195">
        <v>45</v>
      </c>
      <c r="B46" s="110" t="s">
        <v>149</v>
      </c>
      <c r="C46" s="196">
        <v>-0.18820000000000001</v>
      </c>
      <c r="D46" s="196">
        <v>-0.21460000000000001</v>
      </c>
      <c r="E46" s="196">
        <v>-0.24110000000000001</v>
      </c>
      <c r="F46" s="196">
        <v>-0.26750000000000002</v>
      </c>
      <c r="G46" s="196">
        <v>-0.29399999999999998</v>
      </c>
      <c r="H46" s="197" t="s">
        <v>677</v>
      </c>
    </row>
    <row r="47" spans="1:8" x14ac:dyDescent="0.2">
      <c r="A47" s="195">
        <v>46</v>
      </c>
      <c r="B47" s="110" t="s">
        <v>150</v>
      </c>
      <c r="C47" s="196">
        <v>-0.18820000000000001</v>
      </c>
      <c r="D47" s="196">
        <v>-0.21460000000000001</v>
      </c>
      <c r="E47" s="196">
        <v>-0.24110000000000001</v>
      </c>
      <c r="F47" s="196">
        <v>-0.26750000000000002</v>
      </c>
      <c r="G47" s="196">
        <v>-0.29399999999999998</v>
      </c>
      <c r="H47" s="197" t="s">
        <v>677</v>
      </c>
    </row>
    <row r="48" spans="1:8" x14ac:dyDescent="0.2">
      <c r="A48" s="195">
        <v>47</v>
      </c>
      <c r="B48" s="110" t="s">
        <v>151</v>
      </c>
      <c r="C48" s="196">
        <v>-0.18820000000000001</v>
      </c>
      <c r="D48" s="196">
        <v>-0.21460000000000001</v>
      </c>
      <c r="E48" s="196">
        <v>-0.24110000000000001</v>
      </c>
      <c r="F48" s="196">
        <v>-0.26750000000000002</v>
      </c>
      <c r="G48" s="196">
        <v>-0.29399999999999998</v>
      </c>
      <c r="H48" s="197" t="s">
        <v>677</v>
      </c>
    </row>
    <row r="49" spans="1:8" x14ac:dyDescent="0.2">
      <c r="A49" s="195">
        <v>48</v>
      </c>
      <c r="B49" s="110" t="s">
        <v>152</v>
      </c>
      <c r="C49" s="196">
        <v>-0.18820000000000001</v>
      </c>
      <c r="D49" s="196">
        <v>-0.21460000000000001</v>
      </c>
      <c r="E49" s="196">
        <v>-0.24110000000000001</v>
      </c>
      <c r="F49" s="196">
        <v>-0.26750000000000002</v>
      </c>
      <c r="G49" s="196">
        <v>-0.29399999999999998</v>
      </c>
      <c r="H49" s="197" t="s">
        <v>677</v>
      </c>
    </row>
    <row r="50" spans="1:8" x14ac:dyDescent="0.2">
      <c r="A50" s="195">
        <v>49</v>
      </c>
      <c r="B50" s="110" t="s">
        <v>153</v>
      </c>
      <c r="C50" s="196">
        <v>-0.18820000000000001</v>
      </c>
      <c r="D50" s="196">
        <v>-0.21460000000000001</v>
      </c>
      <c r="E50" s="196">
        <v>-0.24110000000000001</v>
      </c>
      <c r="F50" s="196">
        <v>-0.26750000000000002</v>
      </c>
      <c r="G50" s="196">
        <v>-0.29399999999999998</v>
      </c>
      <c r="H50" s="197" t="s">
        <v>677</v>
      </c>
    </row>
    <row r="51" spans="1:8" x14ac:dyDescent="0.2">
      <c r="A51" s="195">
        <v>50</v>
      </c>
      <c r="B51" s="110" t="s">
        <v>154</v>
      </c>
      <c r="C51" s="196">
        <v>-0.1905</v>
      </c>
      <c r="D51" s="196">
        <v>-0.2208</v>
      </c>
      <c r="E51" s="196">
        <v>-0.25109999999999999</v>
      </c>
      <c r="F51" s="196">
        <v>-0.28139999999999998</v>
      </c>
      <c r="G51" s="196">
        <v>-0.31169999999999998</v>
      </c>
      <c r="H51" s="197" t="s">
        <v>873</v>
      </c>
    </row>
    <row r="52" spans="1:8" x14ac:dyDescent="0.2">
      <c r="A52" s="195">
        <v>51</v>
      </c>
      <c r="B52" s="110" t="s">
        <v>155</v>
      </c>
      <c r="C52" s="196">
        <v>-0.18820000000000001</v>
      </c>
      <c r="D52" s="196">
        <v>-0.21460000000000001</v>
      </c>
      <c r="E52" s="196">
        <v>-0.24110000000000001</v>
      </c>
      <c r="F52" s="196">
        <v>-0.26750000000000002</v>
      </c>
      <c r="G52" s="196">
        <v>-0.29399999999999998</v>
      </c>
      <c r="H52" s="197" t="s">
        <v>679</v>
      </c>
    </row>
    <row r="53" spans="1:8" x14ac:dyDescent="0.2">
      <c r="A53" s="195">
        <v>52</v>
      </c>
      <c r="B53" s="110" t="s">
        <v>156</v>
      </c>
      <c r="C53" s="196">
        <v>-0.18820000000000001</v>
      </c>
      <c r="D53" s="196">
        <v>-0.21460000000000001</v>
      </c>
      <c r="E53" s="196">
        <v>-0.24110000000000001</v>
      </c>
      <c r="F53" s="196">
        <v>-0.26750000000000002</v>
      </c>
      <c r="G53" s="196">
        <v>-0.29399999999999998</v>
      </c>
      <c r="H53" s="197" t="s">
        <v>677</v>
      </c>
    </row>
    <row r="54" spans="1:8" x14ac:dyDescent="0.2">
      <c r="A54" s="195">
        <v>53</v>
      </c>
      <c r="B54" s="110" t="s">
        <v>157</v>
      </c>
      <c r="C54" s="196">
        <v>-0.13059999999999999</v>
      </c>
      <c r="D54" s="196">
        <v>-0.1472</v>
      </c>
      <c r="E54" s="196">
        <v>-0.16389999999999999</v>
      </c>
      <c r="F54" s="196">
        <v>-0.18049999999999999</v>
      </c>
      <c r="G54" s="196">
        <v>-0.1971</v>
      </c>
      <c r="H54" s="197" t="s">
        <v>680</v>
      </c>
    </row>
    <row r="55" spans="1:8" x14ac:dyDescent="0.2">
      <c r="A55" s="195">
        <v>54</v>
      </c>
      <c r="B55" s="110" t="s">
        <v>158</v>
      </c>
      <c r="C55" s="196">
        <v>-0.18820000000000001</v>
      </c>
      <c r="D55" s="196">
        <v>-0.21460000000000001</v>
      </c>
      <c r="E55" s="196">
        <v>-0.24110000000000001</v>
      </c>
      <c r="F55" s="196">
        <v>-0.26750000000000002</v>
      </c>
      <c r="G55" s="196">
        <v>-0.29399999999999998</v>
      </c>
      <c r="H55" s="197" t="s">
        <v>677</v>
      </c>
    </row>
    <row r="56" spans="1:8" x14ac:dyDescent="0.2">
      <c r="A56" s="195">
        <v>55</v>
      </c>
      <c r="B56" s="110" t="s">
        <v>159</v>
      </c>
      <c r="C56" s="196">
        <v>-0.18820000000000001</v>
      </c>
      <c r="D56" s="196">
        <v>-0.21460000000000001</v>
      </c>
      <c r="E56" s="196">
        <v>-0.24110000000000001</v>
      </c>
      <c r="F56" s="196">
        <v>-0.26750000000000002</v>
      </c>
      <c r="G56" s="196">
        <v>-0.29399999999999998</v>
      </c>
      <c r="H56" s="197" t="s">
        <v>677</v>
      </c>
    </row>
    <row r="57" spans="1:8" x14ac:dyDescent="0.2">
      <c r="A57" s="195">
        <v>56</v>
      </c>
      <c r="B57" s="110" t="s">
        <v>160</v>
      </c>
      <c r="C57" s="196">
        <v>-0.18820000000000001</v>
      </c>
      <c r="D57" s="196">
        <v>-0.21460000000000001</v>
      </c>
      <c r="E57" s="196">
        <v>-0.24110000000000001</v>
      </c>
      <c r="F57" s="196">
        <v>-0.26750000000000002</v>
      </c>
      <c r="G57" s="196">
        <v>-0.29399999999999998</v>
      </c>
      <c r="H57" s="197" t="s">
        <v>677</v>
      </c>
    </row>
    <row r="58" spans="1:8" x14ac:dyDescent="0.2">
      <c r="A58" s="192">
        <v>57</v>
      </c>
      <c r="B58" s="106" t="s">
        <v>161</v>
      </c>
      <c r="C58" s="193">
        <v>-0.1832</v>
      </c>
      <c r="D58" s="193">
        <v>-0.2099</v>
      </c>
      <c r="E58" s="193">
        <v>-0.2366</v>
      </c>
      <c r="F58" s="193">
        <v>-0.26329999999999998</v>
      </c>
      <c r="G58" s="193">
        <v>-0.28999999999999998</v>
      </c>
      <c r="H58" s="194" t="s">
        <v>681</v>
      </c>
    </row>
    <row r="59" spans="1:8" x14ac:dyDescent="0.2">
      <c r="A59" s="192">
        <v>58</v>
      </c>
      <c r="B59" s="106" t="s">
        <v>162</v>
      </c>
      <c r="C59" s="193">
        <v>-0.28010000000000002</v>
      </c>
      <c r="D59" s="193">
        <v>-0.3206</v>
      </c>
      <c r="E59" s="193">
        <v>-0.36120000000000002</v>
      </c>
      <c r="F59" s="193">
        <v>-0.4017</v>
      </c>
      <c r="G59" s="193">
        <v>-0.44230000000000003</v>
      </c>
      <c r="H59" s="194" t="s">
        <v>682</v>
      </c>
    </row>
    <row r="60" spans="1:8" x14ac:dyDescent="0.2">
      <c r="A60" s="192">
        <v>59</v>
      </c>
      <c r="B60" s="106" t="s">
        <v>683</v>
      </c>
      <c r="C60" s="193">
        <v>-0.23449999999999999</v>
      </c>
      <c r="D60" s="193">
        <v>-0.26640000000000003</v>
      </c>
      <c r="E60" s="193">
        <v>-0.29830000000000001</v>
      </c>
      <c r="F60" s="193">
        <v>-0.33019999999999999</v>
      </c>
      <c r="G60" s="193">
        <v>-0.36209999999999998</v>
      </c>
      <c r="H60" s="194" t="s">
        <v>684</v>
      </c>
    </row>
    <row r="61" spans="1:8" x14ac:dyDescent="0.2">
      <c r="A61" s="195">
        <v>60</v>
      </c>
      <c r="B61" s="110" t="s">
        <v>164</v>
      </c>
      <c r="C61" s="196">
        <v>-0.1905</v>
      </c>
      <c r="D61" s="196">
        <v>-0.2208</v>
      </c>
      <c r="E61" s="196">
        <v>-0.25109999999999999</v>
      </c>
      <c r="F61" s="196">
        <v>-0.28139999999999998</v>
      </c>
      <c r="G61" s="196">
        <v>-0.31169999999999998</v>
      </c>
      <c r="H61" s="197" t="s">
        <v>669</v>
      </c>
    </row>
    <row r="62" spans="1:8" x14ac:dyDescent="0.2">
      <c r="A62" s="195">
        <v>61</v>
      </c>
      <c r="B62" s="110" t="s">
        <v>165</v>
      </c>
      <c r="C62" s="196">
        <v>-0.1905</v>
      </c>
      <c r="D62" s="196">
        <v>-0.2208</v>
      </c>
      <c r="E62" s="196">
        <v>-0.25109999999999999</v>
      </c>
      <c r="F62" s="196">
        <v>-0.28139999999999998</v>
      </c>
      <c r="G62" s="196">
        <v>-0.31169999999999998</v>
      </c>
      <c r="H62" s="197" t="s">
        <v>669</v>
      </c>
    </row>
    <row r="63" spans="1:8" x14ac:dyDescent="0.2">
      <c r="A63" s="195">
        <v>62</v>
      </c>
      <c r="B63" s="110" t="s">
        <v>166</v>
      </c>
      <c r="C63" s="196">
        <v>-0.1905</v>
      </c>
      <c r="D63" s="196">
        <v>-0.2208</v>
      </c>
      <c r="E63" s="196">
        <v>-0.25109999999999999</v>
      </c>
      <c r="F63" s="196">
        <v>-0.28139999999999998</v>
      </c>
      <c r="G63" s="196">
        <v>-0.31169999999999998</v>
      </c>
      <c r="H63" s="197" t="s">
        <v>669</v>
      </c>
    </row>
    <row r="64" spans="1:8" x14ac:dyDescent="0.2">
      <c r="A64" s="195">
        <v>63</v>
      </c>
      <c r="B64" s="110" t="s">
        <v>167</v>
      </c>
      <c r="C64" s="196">
        <v>-0.1905</v>
      </c>
      <c r="D64" s="196">
        <v>-0.2208</v>
      </c>
      <c r="E64" s="196">
        <v>-0.25109999999999999</v>
      </c>
      <c r="F64" s="196">
        <v>-0.28139999999999998</v>
      </c>
      <c r="G64" s="196">
        <v>-0.31169999999999998</v>
      </c>
      <c r="H64" s="197" t="s">
        <v>669</v>
      </c>
    </row>
    <row r="65" spans="1:8" x14ac:dyDescent="0.2">
      <c r="A65" s="195">
        <v>64</v>
      </c>
      <c r="B65" s="110" t="s">
        <v>168</v>
      </c>
      <c r="C65" s="196">
        <v>-0.1905</v>
      </c>
      <c r="D65" s="196">
        <v>-0.2208</v>
      </c>
      <c r="E65" s="196">
        <v>-0.25109999999999999</v>
      </c>
      <c r="F65" s="196">
        <v>-0.28139999999999998</v>
      </c>
      <c r="G65" s="196">
        <v>-0.31169999999999998</v>
      </c>
      <c r="H65" s="197" t="s">
        <v>669</v>
      </c>
    </row>
    <row r="66" spans="1:8" x14ac:dyDescent="0.2">
      <c r="A66" s="195">
        <v>65</v>
      </c>
      <c r="B66" s="110" t="s">
        <v>169</v>
      </c>
      <c r="C66" s="196">
        <v>-0.1905</v>
      </c>
      <c r="D66" s="196">
        <v>-0.2208</v>
      </c>
      <c r="E66" s="196">
        <v>-0.25109999999999999</v>
      </c>
      <c r="F66" s="196">
        <v>-0.28139999999999998</v>
      </c>
      <c r="G66" s="196">
        <v>-0.31169999999999998</v>
      </c>
      <c r="H66" s="197" t="s">
        <v>669</v>
      </c>
    </row>
    <row r="67" spans="1:8" x14ac:dyDescent="0.2">
      <c r="A67" s="195">
        <v>66</v>
      </c>
      <c r="B67" s="110" t="s">
        <v>170</v>
      </c>
      <c r="C67" s="196">
        <v>-0.1905</v>
      </c>
      <c r="D67" s="196">
        <v>-0.2208</v>
      </c>
      <c r="E67" s="196">
        <v>-0.25109999999999999</v>
      </c>
      <c r="F67" s="196">
        <v>-0.28139999999999998</v>
      </c>
      <c r="G67" s="196">
        <v>-0.31169999999999998</v>
      </c>
      <c r="H67" s="197" t="s">
        <v>669</v>
      </c>
    </row>
    <row r="68" spans="1:8" x14ac:dyDescent="0.2">
      <c r="A68" s="195">
        <v>67</v>
      </c>
      <c r="B68" s="110" t="s">
        <v>171</v>
      </c>
      <c r="C68" s="196">
        <v>-0.1905</v>
      </c>
      <c r="D68" s="196">
        <v>-0.2208</v>
      </c>
      <c r="E68" s="196">
        <v>-0.25109999999999999</v>
      </c>
      <c r="F68" s="196">
        <v>-0.28139999999999998</v>
      </c>
      <c r="G68" s="196">
        <v>-0.31169999999999998</v>
      </c>
      <c r="H68" s="197" t="s">
        <v>669</v>
      </c>
    </row>
    <row r="69" spans="1:8" ht="45" customHeight="1" x14ac:dyDescent="0.2">
      <c r="A69" s="202" t="s">
        <v>687</v>
      </c>
      <c r="B69" s="602" t="s">
        <v>688</v>
      </c>
      <c r="C69" s="603"/>
      <c r="D69" s="603"/>
      <c r="E69" s="603"/>
      <c r="F69" s="603"/>
      <c r="G69" s="603"/>
      <c r="H69" s="603"/>
    </row>
    <row r="71" spans="1:8" ht="113" x14ac:dyDescent="0.2">
      <c r="A71" s="198" t="s">
        <v>689</v>
      </c>
      <c r="B71" s="199" t="s">
        <v>690</v>
      </c>
      <c r="C71" s="200" t="s">
        <v>691</v>
      </c>
      <c r="D71" s="201"/>
      <c r="E71" s="83"/>
      <c r="F71" s="83"/>
      <c r="G71" s="83"/>
      <c r="H71" s="83"/>
    </row>
  </sheetData>
  <mergeCells count="1">
    <mergeCell ref="B69:H6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DFE31-1532-4348-B842-ED0273A60F7F}">
  <dimension ref="A1:H72"/>
  <sheetViews>
    <sheetView zoomScale="84" workbookViewId="0">
      <selection activeCell="E6" sqref="E6:E72"/>
    </sheetView>
  </sheetViews>
  <sheetFormatPr baseColWidth="10" defaultColWidth="8.83203125" defaultRowHeight="15" x14ac:dyDescent="0.2"/>
  <cols>
    <col min="1" max="1" width="8" style="84" customWidth="1"/>
    <col min="2" max="2" width="45" style="84" customWidth="1"/>
    <col min="3" max="3" width="37.1640625" style="84" customWidth="1"/>
    <col min="4" max="5" width="10" style="84" customWidth="1"/>
    <col min="6" max="6" width="65.5" style="42" customWidth="1"/>
    <col min="7" max="7" width="65.1640625" style="84" customWidth="1"/>
    <col min="8" max="16384" width="8.83203125" style="84"/>
  </cols>
  <sheetData>
    <row r="1" spans="1:8" ht="22" customHeight="1" x14ac:dyDescent="0.2">
      <c r="A1" s="604" t="s">
        <v>791</v>
      </c>
      <c r="B1" s="605"/>
      <c r="C1" s="605"/>
      <c r="D1" s="605"/>
      <c r="E1" s="605"/>
      <c r="F1" s="605"/>
    </row>
    <row r="2" spans="1:8" ht="30" customHeight="1" x14ac:dyDescent="0.2">
      <c r="A2" s="606" t="s">
        <v>792</v>
      </c>
      <c r="B2" s="605"/>
      <c r="C2" s="605"/>
      <c r="D2" s="605"/>
      <c r="E2" s="605"/>
      <c r="F2" s="605"/>
    </row>
    <row r="3" spans="1:8" ht="40" customHeight="1" x14ac:dyDescent="0.2">
      <c r="A3" s="606" t="s">
        <v>793</v>
      </c>
      <c r="B3" s="605"/>
      <c r="C3" s="605"/>
      <c r="D3" s="605"/>
      <c r="E3" s="605"/>
      <c r="F3" s="605"/>
    </row>
    <row r="5" spans="1:8" ht="42" customHeight="1" x14ac:dyDescent="0.2">
      <c r="A5" s="314" t="s">
        <v>794</v>
      </c>
      <c r="B5" s="314" t="s">
        <v>795</v>
      </c>
      <c r="C5" s="314" t="s">
        <v>796</v>
      </c>
      <c r="D5" s="314" t="s">
        <v>797</v>
      </c>
      <c r="E5" s="314" t="s">
        <v>798</v>
      </c>
      <c r="F5" s="314" t="s">
        <v>799</v>
      </c>
    </row>
    <row r="6" spans="1:8" ht="30" customHeight="1" x14ac:dyDescent="0.2">
      <c r="A6" s="315">
        <v>1</v>
      </c>
      <c r="B6" s="316" t="s">
        <v>800</v>
      </c>
      <c r="C6" s="316" t="s">
        <v>801</v>
      </c>
      <c r="D6" s="315">
        <v>2.5</v>
      </c>
      <c r="E6" s="315">
        <f t="shared" ref="E6:E69" si="0">-D6</f>
        <v>-2.5</v>
      </c>
      <c r="F6" s="316" t="s">
        <v>802</v>
      </c>
      <c r="G6" s="194" t="s">
        <v>630</v>
      </c>
      <c r="H6" s="84" t="s">
        <v>842</v>
      </c>
    </row>
    <row r="7" spans="1:8" ht="18" customHeight="1" x14ac:dyDescent="0.2">
      <c r="A7" s="317">
        <v>2</v>
      </c>
      <c r="B7" s="318" t="s">
        <v>106</v>
      </c>
      <c r="C7" s="318" t="s">
        <v>803</v>
      </c>
      <c r="D7" s="317">
        <v>1.25</v>
      </c>
      <c r="E7" s="317">
        <f t="shared" si="0"/>
        <v>-1.25</v>
      </c>
      <c r="F7" s="318" t="s">
        <v>804</v>
      </c>
      <c r="G7" s="194" t="s">
        <v>631</v>
      </c>
    </row>
    <row r="8" spans="1:8" ht="40" customHeight="1" x14ac:dyDescent="0.2">
      <c r="A8" s="315">
        <v>3</v>
      </c>
      <c r="B8" s="316" t="s">
        <v>107</v>
      </c>
      <c r="C8" s="316" t="s">
        <v>805</v>
      </c>
      <c r="D8" s="315">
        <v>11.2</v>
      </c>
      <c r="E8" s="315">
        <f t="shared" si="0"/>
        <v>-11.2</v>
      </c>
      <c r="F8" s="316" t="s">
        <v>843</v>
      </c>
      <c r="G8" s="197" t="s">
        <v>632</v>
      </c>
    </row>
    <row r="9" spans="1:8" ht="18" customHeight="1" x14ac:dyDescent="0.2">
      <c r="A9" s="317">
        <v>4</v>
      </c>
      <c r="B9" s="320" t="s">
        <v>488</v>
      </c>
      <c r="C9" s="318" t="s">
        <v>846</v>
      </c>
      <c r="D9" s="317">
        <v>1.9750000000000001</v>
      </c>
      <c r="E9" s="317">
        <v>-1.9750000000000001</v>
      </c>
      <c r="F9" s="321" t="s">
        <v>847</v>
      </c>
      <c r="G9" s="194" t="s">
        <v>633</v>
      </c>
    </row>
    <row r="10" spans="1:8" ht="28" customHeight="1" x14ac:dyDescent="0.2">
      <c r="A10" s="315">
        <v>5</v>
      </c>
      <c r="B10" s="316" t="s">
        <v>109</v>
      </c>
      <c r="C10" s="316" t="s">
        <v>806</v>
      </c>
      <c r="D10" s="315">
        <v>2.7</v>
      </c>
      <c r="E10" s="315">
        <f t="shared" si="0"/>
        <v>-2.7</v>
      </c>
      <c r="F10" s="319" t="s">
        <v>634</v>
      </c>
      <c r="G10" s="194" t="s">
        <v>634</v>
      </c>
    </row>
    <row r="11" spans="1:8" ht="28" customHeight="1" x14ac:dyDescent="0.2">
      <c r="A11" s="317">
        <v>6</v>
      </c>
      <c r="B11" s="318" t="s">
        <v>110</v>
      </c>
      <c r="C11" s="318" t="s">
        <v>807</v>
      </c>
      <c r="D11" s="317">
        <v>1.1499999999999999</v>
      </c>
      <c r="E11" s="317">
        <f t="shared" si="0"/>
        <v>-1.1499999999999999</v>
      </c>
      <c r="F11" s="319" t="s">
        <v>845</v>
      </c>
      <c r="G11" s="194" t="s">
        <v>635</v>
      </c>
    </row>
    <row r="12" spans="1:8" ht="18" customHeight="1" x14ac:dyDescent="0.2">
      <c r="A12" s="315">
        <v>7</v>
      </c>
      <c r="B12" s="316" t="s">
        <v>111</v>
      </c>
      <c r="C12" s="316" t="s">
        <v>808</v>
      </c>
      <c r="D12" s="315">
        <v>1.1499999999999999</v>
      </c>
      <c r="E12" s="315">
        <f t="shared" si="0"/>
        <v>-1.1499999999999999</v>
      </c>
      <c r="F12" s="319" t="s">
        <v>844</v>
      </c>
      <c r="G12" s="194" t="s">
        <v>636</v>
      </c>
    </row>
    <row r="13" spans="1:8" ht="19" customHeight="1" x14ac:dyDescent="0.2">
      <c r="A13" s="317">
        <v>8</v>
      </c>
      <c r="B13" s="318" t="s">
        <v>112</v>
      </c>
      <c r="C13" s="318" t="s">
        <v>848</v>
      </c>
      <c r="D13" s="317">
        <v>3.7</v>
      </c>
      <c r="E13" s="317">
        <f t="shared" si="0"/>
        <v>-3.7</v>
      </c>
      <c r="F13" s="321" t="s">
        <v>637</v>
      </c>
      <c r="G13" s="194" t="s">
        <v>637</v>
      </c>
    </row>
    <row r="14" spans="1:8" ht="18" customHeight="1" x14ac:dyDescent="0.2">
      <c r="A14" s="315">
        <v>9</v>
      </c>
      <c r="B14" s="316" t="s">
        <v>113</v>
      </c>
      <c r="C14" s="316" t="s">
        <v>809</v>
      </c>
      <c r="D14" s="315">
        <v>3.7</v>
      </c>
      <c r="E14" s="315">
        <f t="shared" si="0"/>
        <v>-3.7</v>
      </c>
      <c r="F14" s="322" t="s">
        <v>638</v>
      </c>
      <c r="G14" s="197" t="s">
        <v>638</v>
      </c>
    </row>
    <row r="15" spans="1:8" ht="18" customHeight="1" x14ac:dyDescent="0.2">
      <c r="A15" s="317">
        <v>10</v>
      </c>
      <c r="B15" s="318" t="s">
        <v>810</v>
      </c>
      <c r="C15" s="318" t="s">
        <v>811</v>
      </c>
      <c r="D15" s="317">
        <v>4.05</v>
      </c>
      <c r="E15" s="317">
        <f t="shared" si="0"/>
        <v>-4.05</v>
      </c>
      <c r="F15" s="194" t="s">
        <v>849</v>
      </c>
      <c r="G15" s="194" t="s">
        <v>639</v>
      </c>
    </row>
    <row r="16" spans="1:8" ht="18" customHeight="1" x14ac:dyDescent="0.2">
      <c r="A16" s="315">
        <v>11</v>
      </c>
      <c r="B16" s="316" t="s">
        <v>812</v>
      </c>
      <c r="C16" s="316" t="s">
        <v>813</v>
      </c>
      <c r="D16" s="315">
        <v>3.4</v>
      </c>
      <c r="E16" s="315">
        <f t="shared" si="0"/>
        <v>-3.4</v>
      </c>
      <c r="F16" s="194" t="s">
        <v>850</v>
      </c>
      <c r="G16" s="194" t="s">
        <v>641</v>
      </c>
    </row>
    <row r="17" spans="1:7" ht="18" customHeight="1" x14ac:dyDescent="0.2">
      <c r="A17" s="317">
        <v>12</v>
      </c>
      <c r="B17" s="318" t="s">
        <v>116</v>
      </c>
      <c r="C17" s="318" t="s">
        <v>814</v>
      </c>
      <c r="D17" s="317">
        <v>3.4</v>
      </c>
      <c r="E17" s="317">
        <f t="shared" si="0"/>
        <v>-3.4</v>
      </c>
      <c r="F17" s="194" t="s">
        <v>851</v>
      </c>
      <c r="G17" s="194" t="s">
        <v>642</v>
      </c>
    </row>
    <row r="18" spans="1:7" ht="18" customHeight="1" x14ac:dyDescent="0.2">
      <c r="A18" s="315">
        <v>13</v>
      </c>
      <c r="B18" s="316" t="s">
        <v>117</v>
      </c>
      <c r="C18" s="316" t="s">
        <v>815</v>
      </c>
      <c r="D18" s="315">
        <v>1.9</v>
      </c>
      <c r="E18" s="315">
        <f t="shared" si="0"/>
        <v>-1.9</v>
      </c>
      <c r="F18" s="197" t="s">
        <v>852</v>
      </c>
      <c r="G18" s="323" t="s">
        <v>643</v>
      </c>
    </row>
    <row r="19" spans="1:7" ht="25" customHeight="1" x14ac:dyDescent="0.2">
      <c r="A19" s="317">
        <v>14</v>
      </c>
      <c r="B19" s="318" t="s">
        <v>118</v>
      </c>
      <c r="C19" s="318" t="s">
        <v>816</v>
      </c>
      <c r="D19" s="317">
        <v>2.1</v>
      </c>
      <c r="E19" s="317">
        <f t="shared" si="0"/>
        <v>-2.1</v>
      </c>
      <c r="F19" s="319" t="s">
        <v>853</v>
      </c>
      <c r="G19" s="194" t="s">
        <v>644</v>
      </c>
    </row>
    <row r="20" spans="1:7" ht="18" customHeight="1" x14ac:dyDescent="0.2">
      <c r="A20" s="315">
        <v>15</v>
      </c>
      <c r="B20" s="316" t="s">
        <v>119</v>
      </c>
      <c r="C20" s="316" t="s">
        <v>817</v>
      </c>
      <c r="D20" s="315">
        <v>3.3</v>
      </c>
      <c r="E20" s="315">
        <f t="shared" si="0"/>
        <v>-3.3</v>
      </c>
      <c r="F20" s="194" t="s">
        <v>854</v>
      </c>
      <c r="G20" s="194" t="s">
        <v>645</v>
      </c>
    </row>
    <row r="21" spans="1:7" ht="18" customHeight="1" x14ac:dyDescent="0.2">
      <c r="A21" s="317">
        <v>16</v>
      </c>
      <c r="B21" s="318" t="s">
        <v>740</v>
      </c>
      <c r="C21" s="318" t="s">
        <v>818</v>
      </c>
      <c r="D21" s="317">
        <v>3.3</v>
      </c>
      <c r="E21" s="317">
        <f t="shared" si="0"/>
        <v>-3.3</v>
      </c>
      <c r="F21" s="197" t="s">
        <v>858</v>
      </c>
      <c r="G21" s="197" t="s">
        <v>646</v>
      </c>
    </row>
    <row r="22" spans="1:7" ht="18" customHeight="1" x14ac:dyDescent="0.2">
      <c r="A22" s="315">
        <v>17</v>
      </c>
      <c r="B22" s="316" t="s">
        <v>741</v>
      </c>
      <c r="C22" s="316" t="s">
        <v>818</v>
      </c>
      <c r="D22" s="315">
        <v>3.3</v>
      </c>
      <c r="E22" s="315">
        <f t="shared" si="0"/>
        <v>-3.3</v>
      </c>
      <c r="F22" s="197" t="s">
        <v>857</v>
      </c>
      <c r="G22" s="197" t="s">
        <v>647</v>
      </c>
    </row>
    <row r="23" spans="1:7" ht="18" customHeight="1" x14ac:dyDescent="0.2">
      <c r="A23" s="317">
        <v>18</v>
      </c>
      <c r="B23" s="318" t="s">
        <v>122</v>
      </c>
      <c r="C23" s="318" t="s">
        <v>819</v>
      </c>
      <c r="D23" s="317">
        <v>3.3</v>
      </c>
      <c r="E23" s="317">
        <f t="shared" si="0"/>
        <v>-3.3</v>
      </c>
      <c r="F23" s="197" t="s">
        <v>648</v>
      </c>
      <c r="G23" s="197" t="s">
        <v>648</v>
      </c>
    </row>
    <row r="24" spans="1:7" ht="18" customHeight="1" x14ac:dyDescent="0.2">
      <c r="A24" s="315">
        <v>19</v>
      </c>
      <c r="B24" s="316" t="s">
        <v>123</v>
      </c>
      <c r="C24" s="316" t="s">
        <v>820</v>
      </c>
      <c r="D24" s="315">
        <v>4.2</v>
      </c>
      <c r="E24" s="315">
        <f t="shared" si="0"/>
        <v>-4.2</v>
      </c>
      <c r="F24" s="194" t="s">
        <v>855</v>
      </c>
      <c r="G24" s="194" t="s">
        <v>649</v>
      </c>
    </row>
    <row r="25" spans="1:7" ht="18" customHeight="1" x14ac:dyDescent="0.2">
      <c r="A25" s="317">
        <v>20</v>
      </c>
      <c r="B25" s="318" t="s">
        <v>743</v>
      </c>
      <c r="C25" s="318" t="s">
        <v>821</v>
      </c>
      <c r="D25" s="317">
        <v>4.2</v>
      </c>
      <c r="E25" s="317">
        <f t="shared" si="0"/>
        <v>-4.2</v>
      </c>
      <c r="F25" s="197" t="s">
        <v>856</v>
      </c>
      <c r="G25" s="197" t="s">
        <v>650</v>
      </c>
    </row>
    <row r="26" spans="1:7" ht="18" customHeight="1" x14ac:dyDescent="0.2">
      <c r="A26" s="315">
        <v>21</v>
      </c>
      <c r="B26" s="316" t="s">
        <v>822</v>
      </c>
      <c r="C26" s="316" t="s">
        <v>823</v>
      </c>
      <c r="D26" s="315">
        <v>4.05</v>
      </c>
      <c r="E26" s="315">
        <f t="shared" si="0"/>
        <v>-4.05</v>
      </c>
      <c r="F26" s="197" t="s">
        <v>651</v>
      </c>
      <c r="G26" s="197" t="s">
        <v>651</v>
      </c>
    </row>
    <row r="27" spans="1:7" ht="18" customHeight="1" x14ac:dyDescent="0.2">
      <c r="A27" s="317">
        <v>22</v>
      </c>
      <c r="B27" s="318" t="s">
        <v>126</v>
      </c>
      <c r="C27" s="318" t="s">
        <v>824</v>
      </c>
      <c r="D27" s="317">
        <v>4.05</v>
      </c>
      <c r="E27" s="317">
        <f t="shared" si="0"/>
        <v>-4.05</v>
      </c>
      <c r="F27" s="194" t="s">
        <v>859</v>
      </c>
      <c r="G27" s="194" t="s">
        <v>652</v>
      </c>
    </row>
    <row r="28" spans="1:7" ht="18" customHeight="1" x14ac:dyDescent="0.2">
      <c r="A28" s="315">
        <v>23</v>
      </c>
      <c r="B28" s="316" t="s">
        <v>127</v>
      </c>
      <c r="C28" s="316" t="s">
        <v>825</v>
      </c>
      <c r="D28" s="315">
        <v>4.05</v>
      </c>
      <c r="E28" s="315">
        <f t="shared" si="0"/>
        <v>-4.05</v>
      </c>
      <c r="F28" s="316" t="s">
        <v>826</v>
      </c>
      <c r="G28" s="323" t="s">
        <v>653</v>
      </c>
    </row>
    <row r="29" spans="1:7" ht="18" customHeight="1" x14ac:dyDescent="0.2">
      <c r="A29" s="317">
        <v>24</v>
      </c>
      <c r="B29" s="318" t="s">
        <v>827</v>
      </c>
      <c r="C29" s="318" t="s">
        <v>828</v>
      </c>
      <c r="D29" s="317">
        <v>2.8</v>
      </c>
      <c r="E29" s="317">
        <f t="shared" si="0"/>
        <v>-2.8</v>
      </c>
      <c r="F29" s="194" t="s">
        <v>860</v>
      </c>
      <c r="G29" s="194" t="s">
        <v>654</v>
      </c>
    </row>
    <row r="30" spans="1:7" ht="18" customHeight="1" x14ac:dyDescent="0.2">
      <c r="A30" s="315">
        <v>25</v>
      </c>
      <c r="B30" s="316" t="s">
        <v>129</v>
      </c>
      <c r="C30" s="316" t="s">
        <v>828</v>
      </c>
      <c r="D30" s="315">
        <v>2.8</v>
      </c>
      <c r="E30" s="315">
        <f t="shared" si="0"/>
        <v>-2.8</v>
      </c>
      <c r="F30" s="194" t="s">
        <v>860</v>
      </c>
      <c r="G30" s="197"/>
    </row>
    <row r="31" spans="1:7" ht="18" customHeight="1" x14ac:dyDescent="0.2">
      <c r="A31" s="317">
        <v>26</v>
      </c>
      <c r="B31" s="318" t="s">
        <v>130</v>
      </c>
      <c r="C31" s="318" t="s">
        <v>862</v>
      </c>
      <c r="D31" s="317">
        <v>3.75</v>
      </c>
      <c r="E31" s="317">
        <f>-D31</f>
        <v>-3.75</v>
      </c>
      <c r="F31" s="194" t="s">
        <v>861</v>
      </c>
      <c r="G31" s="194" t="s">
        <v>655</v>
      </c>
    </row>
    <row r="32" spans="1:7" ht="18" customHeight="1" x14ac:dyDescent="0.2">
      <c r="A32" s="315">
        <v>27</v>
      </c>
      <c r="B32" s="316" t="s">
        <v>131</v>
      </c>
      <c r="C32" s="316" t="s">
        <v>815</v>
      </c>
      <c r="D32" s="315">
        <v>1.9</v>
      </c>
      <c r="E32" s="315">
        <f t="shared" si="0"/>
        <v>-1.9</v>
      </c>
      <c r="F32" s="316" t="s">
        <v>829</v>
      </c>
      <c r="G32" s="328" t="s">
        <v>656</v>
      </c>
    </row>
    <row r="33" spans="1:7" ht="18" customHeight="1" x14ac:dyDescent="0.2">
      <c r="A33" s="317">
        <v>28</v>
      </c>
      <c r="B33" s="318" t="s">
        <v>132</v>
      </c>
      <c r="C33" s="318" t="s">
        <v>815</v>
      </c>
      <c r="D33" s="317">
        <v>1.9</v>
      </c>
      <c r="E33" s="317">
        <f t="shared" si="0"/>
        <v>-1.9</v>
      </c>
      <c r="F33" s="318" t="s">
        <v>829</v>
      </c>
      <c r="G33" s="328" t="s">
        <v>657</v>
      </c>
    </row>
    <row r="34" spans="1:7" ht="18" customHeight="1" x14ac:dyDescent="0.2">
      <c r="A34" s="315">
        <v>29</v>
      </c>
      <c r="B34" s="316" t="s">
        <v>133</v>
      </c>
      <c r="C34" s="316" t="s">
        <v>815</v>
      </c>
      <c r="D34" s="315">
        <v>1.9</v>
      </c>
      <c r="E34" s="315">
        <f t="shared" si="0"/>
        <v>-1.9</v>
      </c>
      <c r="F34" s="316" t="s">
        <v>829</v>
      </c>
      <c r="G34" s="328" t="s">
        <v>658</v>
      </c>
    </row>
    <row r="35" spans="1:7" ht="18" customHeight="1" x14ac:dyDescent="0.2">
      <c r="A35" s="317">
        <v>30</v>
      </c>
      <c r="B35" s="318" t="s">
        <v>748</v>
      </c>
      <c r="C35" s="318" t="s">
        <v>864</v>
      </c>
      <c r="D35" s="317">
        <v>2.8</v>
      </c>
      <c r="E35" s="317">
        <f t="shared" si="0"/>
        <v>-2.8</v>
      </c>
      <c r="F35" s="194" t="s">
        <v>863</v>
      </c>
      <c r="G35" s="194" t="s">
        <v>660</v>
      </c>
    </row>
    <row r="36" spans="1:7" ht="18" customHeight="1" x14ac:dyDescent="0.2">
      <c r="A36" s="315">
        <v>31</v>
      </c>
      <c r="B36" s="316" t="s">
        <v>343</v>
      </c>
      <c r="C36" s="316" t="s">
        <v>865</v>
      </c>
      <c r="D36" s="315">
        <v>1.9</v>
      </c>
      <c r="E36" s="315">
        <f t="shared" si="0"/>
        <v>-1.9</v>
      </c>
      <c r="F36" s="194" t="s">
        <v>866</v>
      </c>
      <c r="G36" s="194" t="s">
        <v>661</v>
      </c>
    </row>
    <row r="37" spans="1:7" ht="18" customHeight="1" x14ac:dyDescent="0.2">
      <c r="A37" s="317">
        <v>32</v>
      </c>
      <c r="B37" s="318" t="s">
        <v>830</v>
      </c>
      <c r="C37" s="318" t="s">
        <v>867</v>
      </c>
      <c r="D37" s="317">
        <v>1.9</v>
      </c>
      <c r="E37" s="317">
        <f t="shared" si="0"/>
        <v>-1.9</v>
      </c>
      <c r="F37" s="194" t="s">
        <v>870</v>
      </c>
      <c r="G37" s="194" t="s">
        <v>663</v>
      </c>
    </row>
    <row r="38" spans="1:7" ht="18" customHeight="1" x14ac:dyDescent="0.2">
      <c r="A38" s="315">
        <v>33</v>
      </c>
      <c r="B38" s="316" t="s">
        <v>831</v>
      </c>
      <c r="C38" s="316" t="s">
        <v>868</v>
      </c>
      <c r="D38" s="315">
        <v>1.9</v>
      </c>
      <c r="E38" s="315">
        <f t="shared" si="0"/>
        <v>-1.9</v>
      </c>
      <c r="F38" s="194" t="s">
        <v>869</v>
      </c>
      <c r="G38" s="194" t="s">
        <v>664</v>
      </c>
    </row>
    <row r="39" spans="1:7" ht="18" customHeight="1" x14ac:dyDescent="0.2">
      <c r="A39" s="317">
        <v>34</v>
      </c>
      <c r="B39" s="318" t="s">
        <v>832</v>
      </c>
      <c r="C39" s="316" t="s">
        <v>868</v>
      </c>
      <c r="D39" s="317">
        <v>1.9</v>
      </c>
      <c r="E39" s="317">
        <f t="shared" si="0"/>
        <v>-1.9</v>
      </c>
      <c r="F39" s="197" t="s">
        <v>871</v>
      </c>
      <c r="G39" s="197" t="s">
        <v>665</v>
      </c>
    </row>
    <row r="40" spans="1:7" ht="18" customHeight="1" x14ac:dyDescent="0.2">
      <c r="A40" s="315">
        <v>35</v>
      </c>
      <c r="B40" s="316" t="s">
        <v>753</v>
      </c>
      <c r="C40" s="316" t="s">
        <v>872</v>
      </c>
      <c r="D40" s="315">
        <v>1.9</v>
      </c>
      <c r="E40" s="315">
        <f t="shared" si="0"/>
        <v>-1.9</v>
      </c>
      <c r="F40" s="197" t="s">
        <v>666</v>
      </c>
      <c r="G40" s="197" t="s">
        <v>666</v>
      </c>
    </row>
    <row r="41" spans="1:7" ht="18" customHeight="1" x14ac:dyDescent="0.2">
      <c r="A41" s="317">
        <v>36</v>
      </c>
      <c r="B41" s="318" t="s">
        <v>140</v>
      </c>
      <c r="C41" s="318" t="s">
        <v>874</v>
      </c>
      <c r="D41" s="317">
        <v>1.9</v>
      </c>
      <c r="E41" s="317">
        <f t="shared" si="0"/>
        <v>-1.9</v>
      </c>
      <c r="F41" s="197" t="s">
        <v>873</v>
      </c>
      <c r="G41" s="197" t="s">
        <v>667</v>
      </c>
    </row>
    <row r="42" spans="1:7" ht="18" customHeight="1" x14ac:dyDescent="0.2">
      <c r="A42" s="315">
        <v>37</v>
      </c>
      <c r="B42" s="316" t="s">
        <v>833</v>
      </c>
      <c r="C42" s="318" t="s">
        <v>874</v>
      </c>
      <c r="D42" s="315">
        <v>1.9</v>
      </c>
      <c r="E42" s="315">
        <f t="shared" si="0"/>
        <v>-1.9</v>
      </c>
      <c r="F42" s="197" t="s">
        <v>669</v>
      </c>
      <c r="G42" s="197" t="s">
        <v>669</v>
      </c>
    </row>
    <row r="43" spans="1:7" ht="18" customHeight="1" x14ac:dyDescent="0.2">
      <c r="A43" s="317">
        <v>38</v>
      </c>
      <c r="B43" s="318" t="s">
        <v>142</v>
      </c>
      <c r="C43" s="318" t="s">
        <v>874</v>
      </c>
      <c r="D43" s="317">
        <v>1.9</v>
      </c>
      <c r="E43" s="317">
        <f t="shared" si="0"/>
        <v>-1.9</v>
      </c>
      <c r="F43" s="197" t="s">
        <v>669</v>
      </c>
      <c r="G43" s="197" t="s">
        <v>669</v>
      </c>
    </row>
    <row r="44" spans="1:7" ht="18" customHeight="1" x14ac:dyDescent="0.2">
      <c r="A44" s="315">
        <v>39</v>
      </c>
      <c r="B44" s="316" t="s">
        <v>834</v>
      </c>
      <c r="C44" s="316" t="s">
        <v>875</v>
      </c>
      <c r="D44" s="315">
        <v>1.9</v>
      </c>
      <c r="E44" s="315">
        <f t="shared" si="0"/>
        <v>-1.9</v>
      </c>
      <c r="F44" s="194" t="s">
        <v>879</v>
      </c>
      <c r="G44" s="194" t="s">
        <v>671</v>
      </c>
    </row>
    <row r="45" spans="1:7" ht="18" customHeight="1" x14ac:dyDescent="0.2">
      <c r="A45" s="317">
        <v>40</v>
      </c>
      <c r="B45" s="318" t="s">
        <v>835</v>
      </c>
      <c r="C45" s="318" t="s">
        <v>876</v>
      </c>
      <c r="D45" s="317">
        <v>1.9</v>
      </c>
      <c r="E45" s="317">
        <f t="shared" si="0"/>
        <v>-1.9</v>
      </c>
      <c r="F45" s="194" t="s">
        <v>880</v>
      </c>
      <c r="G45" s="194" t="s">
        <v>672</v>
      </c>
    </row>
    <row r="46" spans="1:7" ht="18" customHeight="1" x14ac:dyDescent="0.2">
      <c r="A46" s="315">
        <v>41</v>
      </c>
      <c r="B46" s="316" t="s">
        <v>760</v>
      </c>
      <c r="C46" s="318" t="s">
        <v>876</v>
      </c>
      <c r="D46" s="315">
        <v>1.9</v>
      </c>
      <c r="E46" s="315">
        <f t="shared" si="0"/>
        <v>-1.9</v>
      </c>
      <c r="F46" s="197" t="s">
        <v>674</v>
      </c>
      <c r="G46" s="197" t="s">
        <v>674</v>
      </c>
    </row>
    <row r="47" spans="1:7" ht="18" customHeight="1" x14ac:dyDescent="0.2">
      <c r="A47" s="317">
        <v>42</v>
      </c>
      <c r="B47" s="318" t="s">
        <v>761</v>
      </c>
      <c r="C47" s="318" t="s">
        <v>876</v>
      </c>
      <c r="D47" s="317">
        <v>1.9</v>
      </c>
      <c r="E47" s="317">
        <f t="shared" si="0"/>
        <v>-1.9</v>
      </c>
      <c r="F47" s="197" t="s">
        <v>674</v>
      </c>
      <c r="G47" s="197" t="s">
        <v>674</v>
      </c>
    </row>
    <row r="48" spans="1:7" ht="18" customHeight="1" x14ac:dyDescent="0.2">
      <c r="A48" s="315">
        <v>43</v>
      </c>
      <c r="B48" s="316" t="s">
        <v>147</v>
      </c>
      <c r="C48" s="316" t="s">
        <v>881</v>
      </c>
      <c r="D48" s="315">
        <v>1.9</v>
      </c>
      <c r="E48" s="315">
        <f t="shared" si="0"/>
        <v>-1.9</v>
      </c>
      <c r="F48" s="194" t="s">
        <v>877</v>
      </c>
      <c r="G48" s="194" t="s">
        <v>675</v>
      </c>
    </row>
    <row r="49" spans="1:7" ht="18" customHeight="1" x14ac:dyDescent="0.2">
      <c r="A49" s="317">
        <v>44</v>
      </c>
      <c r="B49" s="318" t="s">
        <v>148</v>
      </c>
      <c r="C49" s="318" t="s">
        <v>882</v>
      </c>
      <c r="D49" s="317">
        <v>1.9</v>
      </c>
      <c r="E49" s="317">
        <f t="shared" si="0"/>
        <v>-1.9</v>
      </c>
      <c r="F49" s="194" t="s">
        <v>878</v>
      </c>
      <c r="G49" s="194" t="s">
        <v>676</v>
      </c>
    </row>
    <row r="50" spans="1:7" ht="18" customHeight="1" x14ac:dyDescent="0.2">
      <c r="A50" s="315">
        <v>45</v>
      </c>
      <c r="B50" s="316" t="s">
        <v>836</v>
      </c>
      <c r="C50" s="318" t="s">
        <v>882</v>
      </c>
      <c r="D50" s="315">
        <v>1.9</v>
      </c>
      <c r="E50" s="315">
        <f t="shared" si="0"/>
        <v>-1.9</v>
      </c>
      <c r="F50" s="197" t="s">
        <v>677</v>
      </c>
      <c r="G50" s="328" t="s">
        <v>677</v>
      </c>
    </row>
    <row r="51" spans="1:7" ht="18" customHeight="1" x14ac:dyDescent="0.2">
      <c r="A51" s="317">
        <v>46</v>
      </c>
      <c r="B51" s="318" t="s">
        <v>837</v>
      </c>
      <c r="C51" s="318" t="s">
        <v>882</v>
      </c>
      <c r="D51" s="317">
        <v>1.9</v>
      </c>
      <c r="E51" s="317">
        <f t="shared" si="0"/>
        <v>-1.9</v>
      </c>
      <c r="F51" s="197" t="s">
        <v>677</v>
      </c>
      <c r="G51" s="328" t="s">
        <v>677</v>
      </c>
    </row>
    <row r="52" spans="1:7" ht="18" customHeight="1" x14ac:dyDescent="0.2">
      <c r="A52" s="315">
        <v>47</v>
      </c>
      <c r="B52" s="316" t="s">
        <v>151</v>
      </c>
      <c r="C52" s="318" t="s">
        <v>882</v>
      </c>
      <c r="D52" s="315">
        <v>1.9</v>
      </c>
      <c r="E52" s="315">
        <f t="shared" si="0"/>
        <v>-1.9</v>
      </c>
      <c r="F52" s="197" t="s">
        <v>677</v>
      </c>
      <c r="G52" s="328" t="s">
        <v>677</v>
      </c>
    </row>
    <row r="53" spans="1:7" ht="18" customHeight="1" x14ac:dyDescent="0.2">
      <c r="A53" s="317">
        <v>48</v>
      </c>
      <c r="B53" s="318" t="s">
        <v>152</v>
      </c>
      <c r="C53" s="318" t="s">
        <v>882</v>
      </c>
      <c r="D53" s="317">
        <v>1.9</v>
      </c>
      <c r="E53" s="317">
        <f t="shared" si="0"/>
        <v>-1.9</v>
      </c>
      <c r="F53" s="197" t="s">
        <v>677</v>
      </c>
      <c r="G53" s="328" t="s">
        <v>677</v>
      </c>
    </row>
    <row r="54" spans="1:7" ht="18" customHeight="1" x14ac:dyDescent="0.2">
      <c r="A54" s="315">
        <v>49</v>
      </c>
      <c r="B54" s="316" t="s">
        <v>153</v>
      </c>
      <c r="C54" s="318" t="s">
        <v>882</v>
      </c>
      <c r="D54" s="315">
        <v>1.9</v>
      </c>
      <c r="E54" s="315">
        <f t="shared" si="0"/>
        <v>-1.9</v>
      </c>
      <c r="F54" s="197" t="s">
        <v>677</v>
      </c>
      <c r="G54" s="328" t="s">
        <v>677</v>
      </c>
    </row>
    <row r="55" spans="1:7" ht="18" customHeight="1" x14ac:dyDescent="0.2">
      <c r="A55" s="317">
        <v>50</v>
      </c>
      <c r="B55" s="318" t="s">
        <v>154</v>
      </c>
      <c r="C55" s="318" t="s">
        <v>815</v>
      </c>
      <c r="D55" s="317">
        <v>1.9</v>
      </c>
      <c r="E55" s="317">
        <f t="shared" si="0"/>
        <v>-1.9</v>
      </c>
      <c r="F55" s="318" t="s">
        <v>829</v>
      </c>
      <c r="G55" s="328" t="s">
        <v>678</v>
      </c>
    </row>
    <row r="56" spans="1:7" ht="18" customHeight="1" x14ac:dyDescent="0.2">
      <c r="A56" s="315">
        <v>51</v>
      </c>
      <c r="B56" s="316" t="s">
        <v>155</v>
      </c>
      <c r="C56" s="316" t="s">
        <v>815</v>
      </c>
      <c r="D56" s="315">
        <v>1.9</v>
      </c>
      <c r="E56" s="315">
        <f t="shared" si="0"/>
        <v>-1.9</v>
      </c>
      <c r="F56" s="316" t="s">
        <v>829</v>
      </c>
      <c r="G56" s="328" t="s">
        <v>679</v>
      </c>
    </row>
    <row r="57" spans="1:7" ht="18" customHeight="1" x14ac:dyDescent="0.2">
      <c r="A57" s="317">
        <v>52</v>
      </c>
      <c r="B57" s="318" t="s">
        <v>156</v>
      </c>
      <c r="C57" s="318" t="s">
        <v>815</v>
      </c>
      <c r="D57" s="317">
        <v>1.9</v>
      </c>
      <c r="E57" s="317">
        <f t="shared" si="0"/>
        <v>-1.9</v>
      </c>
      <c r="F57" s="318" t="s">
        <v>829</v>
      </c>
      <c r="G57" s="328" t="s">
        <v>677</v>
      </c>
    </row>
    <row r="58" spans="1:7" ht="18" customHeight="1" x14ac:dyDescent="0.2">
      <c r="A58" s="315">
        <v>53</v>
      </c>
      <c r="B58" s="316" t="s">
        <v>838</v>
      </c>
      <c r="C58" s="316" t="s">
        <v>815</v>
      </c>
      <c r="D58" s="315">
        <v>1.9</v>
      </c>
      <c r="E58" s="315">
        <f t="shared" si="0"/>
        <v>-1.9</v>
      </c>
      <c r="F58" s="316" t="s">
        <v>829</v>
      </c>
      <c r="G58" s="328" t="s">
        <v>680</v>
      </c>
    </row>
    <row r="59" spans="1:7" ht="18" customHeight="1" x14ac:dyDescent="0.2">
      <c r="A59" s="317">
        <v>54</v>
      </c>
      <c r="B59" s="318" t="s">
        <v>158</v>
      </c>
      <c r="C59" s="318" t="s">
        <v>882</v>
      </c>
      <c r="D59" s="317">
        <v>1.9</v>
      </c>
      <c r="E59" s="317">
        <f t="shared" si="0"/>
        <v>-1.9</v>
      </c>
      <c r="F59" s="197" t="s">
        <v>677</v>
      </c>
      <c r="G59" s="328" t="s">
        <v>677</v>
      </c>
    </row>
    <row r="60" spans="1:7" ht="18" customHeight="1" x14ac:dyDescent="0.2">
      <c r="A60" s="315">
        <v>55</v>
      </c>
      <c r="B60" s="316" t="s">
        <v>159</v>
      </c>
      <c r="C60" s="318" t="s">
        <v>882</v>
      </c>
      <c r="D60" s="315">
        <v>1.9</v>
      </c>
      <c r="E60" s="315">
        <f t="shared" si="0"/>
        <v>-1.9</v>
      </c>
      <c r="F60" s="197" t="s">
        <v>677</v>
      </c>
      <c r="G60" s="328" t="s">
        <v>677</v>
      </c>
    </row>
    <row r="61" spans="1:7" ht="18" customHeight="1" x14ac:dyDescent="0.2">
      <c r="A61" s="317">
        <v>56</v>
      </c>
      <c r="B61" s="318" t="s">
        <v>839</v>
      </c>
      <c r="C61" s="318" t="s">
        <v>882</v>
      </c>
      <c r="D61" s="317">
        <v>1.9</v>
      </c>
      <c r="E61" s="317">
        <f t="shared" si="0"/>
        <v>-1.9</v>
      </c>
      <c r="F61" s="197" t="s">
        <v>677</v>
      </c>
      <c r="G61" s="328" t="s">
        <v>677</v>
      </c>
    </row>
    <row r="62" spans="1:7" ht="18" customHeight="1" x14ac:dyDescent="0.2">
      <c r="A62" s="315">
        <v>57</v>
      </c>
      <c r="B62" s="316" t="s">
        <v>840</v>
      </c>
      <c r="C62" s="316" t="s">
        <v>886</v>
      </c>
      <c r="D62" s="315">
        <v>1.9</v>
      </c>
      <c r="E62" s="315">
        <f t="shared" si="0"/>
        <v>-1.9</v>
      </c>
      <c r="F62" s="194" t="s">
        <v>883</v>
      </c>
      <c r="G62" s="194" t="s">
        <v>681</v>
      </c>
    </row>
    <row r="63" spans="1:7" ht="18" customHeight="1" x14ac:dyDescent="0.2">
      <c r="A63" s="317">
        <v>58</v>
      </c>
      <c r="B63" s="318" t="s">
        <v>352</v>
      </c>
      <c r="C63" s="318" t="s">
        <v>887</v>
      </c>
      <c r="D63" s="317">
        <v>1.9</v>
      </c>
      <c r="E63" s="317">
        <f t="shared" si="0"/>
        <v>-1.9</v>
      </c>
      <c r="F63" s="194" t="s">
        <v>884</v>
      </c>
      <c r="G63" s="194" t="s">
        <v>682</v>
      </c>
    </row>
    <row r="64" spans="1:7" ht="18" customHeight="1" x14ac:dyDescent="0.2">
      <c r="A64" s="315">
        <v>59</v>
      </c>
      <c r="B64" s="316" t="s">
        <v>769</v>
      </c>
      <c r="C64" s="316" t="s">
        <v>888</v>
      </c>
      <c r="D64" s="315">
        <v>1.9</v>
      </c>
      <c r="E64" s="315">
        <f t="shared" si="0"/>
        <v>-1.9</v>
      </c>
      <c r="F64" s="194" t="s">
        <v>885</v>
      </c>
      <c r="G64" s="194" t="s">
        <v>684</v>
      </c>
    </row>
    <row r="65" spans="1:7" ht="18" customHeight="1" x14ac:dyDescent="0.2">
      <c r="A65" s="317">
        <v>60</v>
      </c>
      <c r="B65" s="318" t="s">
        <v>770</v>
      </c>
      <c r="C65" s="318" t="s">
        <v>874</v>
      </c>
      <c r="D65" s="317">
        <v>1.9</v>
      </c>
      <c r="E65" s="317">
        <f t="shared" si="0"/>
        <v>-1.9</v>
      </c>
      <c r="F65" s="197" t="s">
        <v>669</v>
      </c>
      <c r="G65" s="197" t="s">
        <v>669</v>
      </c>
    </row>
    <row r="66" spans="1:7" ht="18" customHeight="1" x14ac:dyDescent="0.2">
      <c r="A66" s="315">
        <v>61</v>
      </c>
      <c r="B66" s="316" t="s">
        <v>165</v>
      </c>
      <c r="C66" s="318" t="s">
        <v>874</v>
      </c>
      <c r="D66" s="315">
        <v>1.9</v>
      </c>
      <c r="E66" s="315">
        <f t="shared" si="0"/>
        <v>-1.9</v>
      </c>
      <c r="F66" s="197" t="s">
        <v>669</v>
      </c>
      <c r="G66" s="197" t="s">
        <v>669</v>
      </c>
    </row>
    <row r="67" spans="1:7" ht="18" customHeight="1" x14ac:dyDescent="0.2">
      <c r="A67" s="317">
        <v>62</v>
      </c>
      <c r="B67" s="318" t="s">
        <v>166</v>
      </c>
      <c r="C67" s="318" t="s">
        <v>874</v>
      </c>
      <c r="D67" s="317">
        <v>1.9</v>
      </c>
      <c r="E67" s="317">
        <f t="shared" si="0"/>
        <v>-1.9</v>
      </c>
      <c r="F67" s="197" t="s">
        <v>669</v>
      </c>
      <c r="G67" s="197" t="s">
        <v>669</v>
      </c>
    </row>
    <row r="68" spans="1:7" ht="18" customHeight="1" x14ac:dyDescent="0.2">
      <c r="A68" s="315">
        <v>63</v>
      </c>
      <c r="B68" s="316" t="s">
        <v>841</v>
      </c>
      <c r="C68" s="318" t="s">
        <v>874</v>
      </c>
      <c r="D68" s="315">
        <v>1.9</v>
      </c>
      <c r="E68" s="315">
        <f t="shared" si="0"/>
        <v>-1.9</v>
      </c>
      <c r="F68" s="197" t="s">
        <v>669</v>
      </c>
      <c r="G68" s="197" t="s">
        <v>669</v>
      </c>
    </row>
    <row r="69" spans="1:7" ht="18" customHeight="1" x14ac:dyDescent="0.2">
      <c r="A69" s="317">
        <v>64</v>
      </c>
      <c r="B69" s="318" t="s">
        <v>773</v>
      </c>
      <c r="C69" s="318" t="s">
        <v>874</v>
      </c>
      <c r="D69" s="317">
        <v>1.9</v>
      </c>
      <c r="E69" s="317">
        <f t="shared" si="0"/>
        <v>-1.9</v>
      </c>
      <c r="F69" s="197" t="s">
        <v>669</v>
      </c>
      <c r="G69" s="197" t="s">
        <v>669</v>
      </c>
    </row>
    <row r="70" spans="1:7" ht="18" customHeight="1" x14ac:dyDescent="0.2">
      <c r="A70" s="315">
        <v>65</v>
      </c>
      <c r="B70" s="316" t="s">
        <v>169</v>
      </c>
      <c r="C70" s="318" t="s">
        <v>874</v>
      </c>
      <c r="D70" s="315">
        <v>1.9</v>
      </c>
      <c r="E70" s="315">
        <f>-D70</f>
        <v>-1.9</v>
      </c>
      <c r="F70" s="197" t="s">
        <v>873</v>
      </c>
      <c r="G70" s="197" t="s">
        <v>685</v>
      </c>
    </row>
    <row r="71" spans="1:7" ht="18" customHeight="1" x14ac:dyDescent="0.2">
      <c r="A71" s="317">
        <v>66</v>
      </c>
      <c r="B71" s="318" t="s">
        <v>170</v>
      </c>
      <c r="C71" s="318" t="s">
        <v>874</v>
      </c>
      <c r="D71" s="317">
        <v>1.9</v>
      </c>
      <c r="E71" s="317">
        <f>-D71</f>
        <v>-1.9</v>
      </c>
      <c r="F71" s="197" t="s">
        <v>669</v>
      </c>
      <c r="G71" s="197" t="s">
        <v>669</v>
      </c>
    </row>
    <row r="72" spans="1:7" ht="18" customHeight="1" x14ac:dyDescent="0.2">
      <c r="A72" s="315">
        <v>67</v>
      </c>
      <c r="B72" s="316" t="s">
        <v>775</v>
      </c>
      <c r="C72" s="318" t="s">
        <v>874</v>
      </c>
      <c r="D72" s="315">
        <v>1.9</v>
      </c>
      <c r="E72" s="315">
        <f>-D72</f>
        <v>-1.9</v>
      </c>
      <c r="F72" s="197" t="s">
        <v>669</v>
      </c>
      <c r="G72" s="197" t="s">
        <v>686</v>
      </c>
    </row>
  </sheetData>
  <mergeCells count="3">
    <mergeCell ref="A1:F1"/>
    <mergeCell ref="A2:F2"/>
    <mergeCell ref="A3:F3"/>
  </mergeCells>
  <phoneticPr fontId="50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0BF51-1F9F-2242-A176-8FE45AD1371A}">
  <dimension ref="A1:J71"/>
  <sheetViews>
    <sheetView zoomScale="165" zoomScaleNormal="100" workbookViewId="0">
      <selection activeCell="B2" sqref="B1:H1048576"/>
    </sheetView>
  </sheetViews>
  <sheetFormatPr baseColWidth="10" defaultColWidth="8.83203125" defaultRowHeight="15" x14ac:dyDescent="0.2"/>
  <cols>
    <col min="1" max="1" width="5" style="84" customWidth="1"/>
    <col min="2" max="2" width="38" style="84" customWidth="1"/>
    <col min="3" max="3" width="18.1640625" style="84" customWidth="1"/>
    <col min="4" max="7" width="10" style="84" customWidth="1"/>
    <col min="8" max="8" width="46" style="84" customWidth="1"/>
    <col min="9" max="9" width="8.83203125" style="84"/>
    <col min="10" max="10" width="255.6640625" style="84" customWidth="1"/>
    <col min="11" max="16384" width="8.83203125" style="84"/>
  </cols>
  <sheetData>
    <row r="1" spans="1:10" ht="18" customHeight="1" x14ac:dyDescent="0.2">
      <c r="A1" s="607" t="s">
        <v>1093</v>
      </c>
      <c r="B1" s="608"/>
      <c r="C1" s="608"/>
      <c r="D1" s="608"/>
      <c r="E1" s="608"/>
      <c r="F1" s="608"/>
      <c r="G1" s="608"/>
      <c r="H1" s="608"/>
    </row>
    <row r="2" spans="1:10" ht="36" customHeight="1" x14ac:dyDescent="0.2">
      <c r="A2" s="543" t="s">
        <v>939</v>
      </c>
      <c r="B2" s="543" t="s">
        <v>940</v>
      </c>
      <c r="C2" s="543" t="s">
        <v>1094</v>
      </c>
      <c r="D2" s="543" t="s">
        <v>1095</v>
      </c>
      <c r="E2" s="543" t="s">
        <v>1096</v>
      </c>
      <c r="F2" s="543" t="s">
        <v>1097</v>
      </c>
      <c r="G2" s="543" t="s">
        <v>1098</v>
      </c>
      <c r="H2" s="543" t="s">
        <v>1099</v>
      </c>
    </row>
    <row r="3" spans="1:10" ht="22" customHeight="1" x14ac:dyDescent="0.2">
      <c r="A3" s="483">
        <v>1</v>
      </c>
      <c r="B3" s="484" t="s">
        <v>948</v>
      </c>
      <c r="C3" s="485" t="s">
        <v>730</v>
      </c>
      <c r="D3" s="486">
        <v>0.9</v>
      </c>
      <c r="E3" s="487">
        <v>-0.9</v>
      </c>
      <c r="F3" s="486">
        <v>1.5</v>
      </c>
      <c r="G3" s="486">
        <v>-1.5</v>
      </c>
      <c r="H3" s="488" t="s">
        <v>1100</v>
      </c>
      <c r="J3" s="539" t="s">
        <v>1173</v>
      </c>
    </row>
    <row r="4" spans="1:10" ht="47" customHeight="1" x14ac:dyDescent="0.2">
      <c r="A4" s="483">
        <v>2</v>
      </c>
      <c r="B4" s="484" t="s">
        <v>106</v>
      </c>
      <c r="C4" s="485" t="s">
        <v>730</v>
      </c>
      <c r="D4" s="486">
        <v>1</v>
      </c>
      <c r="E4" s="487">
        <v>-1</v>
      </c>
      <c r="F4" s="486">
        <v>1.5</v>
      </c>
      <c r="G4" s="486">
        <v>-1.5</v>
      </c>
      <c r="H4" s="488" t="s">
        <v>1101</v>
      </c>
      <c r="J4" s="540" t="s">
        <v>1174</v>
      </c>
    </row>
    <row r="5" spans="1:10" ht="38" customHeight="1" x14ac:dyDescent="0.2">
      <c r="A5" s="489">
        <v>3</v>
      </c>
      <c r="B5" s="490" t="s">
        <v>951</v>
      </c>
      <c r="C5" s="491" t="s">
        <v>1102</v>
      </c>
      <c r="D5" s="492">
        <v>1.5</v>
      </c>
      <c r="E5" s="492">
        <v>-1.5</v>
      </c>
      <c r="F5" s="492">
        <v>2</v>
      </c>
      <c r="G5" s="492">
        <v>-2</v>
      </c>
      <c r="H5" s="493" t="s">
        <v>1103</v>
      </c>
      <c r="J5" s="540" t="s">
        <v>1177</v>
      </c>
    </row>
    <row r="6" spans="1:10" ht="104" customHeight="1" x14ac:dyDescent="0.2">
      <c r="A6" s="489">
        <v>4</v>
      </c>
      <c r="B6" s="490" t="s">
        <v>953</v>
      </c>
      <c r="C6" s="491" t="s">
        <v>1102</v>
      </c>
      <c r="D6" s="492">
        <v>1.2</v>
      </c>
      <c r="E6" s="492">
        <v>-1.2</v>
      </c>
      <c r="F6" s="492">
        <v>1.8</v>
      </c>
      <c r="G6" s="492">
        <v>-1.8</v>
      </c>
      <c r="H6" s="493" t="s">
        <v>1104</v>
      </c>
      <c r="J6" s="540" t="s">
        <v>1175</v>
      </c>
    </row>
    <row r="7" spans="1:10" ht="71" customHeight="1" x14ac:dyDescent="0.2">
      <c r="A7" s="494">
        <v>5</v>
      </c>
      <c r="B7" s="495" t="s">
        <v>109</v>
      </c>
      <c r="C7" s="496" t="s">
        <v>1105</v>
      </c>
      <c r="D7" s="497">
        <v>1.2</v>
      </c>
      <c r="E7" s="497">
        <v>-1.2</v>
      </c>
      <c r="F7" s="497">
        <v>1.8</v>
      </c>
      <c r="G7" s="497">
        <v>-1.8</v>
      </c>
      <c r="H7" s="498" t="s">
        <v>1106</v>
      </c>
      <c r="J7" s="540" t="s">
        <v>1176</v>
      </c>
    </row>
    <row r="8" spans="1:10" ht="80" customHeight="1" x14ac:dyDescent="0.2">
      <c r="A8" s="494">
        <v>6</v>
      </c>
      <c r="B8" s="495" t="s">
        <v>110</v>
      </c>
      <c r="C8" s="496" t="s">
        <v>1105</v>
      </c>
      <c r="D8" s="497">
        <v>1.2</v>
      </c>
      <c r="E8" s="497">
        <v>-1.2</v>
      </c>
      <c r="F8" s="497">
        <v>1.8</v>
      </c>
      <c r="G8" s="497">
        <v>-1.8</v>
      </c>
      <c r="H8" s="498" t="s">
        <v>1107</v>
      </c>
    </row>
    <row r="9" spans="1:10" ht="31" customHeight="1" x14ac:dyDescent="0.2">
      <c r="A9" s="494">
        <v>7</v>
      </c>
      <c r="B9" s="495" t="s">
        <v>957</v>
      </c>
      <c r="C9" s="496" t="s">
        <v>1105</v>
      </c>
      <c r="D9" s="497">
        <v>1</v>
      </c>
      <c r="E9" s="499">
        <v>-1</v>
      </c>
      <c r="F9" s="497">
        <v>1.5</v>
      </c>
      <c r="G9" s="497">
        <v>-1.5</v>
      </c>
      <c r="H9" s="498" t="s">
        <v>1108</v>
      </c>
    </row>
    <row r="10" spans="1:10" ht="16" customHeight="1" x14ac:dyDescent="0.2">
      <c r="A10" s="500">
        <v>8</v>
      </c>
      <c r="B10" s="501" t="s">
        <v>112</v>
      </c>
      <c r="C10" s="502" t="s">
        <v>1109</v>
      </c>
      <c r="D10" s="503">
        <v>2</v>
      </c>
      <c r="E10" s="504">
        <v>-2</v>
      </c>
      <c r="F10" s="503">
        <v>2.5</v>
      </c>
      <c r="G10" s="503">
        <v>-2.5</v>
      </c>
      <c r="H10" s="505" t="s">
        <v>1110</v>
      </c>
    </row>
    <row r="11" spans="1:10" ht="16" customHeight="1" x14ac:dyDescent="0.2">
      <c r="A11" s="500">
        <v>9</v>
      </c>
      <c r="B11" s="501" t="s">
        <v>113</v>
      </c>
      <c r="C11" s="502" t="s">
        <v>1109</v>
      </c>
      <c r="D11" s="503">
        <v>2</v>
      </c>
      <c r="E11" s="504">
        <v>-2</v>
      </c>
      <c r="F11" s="503">
        <v>2.5</v>
      </c>
      <c r="G11" s="503">
        <v>-2.5</v>
      </c>
      <c r="H11" s="505" t="s">
        <v>1111</v>
      </c>
    </row>
    <row r="12" spans="1:10" ht="16" customHeight="1" x14ac:dyDescent="0.2">
      <c r="A12" s="500">
        <v>10</v>
      </c>
      <c r="B12" s="501" t="s">
        <v>735</v>
      </c>
      <c r="C12" s="502" t="s">
        <v>1109</v>
      </c>
      <c r="D12" s="503">
        <v>1.8</v>
      </c>
      <c r="E12" s="503">
        <v>-1.8</v>
      </c>
      <c r="F12" s="503">
        <v>2.5</v>
      </c>
      <c r="G12" s="503">
        <v>-2.5</v>
      </c>
      <c r="H12" s="505" t="s">
        <v>1112</v>
      </c>
    </row>
    <row r="13" spans="1:10" ht="16" customHeight="1" x14ac:dyDescent="0.2">
      <c r="A13" s="506">
        <v>11</v>
      </c>
      <c r="B13" s="507" t="s">
        <v>736</v>
      </c>
      <c r="C13" s="508" t="s">
        <v>1113</v>
      </c>
      <c r="D13" s="509">
        <v>1.8</v>
      </c>
      <c r="E13" s="509">
        <v>-1.8</v>
      </c>
      <c r="F13" s="509">
        <v>2.5</v>
      </c>
      <c r="G13" s="509">
        <v>-2.5</v>
      </c>
      <c r="H13" s="510" t="s">
        <v>1114</v>
      </c>
    </row>
    <row r="14" spans="1:10" ht="16" customHeight="1" x14ac:dyDescent="0.2">
      <c r="A14" s="506">
        <v>12</v>
      </c>
      <c r="B14" s="507" t="s">
        <v>737</v>
      </c>
      <c r="C14" s="508" t="s">
        <v>1113</v>
      </c>
      <c r="D14" s="509">
        <v>1.8</v>
      </c>
      <c r="E14" s="509">
        <v>-1.8</v>
      </c>
      <c r="F14" s="509">
        <v>2.5</v>
      </c>
      <c r="G14" s="509">
        <v>-2.5</v>
      </c>
      <c r="H14" s="510" t="s">
        <v>1115</v>
      </c>
    </row>
    <row r="15" spans="1:10" ht="16" customHeight="1" x14ac:dyDescent="0.2">
      <c r="A15" s="511">
        <v>13</v>
      </c>
      <c r="B15" s="512" t="s">
        <v>960</v>
      </c>
      <c r="C15" s="513" t="s">
        <v>183</v>
      </c>
      <c r="D15" s="514">
        <v>1</v>
      </c>
      <c r="E15" s="515">
        <v>-1</v>
      </c>
      <c r="F15" s="514">
        <v>1.5</v>
      </c>
      <c r="G15" s="514">
        <v>-1.5</v>
      </c>
      <c r="H15" s="516" t="s">
        <v>1116</v>
      </c>
    </row>
    <row r="16" spans="1:10" ht="24" customHeight="1" x14ac:dyDescent="0.2">
      <c r="A16" s="517">
        <v>14</v>
      </c>
      <c r="B16" s="518" t="s">
        <v>1180</v>
      </c>
      <c r="C16" s="518" t="s">
        <v>1117</v>
      </c>
      <c r="D16" s="519">
        <v>1.5</v>
      </c>
      <c r="E16" s="519">
        <v>-1.5</v>
      </c>
      <c r="F16" s="519">
        <v>2</v>
      </c>
      <c r="G16" s="519">
        <v>-2</v>
      </c>
      <c r="H16" s="520" t="s">
        <v>1181</v>
      </c>
    </row>
    <row r="17" spans="1:8" ht="16" customHeight="1" x14ac:dyDescent="0.2">
      <c r="A17" s="521">
        <v>15</v>
      </c>
      <c r="B17" s="522" t="s">
        <v>739</v>
      </c>
      <c r="C17" s="523" t="s">
        <v>1118</v>
      </c>
      <c r="D17" s="524">
        <v>2</v>
      </c>
      <c r="E17" s="525">
        <v>-2</v>
      </c>
      <c r="F17" s="524">
        <v>2.5</v>
      </c>
      <c r="G17" s="524">
        <v>-2.5</v>
      </c>
      <c r="H17" s="526" t="s">
        <v>1119</v>
      </c>
    </row>
    <row r="18" spans="1:8" ht="16" customHeight="1" x14ac:dyDescent="0.2">
      <c r="A18" s="521">
        <v>16</v>
      </c>
      <c r="B18" s="522" t="s">
        <v>963</v>
      </c>
      <c r="C18" s="523" t="s">
        <v>1118</v>
      </c>
      <c r="D18" s="524">
        <v>1.8</v>
      </c>
      <c r="E18" s="524">
        <v>-1.8</v>
      </c>
      <c r="F18" s="524">
        <v>2</v>
      </c>
      <c r="G18" s="524">
        <v>-2</v>
      </c>
      <c r="H18" s="526" t="s">
        <v>1120</v>
      </c>
    </row>
    <row r="19" spans="1:8" ht="16" customHeight="1" x14ac:dyDescent="0.2">
      <c r="A19" s="521">
        <v>17</v>
      </c>
      <c r="B19" s="522" t="s">
        <v>965</v>
      </c>
      <c r="C19" s="523" t="s">
        <v>1118</v>
      </c>
      <c r="D19" s="524">
        <v>2</v>
      </c>
      <c r="E19" s="525">
        <v>-2</v>
      </c>
      <c r="F19" s="524">
        <v>2.5</v>
      </c>
      <c r="G19" s="524">
        <v>-2.5</v>
      </c>
      <c r="H19" s="526" t="s">
        <v>1121</v>
      </c>
    </row>
    <row r="20" spans="1:8" ht="16" customHeight="1" x14ac:dyDescent="0.2">
      <c r="A20" s="521">
        <v>18</v>
      </c>
      <c r="B20" s="522" t="s">
        <v>966</v>
      </c>
      <c r="C20" s="523" t="s">
        <v>1118</v>
      </c>
      <c r="D20" s="524">
        <v>1.5</v>
      </c>
      <c r="E20" s="524">
        <v>-1.5</v>
      </c>
      <c r="F20" s="524">
        <v>2</v>
      </c>
      <c r="G20" s="524">
        <v>-2</v>
      </c>
      <c r="H20" s="526" t="s">
        <v>1122</v>
      </c>
    </row>
    <row r="21" spans="1:8" ht="16" customHeight="1" x14ac:dyDescent="0.2">
      <c r="A21" s="521">
        <v>19</v>
      </c>
      <c r="B21" s="522" t="s">
        <v>967</v>
      </c>
      <c r="C21" s="523" t="s">
        <v>1118</v>
      </c>
      <c r="D21" s="524">
        <v>2.2000000000000002</v>
      </c>
      <c r="E21" s="525">
        <v>-2.2000000000000002</v>
      </c>
      <c r="F21" s="524">
        <v>2.8</v>
      </c>
      <c r="G21" s="524">
        <v>-2.8</v>
      </c>
      <c r="H21" s="526" t="s">
        <v>1123</v>
      </c>
    </row>
    <row r="22" spans="1:8" ht="16" customHeight="1" x14ac:dyDescent="0.2">
      <c r="A22" s="521">
        <v>20</v>
      </c>
      <c r="B22" s="522" t="s">
        <v>968</v>
      </c>
      <c r="C22" s="523" t="s">
        <v>1118</v>
      </c>
      <c r="D22" s="524">
        <v>2</v>
      </c>
      <c r="E22" s="525">
        <v>-2</v>
      </c>
      <c r="F22" s="524">
        <v>2.5</v>
      </c>
      <c r="G22" s="524">
        <v>-2.5</v>
      </c>
      <c r="H22" s="526" t="s">
        <v>1124</v>
      </c>
    </row>
    <row r="23" spans="1:8" ht="16" customHeight="1" x14ac:dyDescent="0.2">
      <c r="A23" s="521">
        <v>21</v>
      </c>
      <c r="B23" s="522" t="s">
        <v>969</v>
      </c>
      <c r="C23" s="523" t="s">
        <v>1118</v>
      </c>
      <c r="D23" s="524">
        <v>2.4</v>
      </c>
      <c r="E23" s="525">
        <v>-2.4</v>
      </c>
      <c r="F23" s="524">
        <v>3</v>
      </c>
      <c r="G23" s="524">
        <v>-3</v>
      </c>
      <c r="H23" s="526" t="s">
        <v>1125</v>
      </c>
    </row>
    <row r="24" spans="1:8" ht="16" customHeight="1" x14ac:dyDescent="0.2">
      <c r="A24" s="521">
        <v>22</v>
      </c>
      <c r="B24" s="522" t="s">
        <v>339</v>
      </c>
      <c r="C24" s="523" t="s">
        <v>1118</v>
      </c>
      <c r="D24" s="524">
        <v>2.2000000000000002</v>
      </c>
      <c r="E24" s="525">
        <v>-2.2000000000000002</v>
      </c>
      <c r="F24" s="524">
        <v>2.8</v>
      </c>
      <c r="G24" s="524">
        <v>-2.8</v>
      </c>
      <c r="H24" s="526" t="s">
        <v>1126</v>
      </c>
    </row>
    <row r="25" spans="1:8" ht="16" customHeight="1" x14ac:dyDescent="0.2">
      <c r="A25" s="521">
        <v>23</v>
      </c>
      <c r="B25" s="522" t="s">
        <v>971</v>
      </c>
      <c r="C25" s="523" t="s">
        <v>1118</v>
      </c>
      <c r="D25" s="524">
        <v>2</v>
      </c>
      <c r="E25" s="525">
        <v>-2</v>
      </c>
      <c r="F25" s="524">
        <v>2.5</v>
      </c>
      <c r="G25" s="524">
        <v>-2.5</v>
      </c>
      <c r="H25" s="526" t="s">
        <v>1127</v>
      </c>
    </row>
    <row r="26" spans="1:8" ht="16" customHeight="1" x14ac:dyDescent="0.2">
      <c r="A26" s="521">
        <v>24</v>
      </c>
      <c r="B26" s="522" t="s">
        <v>972</v>
      </c>
      <c r="C26" s="523" t="s">
        <v>1118</v>
      </c>
      <c r="D26" s="524">
        <v>1.8</v>
      </c>
      <c r="E26" s="524">
        <v>-1.8</v>
      </c>
      <c r="F26" s="524">
        <v>2.5</v>
      </c>
      <c r="G26" s="524">
        <v>-2.5</v>
      </c>
      <c r="H26" s="526" t="s">
        <v>1128</v>
      </c>
    </row>
    <row r="27" spans="1:8" ht="16" customHeight="1" x14ac:dyDescent="0.2">
      <c r="A27" s="521">
        <v>25</v>
      </c>
      <c r="B27" s="522" t="s">
        <v>974</v>
      </c>
      <c r="C27" s="523" t="s">
        <v>1118</v>
      </c>
      <c r="D27" s="524">
        <v>1.8</v>
      </c>
      <c r="E27" s="524">
        <v>-1.8</v>
      </c>
      <c r="F27" s="524">
        <v>2.5</v>
      </c>
      <c r="G27" s="524">
        <v>-2.5</v>
      </c>
      <c r="H27" s="526" t="s">
        <v>1129</v>
      </c>
    </row>
    <row r="28" spans="1:8" ht="16" customHeight="1" x14ac:dyDescent="0.2">
      <c r="A28" s="506">
        <v>26</v>
      </c>
      <c r="B28" s="507" t="s">
        <v>975</v>
      </c>
      <c r="C28" s="508" t="s">
        <v>1113</v>
      </c>
      <c r="D28" s="509">
        <v>1.5</v>
      </c>
      <c r="E28" s="509">
        <v>-1.5</v>
      </c>
      <c r="F28" s="509">
        <v>2</v>
      </c>
      <c r="G28" s="509">
        <v>-2</v>
      </c>
      <c r="H28" s="510" t="s">
        <v>1130</v>
      </c>
    </row>
    <row r="29" spans="1:8" ht="16" customHeight="1" x14ac:dyDescent="0.2">
      <c r="A29" s="506">
        <v>27</v>
      </c>
      <c r="B29" s="507" t="s">
        <v>131</v>
      </c>
      <c r="C29" s="508" t="s">
        <v>1113</v>
      </c>
      <c r="D29" s="509">
        <v>1.8</v>
      </c>
      <c r="E29" s="509">
        <v>-1.8</v>
      </c>
      <c r="F29" s="509">
        <v>2.5</v>
      </c>
      <c r="G29" s="509">
        <v>-2.5</v>
      </c>
      <c r="H29" s="510" t="s">
        <v>1131</v>
      </c>
    </row>
    <row r="30" spans="1:8" ht="16" customHeight="1" x14ac:dyDescent="0.2">
      <c r="A30" s="511">
        <v>28</v>
      </c>
      <c r="B30" s="512" t="s">
        <v>977</v>
      </c>
      <c r="C30" s="513" t="s">
        <v>183</v>
      </c>
      <c r="D30" s="514">
        <v>0.9</v>
      </c>
      <c r="E30" s="515">
        <v>-0.9</v>
      </c>
      <c r="F30" s="514">
        <v>1.5</v>
      </c>
      <c r="G30" s="514">
        <v>-1.5</v>
      </c>
      <c r="H30" s="516" t="s">
        <v>1132</v>
      </c>
    </row>
    <row r="31" spans="1:8" ht="16" customHeight="1" x14ac:dyDescent="0.2">
      <c r="A31" s="527">
        <v>29</v>
      </c>
      <c r="B31" s="528" t="s">
        <v>978</v>
      </c>
      <c r="C31" s="529" t="s">
        <v>1133</v>
      </c>
      <c r="D31" s="530">
        <v>0.9</v>
      </c>
      <c r="E31" s="531">
        <v>-0.9</v>
      </c>
      <c r="F31" s="530">
        <v>1.5</v>
      </c>
      <c r="G31" s="530">
        <v>-1.5</v>
      </c>
      <c r="H31" s="532" t="s">
        <v>1134</v>
      </c>
    </row>
    <row r="32" spans="1:8" ht="16" customHeight="1" x14ac:dyDescent="0.2">
      <c r="A32" s="527">
        <v>30</v>
      </c>
      <c r="B32" s="528" t="s">
        <v>980</v>
      </c>
      <c r="C32" s="529" t="s">
        <v>1133</v>
      </c>
      <c r="D32" s="530">
        <v>0.9</v>
      </c>
      <c r="E32" s="531">
        <v>-0.9</v>
      </c>
      <c r="F32" s="530">
        <v>1.5</v>
      </c>
      <c r="G32" s="530">
        <v>-1.5</v>
      </c>
      <c r="H32" s="532" t="s">
        <v>1135</v>
      </c>
    </row>
    <row r="33" spans="1:8" ht="16" customHeight="1" x14ac:dyDescent="0.2">
      <c r="A33" s="527">
        <v>31</v>
      </c>
      <c r="B33" s="528" t="s">
        <v>343</v>
      </c>
      <c r="C33" s="529" t="s">
        <v>1133</v>
      </c>
      <c r="D33" s="530">
        <v>0.9</v>
      </c>
      <c r="E33" s="531">
        <v>-0.9</v>
      </c>
      <c r="F33" s="530">
        <v>1.5</v>
      </c>
      <c r="G33" s="530">
        <v>-1.5</v>
      </c>
      <c r="H33" s="532" t="s">
        <v>1136</v>
      </c>
    </row>
    <row r="34" spans="1:8" ht="16" customHeight="1" x14ac:dyDescent="0.2">
      <c r="A34" s="511">
        <v>32</v>
      </c>
      <c r="B34" s="512" t="s">
        <v>982</v>
      </c>
      <c r="C34" s="513" t="s">
        <v>183</v>
      </c>
      <c r="D34" s="514">
        <v>0.9</v>
      </c>
      <c r="E34" s="515">
        <v>-0.9</v>
      </c>
      <c r="F34" s="514">
        <v>1.5</v>
      </c>
      <c r="G34" s="514">
        <v>-1.5</v>
      </c>
      <c r="H34" s="516" t="s">
        <v>1137</v>
      </c>
    </row>
    <row r="35" spans="1:8" ht="16" customHeight="1" x14ac:dyDescent="0.2">
      <c r="A35" s="511">
        <v>33</v>
      </c>
      <c r="B35" s="512" t="s">
        <v>983</v>
      </c>
      <c r="C35" s="513" t="s">
        <v>183</v>
      </c>
      <c r="D35" s="514">
        <v>1</v>
      </c>
      <c r="E35" s="515">
        <v>-1</v>
      </c>
      <c r="F35" s="514">
        <v>1.8</v>
      </c>
      <c r="G35" s="514">
        <v>-1.8</v>
      </c>
      <c r="H35" s="516" t="s">
        <v>1138</v>
      </c>
    </row>
    <row r="36" spans="1:8" ht="16" customHeight="1" x14ac:dyDescent="0.2">
      <c r="A36" s="511">
        <v>34</v>
      </c>
      <c r="B36" s="512" t="s">
        <v>985</v>
      </c>
      <c r="C36" s="513" t="s">
        <v>183</v>
      </c>
      <c r="D36" s="514">
        <v>0.9</v>
      </c>
      <c r="E36" s="515">
        <v>-0.9</v>
      </c>
      <c r="F36" s="514">
        <v>1.5</v>
      </c>
      <c r="G36" s="514">
        <v>-1.5</v>
      </c>
      <c r="H36" s="516" t="s">
        <v>1139</v>
      </c>
    </row>
    <row r="37" spans="1:8" ht="16" customHeight="1" x14ac:dyDescent="0.2">
      <c r="A37" s="511">
        <v>35</v>
      </c>
      <c r="B37" s="512" t="s">
        <v>986</v>
      </c>
      <c r="C37" s="513" t="s">
        <v>183</v>
      </c>
      <c r="D37" s="514">
        <v>1</v>
      </c>
      <c r="E37" s="515">
        <v>-1</v>
      </c>
      <c r="F37" s="514">
        <v>1.5</v>
      </c>
      <c r="G37" s="514">
        <v>-1.5</v>
      </c>
      <c r="H37" s="516" t="s">
        <v>1140</v>
      </c>
    </row>
    <row r="38" spans="1:8" ht="16" customHeight="1" x14ac:dyDescent="0.2">
      <c r="A38" s="511">
        <v>36</v>
      </c>
      <c r="B38" s="512" t="s">
        <v>988</v>
      </c>
      <c r="C38" s="513" t="s">
        <v>183</v>
      </c>
      <c r="D38" s="514">
        <v>1</v>
      </c>
      <c r="E38" s="515">
        <v>-1</v>
      </c>
      <c r="F38" s="514">
        <v>1.5</v>
      </c>
      <c r="G38" s="514">
        <v>-1.5</v>
      </c>
      <c r="H38" s="516" t="s">
        <v>1141</v>
      </c>
    </row>
    <row r="39" spans="1:8" ht="16" customHeight="1" x14ac:dyDescent="0.2">
      <c r="A39" s="511">
        <v>37</v>
      </c>
      <c r="B39" s="512" t="s">
        <v>989</v>
      </c>
      <c r="C39" s="513" t="s">
        <v>183</v>
      </c>
      <c r="D39" s="514">
        <v>1</v>
      </c>
      <c r="E39" s="515">
        <v>-1</v>
      </c>
      <c r="F39" s="514">
        <v>1.5</v>
      </c>
      <c r="G39" s="514">
        <v>-1.5</v>
      </c>
      <c r="H39" s="516" t="s">
        <v>1142</v>
      </c>
    </row>
    <row r="40" spans="1:8" ht="16" customHeight="1" x14ac:dyDescent="0.2">
      <c r="A40" s="511">
        <v>38</v>
      </c>
      <c r="B40" s="512" t="s">
        <v>990</v>
      </c>
      <c r="C40" s="513" t="s">
        <v>183</v>
      </c>
      <c r="D40" s="514">
        <v>0.9</v>
      </c>
      <c r="E40" s="515">
        <v>-0.9</v>
      </c>
      <c r="F40" s="514">
        <v>1.5</v>
      </c>
      <c r="G40" s="514">
        <v>-1.5</v>
      </c>
      <c r="H40" s="516" t="s">
        <v>1143</v>
      </c>
    </row>
    <row r="41" spans="1:8" ht="16" customHeight="1" x14ac:dyDescent="0.2">
      <c r="A41" s="511">
        <v>39</v>
      </c>
      <c r="B41" s="512" t="s">
        <v>991</v>
      </c>
      <c r="C41" s="513" t="s">
        <v>183</v>
      </c>
      <c r="D41" s="514">
        <v>1</v>
      </c>
      <c r="E41" s="515">
        <v>-1</v>
      </c>
      <c r="F41" s="514">
        <v>1.5</v>
      </c>
      <c r="G41" s="514">
        <v>-1.5</v>
      </c>
      <c r="H41" s="516" t="s">
        <v>1144</v>
      </c>
    </row>
    <row r="42" spans="1:8" ht="16" customHeight="1" x14ac:dyDescent="0.2">
      <c r="A42" s="511">
        <v>40</v>
      </c>
      <c r="B42" s="512" t="s">
        <v>992</v>
      </c>
      <c r="C42" s="513" t="s">
        <v>183</v>
      </c>
      <c r="D42" s="514">
        <v>1</v>
      </c>
      <c r="E42" s="515">
        <v>-1</v>
      </c>
      <c r="F42" s="514">
        <v>1.5</v>
      </c>
      <c r="G42" s="514">
        <v>-1.5</v>
      </c>
      <c r="H42" s="516" t="s">
        <v>1145</v>
      </c>
    </row>
    <row r="43" spans="1:8" ht="16" customHeight="1" x14ac:dyDescent="0.2">
      <c r="A43" s="511">
        <v>41</v>
      </c>
      <c r="B43" s="512" t="s">
        <v>993</v>
      </c>
      <c r="C43" s="513" t="s">
        <v>183</v>
      </c>
      <c r="D43" s="514">
        <v>1</v>
      </c>
      <c r="E43" s="515">
        <v>-1</v>
      </c>
      <c r="F43" s="514">
        <v>1.5</v>
      </c>
      <c r="G43" s="514">
        <v>-1.5</v>
      </c>
      <c r="H43" s="516" t="s">
        <v>1146</v>
      </c>
    </row>
    <row r="44" spans="1:8" ht="16" customHeight="1" x14ac:dyDescent="0.2">
      <c r="A44" s="511">
        <v>42</v>
      </c>
      <c r="B44" s="512" t="s">
        <v>994</v>
      </c>
      <c r="C44" s="513" t="s">
        <v>183</v>
      </c>
      <c r="D44" s="514">
        <v>1</v>
      </c>
      <c r="E44" s="515">
        <v>-1</v>
      </c>
      <c r="F44" s="514">
        <v>1.5</v>
      </c>
      <c r="G44" s="514">
        <v>-1.5</v>
      </c>
      <c r="H44" s="516" t="s">
        <v>1147</v>
      </c>
    </row>
    <row r="45" spans="1:8" ht="16" customHeight="1" x14ac:dyDescent="0.2">
      <c r="A45" s="511">
        <v>43</v>
      </c>
      <c r="B45" s="512" t="s">
        <v>147</v>
      </c>
      <c r="C45" s="513" t="s">
        <v>183</v>
      </c>
      <c r="D45" s="514">
        <v>0.9</v>
      </c>
      <c r="E45" s="515">
        <v>-0.9</v>
      </c>
      <c r="F45" s="514">
        <v>1.5</v>
      </c>
      <c r="G45" s="514">
        <v>-1.5</v>
      </c>
      <c r="H45" s="516" t="s">
        <v>1148</v>
      </c>
    </row>
    <row r="46" spans="1:8" ht="16" customHeight="1" x14ac:dyDescent="0.2">
      <c r="A46" s="511">
        <v>44</v>
      </c>
      <c r="B46" s="512" t="s">
        <v>995</v>
      </c>
      <c r="C46" s="513" t="s">
        <v>183</v>
      </c>
      <c r="D46" s="514">
        <v>0.9</v>
      </c>
      <c r="E46" s="515">
        <v>-0.9</v>
      </c>
      <c r="F46" s="514">
        <v>1.5</v>
      </c>
      <c r="G46" s="514">
        <v>-1.5</v>
      </c>
      <c r="H46" s="516" t="s">
        <v>1149</v>
      </c>
    </row>
    <row r="47" spans="1:8" ht="16" customHeight="1" x14ac:dyDescent="0.2">
      <c r="A47" s="511">
        <v>45</v>
      </c>
      <c r="B47" s="512" t="s">
        <v>836</v>
      </c>
      <c r="C47" s="513" t="s">
        <v>183</v>
      </c>
      <c r="D47" s="514">
        <v>1</v>
      </c>
      <c r="E47" s="515">
        <v>-1</v>
      </c>
      <c r="F47" s="514">
        <v>1.5</v>
      </c>
      <c r="G47" s="514">
        <v>-1.5</v>
      </c>
      <c r="H47" s="516" t="s">
        <v>1150</v>
      </c>
    </row>
    <row r="48" spans="1:8" ht="16" customHeight="1" x14ac:dyDescent="0.2">
      <c r="A48" s="511">
        <v>46</v>
      </c>
      <c r="B48" s="512" t="s">
        <v>997</v>
      </c>
      <c r="C48" s="513" t="s">
        <v>183</v>
      </c>
      <c r="D48" s="514">
        <v>1</v>
      </c>
      <c r="E48" s="515">
        <v>-1</v>
      </c>
      <c r="F48" s="514">
        <v>1.5</v>
      </c>
      <c r="G48" s="514">
        <v>-1.5</v>
      </c>
      <c r="H48" s="516" t="s">
        <v>1151</v>
      </c>
    </row>
    <row r="49" spans="1:8" ht="16" customHeight="1" x14ac:dyDescent="0.2">
      <c r="A49" s="511">
        <v>47</v>
      </c>
      <c r="B49" s="512" t="s">
        <v>998</v>
      </c>
      <c r="C49" s="513" t="s">
        <v>183</v>
      </c>
      <c r="D49" s="514">
        <v>1</v>
      </c>
      <c r="E49" s="515">
        <v>-1</v>
      </c>
      <c r="F49" s="514">
        <v>1.5</v>
      </c>
      <c r="G49" s="514">
        <v>-1.5</v>
      </c>
      <c r="H49" s="516" t="s">
        <v>1152</v>
      </c>
    </row>
    <row r="50" spans="1:8" ht="16" customHeight="1" x14ac:dyDescent="0.2">
      <c r="A50" s="511">
        <v>48</v>
      </c>
      <c r="B50" s="512" t="s">
        <v>999</v>
      </c>
      <c r="C50" s="513" t="s">
        <v>183</v>
      </c>
      <c r="D50" s="514">
        <v>1</v>
      </c>
      <c r="E50" s="515">
        <v>-1</v>
      </c>
      <c r="F50" s="514">
        <v>1.5</v>
      </c>
      <c r="G50" s="514">
        <v>-1.5</v>
      </c>
      <c r="H50" s="516" t="s">
        <v>1153</v>
      </c>
    </row>
    <row r="51" spans="1:8" ht="16" customHeight="1" x14ac:dyDescent="0.2">
      <c r="A51" s="511">
        <v>49</v>
      </c>
      <c r="B51" s="512" t="s">
        <v>1000</v>
      </c>
      <c r="C51" s="513" t="s">
        <v>183</v>
      </c>
      <c r="D51" s="514">
        <v>0.9</v>
      </c>
      <c r="E51" s="515">
        <v>-0.9</v>
      </c>
      <c r="F51" s="514">
        <v>1.5</v>
      </c>
      <c r="G51" s="514">
        <v>-1.5</v>
      </c>
      <c r="H51" s="516" t="s">
        <v>1154</v>
      </c>
    </row>
    <row r="52" spans="1:8" ht="16" customHeight="1" x14ac:dyDescent="0.2">
      <c r="A52" s="511">
        <v>50</v>
      </c>
      <c r="B52" s="512" t="s">
        <v>154</v>
      </c>
      <c r="C52" s="513" t="s">
        <v>183</v>
      </c>
      <c r="D52" s="514">
        <v>0.9</v>
      </c>
      <c r="E52" s="515">
        <v>-0.9</v>
      </c>
      <c r="F52" s="514">
        <v>1.5</v>
      </c>
      <c r="G52" s="514">
        <v>-1.5</v>
      </c>
      <c r="H52" s="516" t="s">
        <v>1155</v>
      </c>
    </row>
    <row r="53" spans="1:8" ht="16" customHeight="1" x14ac:dyDescent="0.2">
      <c r="A53" s="511">
        <v>51</v>
      </c>
      <c r="B53" s="512" t="s">
        <v>1001</v>
      </c>
      <c r="C53" s="513" t="s">
        <v>183</v>
      </c>
      <c r="D53" s="514">
        <v>0.9</v>
      </c>
      <c r="E53" s="515">
        <v>-0.9</v>
      </c>
      <c r="F53" s="514">
        <v>1.5</v>
      </c>
      <c r="G53" s="514">
        <v>-1.5</v>
      </c>
      <c r="H53" s="516" t="s">
        <v>1155</v>
      </c>
    </row>
    <row r="54" spans="1:8" ht="16" customHeight="1" x14ac:dyDescent="0.2">
      <c r="A54" s="511">
        <v>52</v>
      </c>
      <c r="B54" s="512" t="s">
        <v>156</v>
      </c>
      <c r="C54" s="513" t="s">
        <v>183</v>
      </c>
      <c r="D54" s="514">
        <v>0.9</v>
      </c>
      <c r="E54" s="515">
        <v>-0.9</v>
      </c>
      <c r="F54" s="514">
        <v>1.5</v>
      </c>
      <c r="G54" s="514">
        <v>-1.5</v>
      </c>
      <c r="H54" s="516" t="s">
        <v>1156</v>
      </c>
    </row>
    <row r="55" spans="1:8" ht="16" customHeight="1" x14ac:dyDescent="0.2">
      <c r="A55" s="511">
        <v>53</v>
      </c>
      <c r="B55" s="512" t="s">
        <v>1002</v>
      </c>
      <c r="C55" s="513" t="s">
        <v>183</v>
      </c>
      <c r="D55" s="514">
        <v>1</v>
      </c>
      <c r="E55" s="515">
        <v>-1</v>
      </c>
      <c r="F55" s="514">
        <v>1.5</v>
      </c>
      <c r="G55" s="514">
        <v>-1.5</v>
      </c>
      <c r="H55" s="516" t="s">
        <v>1157</v>
      </c>
    </row>
    <row r="56" spans="1:8" ht="16" customHeight="1" x14ac:dyDescent="0.2">
      <c r="A56" s="511">
        <v>54</v>
      </c>
      <c r="B56" s="512" t="s">
        <v>1004</v>
      </c>
      <c r="C56" s="513" t="s">
        <v>183</v>
      </c>
      <c r="D56" s="514">
        <v>0.9</v>
      </c>
      <c r="E56" s="515">
        <v>-0.9</v>
      </c>
      <c r="F56" s="514">
        <v>1.5</v>
      </c>
      <c r="G56" s="514">
        <v>-1.5</v>
      </c>
      <c r="H56" s="516" t="s">
        <v>1155</v>
      </c>
    </row>
    <row r="57" spans="1:8" ht="16" customHeight="1" x14ac:dyDescent="0.2">
      <c r="A57" s="511">
        <v>55</v>
      </c>
      <c r="B57" s="512" t="s">
        <v>1005</v>
      </c>
      <c r="C57" s="513" t="s">
        <v>183</v>
      </c>
      <c r="D57" s="514">
        <v>0.9</v>
      </c>
      <c r="E57" s="515">
        <v>-0.9</v>
      </c>
      <c r="F57" s="514">
        <v>1.5</v>
      </c>
      <c r="G57" s="514">
        <v>-1.5</v>
      </c>
      <c r="H57" s="516" t="s">
        <v>1155</v>
      </c>
    </row>
    <row r="58" spans="1:8" ht="16" customHeight="1" x14ac:dyDescent="0.2">
      <c r="A58" s="511">
        <v>56</v>
      </c>
      <c r="B58" s="512" t="s">
        <v>1006</v>
      </c>
      <c r="C58" s="513" t="s">
        <v>183</v>
      </c>
      <c r="D58" s="514">
        <v>0.9</v>
      </c>
      <c r="E58" s="515">
        <v>-0.9</v>
      </c>
      <c r="F58" s="514">
        <v>1.5</v>
      </c>
      <c r="G58" s="514">
        <v>-1.5</v>
      </c>
      <c r="H58" s="516" t="s">
        <v>1155</v>
      </c>
    </row>
    <row r="59" spans="1:8" ht="16" customHeight="1" x14ac:dyDescent="0.2">
      <c r="A59" s="511">
        <v>57</v>
      </c>
      <c r="B59" s="512" t="s">
        <v>1007</v>
      </c>
      <c r="C59" s="513" t="s">
        <v>183</v>
      </c>
      <c r="D59" s="514">
        <v>0.9</v>
      </c>
      <c r="E59" s="515">
        <v>-0.9</v>
      </c>
      <c r="F59" s="514">
        <v>1.5</v>
      </c>
      <c r="G59" s="514">
        <v>-1.5</v>
      </c>
      <c r="H59" s="516" t="s">
        <v>1158</v>
      </c>
    </row>
    <row r="60" spans="1:8" ht="16" customHeight="1" x14ac:dyDescent="0.2">
      <c r="A60" s="511">
        <v>58</v>
      </c>
      <c r="B60" s="512" t="s">
        <v>352</v>
      </c>
      <c r="C60" s="513" t="s">
        <v>183</v>
      </c>
      <c r="D60" s="514">
        <v>0.9</v>
      </c>
      <c r="E60" s="515">
        <v>-0.9</v>
      </c>
      <c r="F60" s="514">
        <v>1.5</v>
      </c>
      <c r="G60" s="514">
        <v>-1.5</v>
      </c>
      <c r="H60" s="516" t="s">
        <v>1159</v>
      </c>
    </row>
    <row r="61" spans="1:8" ht="16" customHeight="1" x14ac:dyDescent="0.2">
      <c r="A61" s="511">
        <v>59</v>
      </c>
      <c r="B61" s="512" t="s">
        <v>1008</v>
      </c>
      <c r="C61" s="513" t="s">
        <v>183</v>
      </c>
      <c r="D61" s="514">
        <v>0.9</v>
      </c>
      <c r="E61" s="515">
        <v>-0.9</v>
      </c>
      <c r="F61" s="514">
        <v>1.5</v>
      </c>
      <c r="G61" s="514">
        <v>-1.5</v>
      </c>
      <c r="H61" s="516" t="s">
        <v>1160</v>
      </c>
    </row>
    <row r="62" spans="1:8" ht="16" customHeight="1" x14ac:dyDescent="0.2">
      <c r="A62" s="511">
        <v>60</v>
      </c>
      <c r="B62" s="512" t="s">
        <v>1009</v>
      </c>
      <c r="C62" s="513" t="s">
        <v>183</v>
      </c>
      <c r="D62" s="514">
        <v>1</v>
      </c>
      <c r="E62" s="515">
        <v>-1</v>
      </c>
      <c r="F62" s="514">
        <v>1.5</v>
      </c>
      <c r="G62" s="514">
        <v>-1.5</v>
      </c>
      <c r="H62" s="516" t="s">
        <v>1161</v>
      </c>
    </row>
    <row r="63" spans="1:8" ht="16" customHeight="1" x14ac:dyDescent="0.2">
      <c r="A63" s="511">
        <v>61</v>
      </c>
      <c r="B63" s="512" t="s">
        <v>1010</v>
      </c>
      <c r="C63" s="513" t="s">
        <v>183</v>
      </c>
      <c r="D63" s="514">
        <v>0.9</v>
      </c>
      <c r="E63" s="515">
        <v>-0.9</v>
      </c>
      <c r="F63" s="514">
        <v>1.5</v>
      </c>
      <c r="G63" s="514">
        <v>-1.5</v>
      </c>
      <c r="H63" s="516" t="s">
        <v>1162</v>
      </c>
    </row>
    <row r="64" spans="1:8" ht="16" customHeight="1" x14ac:dyDescent="0.2">
      <c r="A64" s="511">
        <v>62</v>
      </c>
      <c r="B64" s="512" t="s">
        <v>1012</v>
      </c>
      <c r="C64" s="513" t="s">
        <v>183</v>
      </c>
      <c r="D64" s="514">
        <v>0.9</v>
      </c>
      <c r="E64" s="515">
        <v>-0.9</v>
      </c>
      <c r="F64" s="514">
        <v>1.5</v>
      </c>
      <c r="G64" s="514">
        <v>-1.5</v>
      </c>
      <c r="H64" s="516" t="s">
        <v>1146</v>
      </c>
    </row>
    <row r="65" spans="1:8" ht="16" customHeight="1" x14ac:dyDescent="0.2">
      <c r="A65" s="511">
        <v>63</v>
      </c>
      <c r="B65" s="512" t="s">
        <v>1013</v>
      </c>
      <c r="C65" s="513" t="s">
        <v>183</v>
      </c>
      <c r="D65" s="514">
        <v>1</v>
      </c>
      <c r="E65" s="515">
        <v>-1</v>
      </c>
      <c r="F65" s="514">
        <v>1.5</v>
      </c>
      <c r="G65" s="514">
        <v>-1.5</v>
      </c>
      <c r="H65" s="516" t="s">
        <v>1163</v>
      </c>
    </row>
    <row r="66" spans="1:8" ht="16" customHeight="1" x14ac:dyDescent="0.2">
      <c r="A66" s="511">
        <v>64</v>
      </c>
      <c r="B66" s="512" t="s">
        <v>1014</v>
      </c>
      <c r="C66" s="513" t="s">
        <v>183</v>
      </c>
      <c r="D66" s="514">
        <v>0.9</v>
      </c>
      <c r="E66" s="515">
        <v>-0.9</v>
      </c>
      <c r="F66" s="514">
        <v>1.5</v>
      </c>
      <c r="G66" s="514">
        <v>-1.5</v>
      </c>
      <c r="H66" s="516" t="s">
        <v>1164</v>
      </c>
    </row>
    <row r="67" spans="1:8" ht="16" customHeight="1" x14ac:dyDescent="0.2">
      <c r="A67" s="511">
        <v>65</v>
      </c>
      <c r="B67" s="512" t="s">
        <v>1015</v>
      </c>
      <c r="C67" s="513" t="s">
        <v>183</v>
      </c>
      <c r="D67" s="514">
        <v>0.9</v>
      </c>
      <c r="E67" s="515">
        <v>-0.9</v>
      </c>
      <c r="F67" s="514">
        <v>1.5</v>
      </c>
      <c r="G67" s="514">
        <v>-1.5</v>
      </c>
      <c r="H67" s="516" t="s">
        <v>1155</v>
      </c>
    </row>
    <row r="68" spans="1:8" ht="16" customHeight="1" x14ac:dyDescent="0.2">
      <c r="A68" s="511">
        <v>66</v>
      </c>
      <c r="B68" s="512" t="s">
        <v>1016</v>
      </c>
      <c r="C68" s="513" t="s">
        <v>183</v>
      </c>
      <c r="D68" s="514">
        <v>0.9</v>
      </c>
      <c r="E68" s="515">
        <v>-0.9</v>
      </c>
      <c r="F68" s="514">
        <v>1.5</v>
      </c>
      <c r="G68" s="514">
        <v>-1.5</v>
      </c>
      <c r="H68" s="516" t="s">
        <v>1155</v>
      </c>
    </row>
    <row r="69" spans="1:8" ht="16" customHeight="1" x14ac:dyDescent="0.2">
      <c r="A69" s="511">
        <v>67</v>
      </c>
      <c r="B69" s="512" t="s">
        <v>1017</v>
      </c>
      <c r="C69" s="513" t="s">
        <v>183</v>
      </c>
      <c r="D69" s="514">
        <v>0.9</v>
      </c>
      <c r="E69" s="515">
        <v>-0.9</v>
      </c>
      <c r="F69" s="514">
        <v>1.5</v>
      </c>
      <c r="G69" s="514">
        <v>-1.5</v>
      </c>
      <c r="H69" s="516" t="s">
        <v>1165</v>
      </c>
    </row>
    <row r="71" spans="1:8" ht="14" customHeight="1" x14ac:dyDescent="0.2">
      <c r="A71" s="609" t="s">
        <v>1166</v>
      </c>
      <c r="B71" s="605"/>
      <c r="C71" s="605"/>
      <c r="D71" s="605"/>
      <c r="E71" s="605"/>
      <c r="F71" s="605"/>
      <c r="G71" s="605"/>
      <c r="H71" s="605"/>
    </row>
  </sheetData>
  <mergeCells count="2">
    <mergeCell ref="A1:H1"/>
    <mergeCell ref="A71:H7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4E092-2C26-084A-82DC-06E79FD238AF}">
  <dimension ref="A1:H69"/>
  <sheetViews>
    <sheetView zoomScaleNormal="116" workbookViewId="0">
      <selection activeCell="J39" sqref="J39"/>
    </sheetView>
  </sheetViews>
  <sheetFormatPr baseColWidth="10" defaultColWidth="8.83203125" defaultRowHeight="15" x14ac:dyDescent="0.2"/>
  <cols>
    <col min="1" max="1" width="5" style="84" customWidth="1"/>
    <col min="2" max="2" width="38" style="84" customWidth="1"/>
    <col min="3" max="6" width="14" style="84" customWidth="1"/>
    <col min="7" max="7" width="14" style="168" customWidth="1"/>
    <col min="8" max="8" width="14" style="84" customWidth="1"/>
    <col min="9" max="16384" width="8.83203125" style="84"/>
  </cols>
  <sheetData>
    <row r="1" spans="1:8" ht="18" customHeight="1" x14ac:dyDescent="0.2">
      <c r="A1" s="610" t="s">
        <v>1167</v>
      </c>
      <c r="B1" s="605"/>
      <c r="C1" s="605"/>
      <c r="D1" s="605"/>
      <c r="E1" s="605"/>
      <c r="F1" s="605"/>
      <c r="G1" s="605"/>
      <c r="H1" s="605"/>
    </row>
    <row r="2" spans="1:8" ht="30" customHeight="1" x14ac:dyDescent="0.2">
      <c r="A2" s="482" t="s">
        <v>939</v>
      </c>
      <c r="B2" s="482" t="s">
        <v>1168</v>
      </c>
      <c r="C2" s="482" t="s">
        <v>1169</v>
      </c>
      <c r="D2" s="482" t="s">
        <v>1170</v>
      </c>
      <c r="E2" s="482" t="s">
        <v>1171</v>
      </c>
      <c r="F2" s="482" t="s">
        <v>1172</v>
      </c>
      <c r="G2" s="482" t="s">
        <v>1178</v>
      </c>
      <c r="H2" s="482" t="s">
        <v>1182</v>
      </c>
    </row>
    <row r="3" spans="1:8" ht="14" customHeight="1" x14ac:dyDescent="0.2">
      <c r="A3" s="533">
        <v>1</v>
      </c>
      <c r="B3" s="534" t="s">
        <v>948</v>
      </c>
      <c r="C3" s="535">
        <v>-0.9</v>
      </c>
      <c r="D3" s="535">
        <v>-1.5</v>
      </c>
      <c r="E3" s="535">
        <v>-2.5</v>
      </c>
      <c r="F3" s="535">
        <v>-2</v>
      </c>
      <c r="G3" s="541">
        <v>-2.5</v>
      </c>
      <c r="H3" s="535">
        <v>-0.7</v>
      </c>
    </row>
    <row r="4" spans="1:8" ht="14" customHeight="1" x14ac:dyDescent="0.2">
      <c r="A4" s="536">
        <v>2</v>
      </c>
      <c r="B4" s="537" t="s">
        <v>106</v>
      </c>
      <c r="C4" s="538">
        <v>-1</v>
      </c>
      <c r="D4" s="538">
        <v>-1.5</v>
      </c>
      <c r="E4" s="538">
        <v>-2.5</v>
      </c>
      <c r="F4" s="538">
        <v>-2</v>
      </c>
      <c r="G4" s="542">
        <v>-1.25</v>
      </c>
      <c r="H4" s="538">
        <v>-0.7</v>
      </c>
    </row>
    <row r="5" spans="1:8" ht="14" customHeight="1" x14ac:dyDescent="0.2">
      <c r="A5" s="533">
        <v>3</v>
      </c>
      <c r="B5" s="534" t="s">
        <v>951</v>
      </c>
      <c r="C5" s="535">
        <v>-1.5</v>
      </c>
      <c r="D5" s="535">
        <v>-2</v>
      </c>
      <c r="E5" s="535">
        <v>-2.5</v>
      </c>
      <c r="F5" s="535">
        <v>-2</v>
      </c>
      <c r="G5" s="541">
        <v>-11.2</v>
      </c>
      <c r="H5" s="535">
        <v>-0.7</v>
      </c>
    </row>
    <row r="6" spans="1:8" ht="14" customHeight="1" x14ac:dyDescent="0.2">
      <c r="A6" s="536">
        <v>4</v>
      </c>
      <c r="B6" s="537" t="s">
        <v>953</v>
      </c>
      <c r="C6" s="538">
        <v>-1.2</v>
      </c>
      <c r="D6" s="538">
        <v>-1.8</v>
      </c>
      <c r="E6" s="538">
        <v>-2.5</v>
      </c>
      <c r="F6" s="538">
        <v>-2</v>
      </c>
      <c r="G6" s="542">
        <v>-1.9750000000000001</v>
      </c>
      <c r="H6" s="538">
        <v>-0.7</v>
      </c>
    </row>
    <row r="7" spans="1:8" ht="14" customHeight="1" x14ac:dyDescent="0.2">
      <c r="A7" s="533">
        <v>5</v>
      </c>
      <c r="B7" s="534" t="s">
        <v>109</v>
      </c>
      <c r="C7" s="535">
        <v>-1.2</v>
      </c>
      <c r="D7" s="535">
        <v>-1.8</v>
      </c>
      <c r="E7" s="535">
        <v>-2.5</v>
      </c>
      <c r="F7" s="535">
        <v>-2</v>
      </c>
      <c r="G7" s="541">
        <v>-2.7</v>
      </c>
      <c r="H7" s="535">
        <v>-0.7</v>
      </c>
    </row>
    <row r="8" spans="1:8" ht="14" customHeight="1" x14ac:dyDescent="0.2">
      <c r="A8" s="536">
        <v>6</v>
      </c>
      <c r="B8" s="537" t="s">
        <v>110</v>
      </c>
      <c r="C8" s="538">
        <v>-1.2</v>
      </c>
      <c r="D8" s="538">
        <v>-1.8</v>
      </c>
      <c r="E8" s="538">
        <v>-2.5</v>
      </c>
      <c r="F8" s="538">
        <v>-2</v>
      </c>
      <c r="G8" s="542">
        <v>-1.1499999999999999</v>
      </c>
      <c r="H8" s="538">
        <v>-0.7</v>
      </c>
    </row>
    <row r="9" spans="1:8" ht="14" customHeight="1" x14ac:dyDescent="0.2">
      <c r="A9" s="533">
        <v>7</v>
      </c>
      <c r="B9" s="534" t="s">
        <v>957</v>
      </c>
      <c r="C9" s="535">
        <v>-1</v>
      </c>
      <c r="D9" s="535">
        <v>-1.5</v>
      </c>
      <c r="E9" s="535">
        <v>-2.5</v>
      </c>
      <c r="F9" s="535">
        <v>-2</v>
      </c>
      <c r="G9" s="541">
        <v>-1.1499999999999999</v>
      </c>
      <c r="H9" s="535">
        <v>-0.7</v>
      </c>
    </row>
    <row r="10" spans="1:8" ht="14" customHeight="1" x14ac:dyDescent="0.2">
      <c r="A10" s="536">
        <v>8</v>
      </c>
      <c r="B10" s="537" t="s">
        <v>112</v>
      </c>
      <c r="C10" s="538">
        <v>-2</v>
      </c>
      <c r="D10" s="538">
        <v>-2.5</v>
      </c>
      <c r="E10" s="538">
        <v>-2.5</v>
      </c>
      <c r="F10" s="538">
        <v>-2</v>
      </c>
      <c r="G10" s="542">
        <v>-3.7</v>
      </c>
      <c r="H10" s="538">
        <v>-0.7</v>
      </c>
    </row>
    <row r="11" spans="1:8" ht="14" customHeight="1" x14ac:dyDescent="0.2">
      <c r="A11" s="533">
        <v>9</v>
      </c>
      <c r="B11" s="534" t="s">
        <v>113</v>
      </c>
      <c r="C11" s="535">
        <v>-2</v>
      </c>
      <c r="D11" s="535">
        <v>-2.5</v>
      </c>
      <c r="E11" s="535">
        <v>-2.5</v>
      </c>
      <c r="F11" s="535">
        <v>-2</v>
      </c>
      <c r="G11" s="541">
        <v>-3.7</v>
      </c>
      <c r="H11" s="535">
        <v>-0.7</v>
      </c>
    </row>
    <row r="12" spans="1:8" ht="14" customHeight="1" x14ac:dyDescent="0.2">
      <c r="A12" s="536">
        <v>10</v>
      </c>
      <c r="B12" s="537" t="s">
        <v>735</v>
      </c>
      <c r="C12" s="538">
        <v>-1.8</v>
      </c>
      <c r="D12" s="538">
        <v>-2.5</v>
      </c>
      <c r="E12" s="538">
        <v>-2.5</v>
      </c>
      <c r="F12" s="538">
        <v>-2</v>
      </c>
      <c r="G12" s="542">
        <v>-4.05</v>
      </c>
      <c r="H12" s="538">
        <v>-0.7</v>
      </c>
    </row>
    <row r="13" spans="1:8" ht="14" customHeight="1" x14ac:dyDescent="0.2">
      <c r="A13" s="533">
        <v>11</v>
      </c>
      <c r="B13" s="534" t="s">
        <v>736</v>
      </c>
      <c r="C13" s="535">
        <v>-1.8</v>
      </c>
      <c r="D13" s="535">
        <v>-2.5</v>
      </c>
      <c r="E13" s="535">
        <v>-2.5</v>
      </c>
      <c r="F13" s="535">
        <v>-2</v>
      </c>
      <c r="G13" s="541">
        <v>-3.4</v>
      </c>
      <c r="H13" s="535">
        <v>-0.7</v>
      </c>
    </row>
    <row r="14" spans="1:8" ht="14" customHeight="1" x14ac:dyDescent="0.2">
      <c r="A14" s="536">
        <v>12</v>
      </c>
      <c r="B14" s="537" t="s">
        <v>737</v>
      </c>
      <c r="C14" s="538">
        <v>-1.8</v>
      </c>
      <c r="D14" s="538">
        <v>-2.5</v>
      </c>
      <c r="E14" s="538">
        <v>-2.5</v>
      </c>
      <c r="F14" s="538">
        <v>-2</v>
      </c>
      <c r="G14" s="542">
        <v>-3.4</v>
      </c>
      <c r="H14" s="538">
        <v>-0.7</v>
      </c>
    </row>
    <row r="15" spans="1:8" ht="14" customHeight="1" x14ac:dyDescent="0.2">
      <c r="A15" s="533">
        <v>13</v>
      </c>
      <c r="B15" s="534" t="s">
        <v>960</v>
      </c>
      <c r="C15" s="535">
        <v>-1</v>
      </c>
      <c r="D15" s="535">
        <v>-1.5</v>
      </c>
      <c r="E15" s="535">
        <v>-2.5</v>
      </c>
      <c r="F15" s="535">
        <v>-2</v>
      </c>
      <c r="G15" s="541">
        <v>-1.9</v>
      </c>
      <c r="H15" s="535">
        <v>-0.7</v>
      </c>
    </row>
    <row r="16" spans="1:8" ht="14" customHeight="1" x14ac:dyDescent="0.2">
      <c r="A16" s="517">
        <v>14</v>
      </c>
      <c r="B16" s="518" t="s">
        <v>1179</v>
      </c>
      <c r="C16" s="519">
        <v>-1.5</v>
      </c>
      <c r="D16" s="519">
        <v>-2</v>
      </c>
      <c r="E16" s="519">
        <v>-2.5</v>
      </c>
      <c r="F16" s="519">
        <v>-2</v>
      </c>
      <c r="G16" s="519">
        <v>-2.1</v>
      </c>
      <c r="H16" s="519">
        <v>-0.7</v>
      </c>
    </row>
    <row r="17" spans="1:8" ht="14" customHeight="1" x14ac:dyDescent="0.2">
      <c r="A17" s="533">
        <v>15</v>
      </c>
      <c r="B17" s="534" t="s">
        <v>739</v>
      </c>
      <c r="C17" s="535">
        <v>-2</v>
      </c>
      <c r="D17" s="535">
        <v>-2.5</v>
      </c>
      <c r="E17" s="535">
        <v>-2.5</v>
      </c>
      <c r="F17" s="535">
        <v>-2</v>
      </c>
      <c r="G17" s="541">
        <v>-3.3</v>
      </c>
      <c r="H17" s="535">
        <v>-0.7</v>
      </c>
    </row>
    <row r="18" spans="1:8" ht="14" customHeight="1" x14ac:dyDescent="0.2">
      <c r="A18" s="536">
        <v>16</v>
      </c>
      <c r="B18" s="537" t="s">
        <v>963</v>
      </c>
      <c r="C18" s="538">
        <v>-1.8</v>
      </c>
      <c r="D18" s="538">
        <v>-2</v>
      </c>
      <c r="E18" s="538">
        <v>-2.5</v>
      </c>
      <c r="F18" s="538">
        <v>-2</v>
      </c>
      <c r="G18" s="542">
        <v>-3.3</v>
      </c>
      <c r="H18" s="538">
        <v>-0.7</v>
      </c>
    </row>
    <row r="19" spans="1:8" ht="14" customHeight="1" x14ac:dyDescent="0.2">
      <c r="A19" s="533">
        <v>17</v>
      </c>
      <c r="B19" s="534" t="s">
        <v>965</v>
      </c>
      <c r="C19" s="535">
        <v>-2</v>
      </c>
      <c r="D19" s="535">
        <v>-2.5</v>
      </c>
      <c r="E19" s="535">
        <v>-2.5</v>
      </c>
      <c r="F19" s="535">
        <v>-2</v>
      </c>
      <c r="G19" s="541">
        <v>-3.3</v>
      </c>
      <c r="H19" s="535">
        <v>-0.7</v>
      </c>
    </row>
    <row r="20" spans="1:8" ht="14" customHeight="1" x14ac:dyDescent="0.2">
      <c r="A20" s="536">
        <v>18</v>
      </c>
      <c r="B20" s="537" t="s">
        <v>966</v>
      </c>
      <c r="C20" s="538">
        <v>-1.5</v>
      </c>
      <c r="D20" s="538">
        <v>-2</v>
      </c>
      <c r="E20" s="538">
        <v>-2.5</v>
      </c>
      <c r="F20" s="538">
        <v>-2</v>
      </c>
      <c r="G20" s="542">
        <v>-3.3</v>
      </c>
      <c r="H20" s="538">
        <v>-0.7</v>
      </c>
    </row>
    <row r="21" spans="1:8" ht="14" customHeight="1" x14ac:dyDescent="0.2">
      <c r="A21" s="533">
        <v>19</v>
      </c>
      <c r="B21" s="534" t="s">
        <v>967</v>
      </c>
      <c r="C21" s="535">
        <v>-2.2000000000000002</v>
      </c>
      <c r="D21" s="535">
        <v>-2.8</v>
      </c>
      <c r="E21" s="535">
        <v>-2.5</v>
      </c>
      <c r="F21" s="535">
        <v>-2</v>
      </c>
      <c r="G21" s="541">
        <v>-4.2</v>
      </c>
      <c r="H21" s="535">
        <v>-0.7</v>
      </c>
    </row>
    <row r="22" spans="1:8" ht="14" customHeight="1" x14ac:dyDescent="0.2">
      <c r="A22" s="536">
        <v>20</v>
      </c>
      <c r="B22" s="537" t="s">
        <v>968</v>
      </c>
      <c r="C22" s="538">
        <v>-2</v>
      </c>
      <c r="D22" s="538">
        <v>-2.5</v>
      </c>
      <c r="E22" s="538">
        <v>-2.5</v>
      </c>
      <c r="F22" s="538">
        <v>-2</v>
      </c>
      <c r="G22" s="542">
        <v>-4.2</v>
      </c>
      <c r="H22" s="538">
        <v>-0.7</v>
      </c>
    </row>
    <row r="23" spans="1:8" ht="14" customHeight="1" x14ac:dyDescent="0.2">
      <c r="A23" s="533">
        <v>21</v>
      </c>
      <c r="B23" s="534" t="s">
        <v>969</v>
      </c>
      <c r="C23" s="535">
        <v>-2.4</v>
      </c>
      <c r="D23" s="535">
        <v>-3</v>
      </c>
      <c r="E23" s="535">
        <v>-2.5</v>
      </c>
      <c r="F23" s="535">
        <v>-2</v>
      </c>
      <c r="G23" s="541">
        <v>-4.05</v>
      </c>
      <c r="H23" s="535">
        <v>-0.7</v>
      </c>
    </row>
    <row r="24" spans="1:8" ht="14" customHeight="1" x14ac:dyDescent="0.2">
      <c r="A24" s="536">
        <v>22</v>
      </c>
      <c r="B24" s="537" t="s">
        <v>339</v>
      </c>
      <c r="C24" s="538">
        <v>-2.2000000000000002</v>
      </c>
      <c r="D24" s="538">
        <v>-2.8</v>
      </c>
      <c r="E24" s="538">
        <v>-2.5</v>
      </c>
      <c r="F24" s="538">
        <v>-2</v>
      </c>
      <c r="G24" s="542">
        <v>-4.05</v>
      </c>
      <c r="H24" s="538">
        <v>-0.7</v>
      </c>
    </row>
    <row r="25" spans="1:8" ht="14" customHeight="1" x14ac:dyDescent="0.2">
      <c r="A25" s="533">
        <v>23</v>
      </c>
      <c r="B25" s="534" t="s">
        <v>971</v>
      </c>
      <c r="C25" s="535">
        <v>-2</v>
      </c>
      <c r="D25" s="535">
        <v>-2.5</v>
      </c>
      <c r="E25" s="535">
        <v>-2.5</v>
      </c>
      <c r="F25" s="535">
        <v>-2</v>
      </c>
      <c r="G25" s="541">
        <v>-4.05</v>
      </c>
      <c r="H25" s="535">
        <v>-0.7</v>
      </c>
    </row>
    <row r="26" spans="1:8" ht="14" customHeight="1" x14ac:dyDescent="0.2">
      <c r="A26" s="536">
        <v>24</v>
      </c>
      <c r="B26" s="537" t="s">
        <v>972</v>
      </c>
      <c r="C26" s="538">
        <v>-1.8</v>
      </c>
      <c r="D26" s="538">
        <v>-2.5</v>
      </c>
      <c r="E26" s="538">
        <v>-2.5</v>
      </c>
      <c r="F26" s="538">
        <v>-2</v>
      </c>
      <c r="G26" s="542">
        <v>-2.8</v>
      </c>
      <c r="H26" s="538">
        <v>-0.7</v>
      </c>
    </row>
    <row r="27" spans="1:8" ht="14" customHeight="1" x14ac:dyDescent="0.2">
      <c r="A27" s="533">
        <v>25</v>
      </c>
      <c r="B27" s="534" t="s">
        <v>974</v>
      </c>
      <c r="C27" s="535">
        <v>-1.8</v>
      </c>
      <c r="D27" s="535">
        <v>-2.5</v>
      </c>
      <c r="E27" s="535">
        <v>-2.5</v>
      </c>
      <c r="F27" s="535">
        <v>-2</v>
      </c>
      <c r="G27" s="541">
        <v>-2.8</v>
      </c>
      <c r="H27" s="535">
        <v>-0.7</v>
      </c>
    </row>
    <row r="28" spans="1:8" ht="14" customHeight="1" x14ac:dyDescent="0.2">
      <c r="A28" s="536">
        <v>26</v>
      </c>
      <c r="B28" s="537" t="s">
        <v>975</v>
      </c>
      <c r="C28" s="538">
        <v>-1.5</v>
      </c>
      <c r="D28" s="538">
        <v>-2</v>
      </c>
      <c r="E28" s="538">
        <v>-2.5</v>
      </c>
      <c r="F28" s="538">
        <v>-2</v>
      </c>
      <c r="G28" s="542">
        <v>-3.75</v>
      </c>
      <c r="H28" s="538">
        <v>-0.7</v>
      </c>
    </row>
    <row r="29" spans="1:8" ht="14" customHeight="1" x14ac:dyDescent="0.2">
      <c r="A29" s="533">
        <v>27</v>
      </c>
      <c r="B29" s="534" t="s">
        <v>131</v>
      </c>
      <c r="C29" s="535">
        <v>-1.8</v>
      </c>
      <c r="D29" s="535">
        <v>-2.5</v>
      </c>
      <c r="E29" s="535">
        <v>-2.5</v>
      </c>
      <c r="F29" s="535">
        <v>-2</v>
      </c>
      <c r="G29" s="541">
        <v>-1.9</v>
      </c>
      <c r="H29" s="535">
        <v>-0.7</v>
      </c>
    </row>
    <row r="30" spans="1:8" ht="14" customHeight="1" x14ac:dyDescent="0.2">
      <c r="A30" s="536">
        <v>28</v>
      </c>
      <c r="B30" s="537" t="s">
        <v>977</v>
      </c>
      <c r="C30" s="538">
        <v>-0.9</v>
      </c>
      <c r="D30" s="538">
        <v>-1.5</v>
      </c>
      <c r="E30" s="538">
        <v>-2.5</v>
      </c>
      <c r="F30" s="538">
        <v>-2</v>
      </c>
      <c r="G30" s="542">
        <v>-1.9</v>
      </c>
      <c r="H30" s="538">
        <v>-0.7</v>
      </c>
    </row>
    <row r="31" spans="1:8" ht="14" customHeight="1" x14ac:dyDescent="0.2">
      <c r="A31" s="533">
        <v>29</v>
      </c>
      <c r="B31" s="534" t="s">
        <v>978</v>
      </c>
      <c r="C31" s="535">
        <v>-0.9</v>
      </c>
      <c r="D31" s="535">
        <v>-1.5</v>
      </c>
      <c r="E31" s="535">
        <v>-2.5</v>
      </c>
      <c r="F31" s="535">
        <v>-2</v>
      </c>
      <c r="G31" s="541">
        <v>-1.9</v>
      </c>
      <c r="H31" s="535">
        <v>-0.7</v>
      </c>
    </row>
    <row r="32" spans="1:8" ht="14" customHeight="1" x14ac:dyDescent="0.2">
      <c r="A32" s="536">
        <v>30</v>
      </c>
      <c r="B32" s="537" t="s">
        <v>980</v>
      </c>
      <c r="C32" s="538">
        <v>-0.9</v>
      </c>
      <c r="D32" s="538">
        <v>-1.5</v>
      </c>
      <c r="E32" s="538">
        <v>-2.5</v>
      </c>
      <c r="F32" s="538">
        <v>-2</v>
      </c>
      <c r="G32" s="542">
        <v>-2.8</v>
      </c>
      <c r="H32" s="538">
        <v>-0.7</v>
      </c>
    </row>
    <row r="33" spans="1:8" ht="14" customHeight="1" x14ac:dyDescent="0.2">
      <c r="A33" s="533">
        <v>31</v>
      </c>
      <c r="B33" s="534" t="s">
        <v>343</v>
      </c>
      <c r="C33" s="535">
        <v>-0.9</v>
      </c>
      <c r="D33" s="535">
        <v>-1.5</v>
      </c>
      <c r="E33" s="535">
        <v>-2.5</v>
      </c>
      <c r="F33" s="535">
        <v>-2</v>
      </c>
      <c r="G33" s="541">
        <v>-1.9</v>
      </c>
      <c r="H33" s="535">
        <v>-0.7</v>
      </c>
    </row>
    <row r="34" spans="1:8" ht="14" customHeight="1" x14ac:dyDescent="0.2">
      <c r="A34" s="536">
        <v>32</v>
      </c>
      <c r="B34" s="537" t="s">
        <v>982</v>
      </c>
      <c r="C34" s="538">
        <v>-0.9</v>
      </c>
      <c r="D34" s="538">
        <v>-1.5</v>
      </c>
      <c r="E34" s="538">
        <v>-2.5</v>
      </c>
      <c r="F34" s="538">
        <v>-2</v>
      </c>
      <c r="G34" s="542">
        <v>-1.9</v>
      </c>
      <c r="H34" s="538">
        <v>-0.7</v>
      </c>
    </row>
    <row r="35" spans="1:8" ht="14" customHeight="1" x14ac:dyDescent="0.2">
      <c r="A35" s="533">
        <v>33</v>
      </c>
      <c r="B35" s="534" t="s">
        <v>983</v>
      </c>
      <c r="C35" s="535">
        <v>-1</v>
      </c>
      <c r="D35" s="535">
        <v>-1.8</v>
      </c>
      <c r="E35" s="535">
        <v>-2.5</v>
      </c>
      <c r="F35" s="535">
        <v>-2</v>
      </c>
      <c r="G35" s="541">
        <v>-1.9</v>
      </c>
      <c r="H35" s="535">
        <v>-0.7</v>
      </c>
    </row>
    <row r="36" spans="1:8" ht="14" customHeight="1" x14ac:dyDescent="0.2">
      <c r="A36" s="536">
        <v>34</v>
      </c>
      <c r="B36" s="537" t="s">
        <v>985</v>
      </c>
      <c r="C36" s="538">
        <v>-0.9</v>
      </c>
      <c r="D36" s="538">
        <v>-1.5</v>
      </c>
      <c r="E36" s="538">
        <v>-2.5</v>
      </c>
      <c r="F36" s="538">
        <v>-2</v>
      </c>
      <c r="G36" s="542">
        <v>-1.9</v>
      </c>
      <c r="H36" s="538">
        <v>-0.7</v>
      </c>
    </row>
    <row r="37" spans="1:8" ht="14" customHeight="1" x14ac:dyDescent="0.2">
      <c r="A37" s="533">
        <v>35</v>
      </c>
      <c r="B37" s="534" t="s">
        <v>986</v>
      </c>
      <c r="C37" s="535">
        <v>-1</v>
      </c>
      <c r="D37" s="535">
        <v>-1.5</v>
      </c>
      <c r="E37" s="535">
        <v>-2.5</v>
      </c>
      <c r="F37" s="535">
        <v>-2</v>
      </c>
      <c r="G37" s="541">
        <v>-1.9</v>
      </c>
      <c r="H37" s="535">
        <v>-0.7</v>
      </c>
    </row>
    <row r="38" spans="1:8" ht="14" customHeight="1" x14ac:dyDescent="0.2">
      <c r="A38" s="536">
        <v>36</v>
      </c>
      <c r="B38" s="537" t="s">
        <v>988</v>
      </c>
      <c r="C38" s="538">
        <v>-1</v>
      </c>
      <c r="D38" s="538">
        <v>-1.5</v>
      </c>
      <c r="E38" s="538">
        <v>-2.5</v>
      </c>
      <c r="F38" s="538">
        <v>-2</v>
      </c>
      <c r="G38" s="542">
        <v>-1.9</v>
      </c>
      <c r="H38" s="538">
        <v>-0.7</v>
      </c>
    </row>
    <row r="39" spans="1:8" ht="14" customHeight="1" x14ac:dyDescent="0.2">
      <c r="A39" s="533">
        <v>37</v>
      </c>
      <c r="B39" s="534" t="s">
        <v>989</v>
      </c>
      <c r="C39" s="535">
        <v>-1</v>
      </c>
      <c r="D39" s="535">
        <v>-1.5</v>
      </c>
      <c r="E39" s="535">
        <v>-2.5</v>
      </c>
      <c r="F39" s="535">
        <v>-2</v>
      </c>
      <c r="G39" s="541">
        <v>-1.9</v>
      </c>
      <c r="H39" s="535">
        <v>-0.7</v>
      </c>
    </row>
    <row r="40" spans="1:8" ht="14" customHeight="1" x14ac:dyDescent="0.2">
      <c r="A40" s="536">
        <v>38</v>
      </c>
      <c r="B40" s="537" t="s">
        <v>990</v>
      </c>
      <c r="C40" s="538">
        <v>-0.9</v>
      </c>
      <c r="D40" s="538">
        <v>-1.5</v>
      </c>
      <c r="E40" s="538">
        <v>-2.5</v>
      </c>
      <c r="F40" s="538">
        <v>-2</v>
      </c>
      <c r="G40" s="542">
        <v>-1.9</v>
      </c>
      <c r="H40" s="538">
        <v>-0.7</v>
      </c>
    </row>
    <row r="41" spans="1:8" ht="14" customHeight="1" x14ac:dyDescent="0.2">
      <c r="A41" s="533">
        <v>39</v>
      </c>
      <c r="B41" s="534" t="s">
        <v>991</v>
      </c>
      <c r="C41" s="535">
        <v>-1</v>
      </c>
      <c r="D41" s="535">
        <v>-1.5</v>
      </c>
      <c r="E41" s="535">
        <v>-2.5</v>
      </c>
      <c r="F41" s="535">
        <v>-2</v>
      </c>
      <c r="G41" s="541">
        <v>-1.9</v>
      </c>
      <c r="H41" s="535">
        <v>-0.7</v>
      </c>
    </row>
    <row r="42" spans="1:8" ht="14" customHeight="1" x14ac:dyDescent="0.2">
      <c r="A42" s="536">
        <v>40</v>
      </c>
      <c r="B42" s="537" t="s">
        <v>992</v>
      </c>
      <c r="C42" s="538">
        <v>-1</v>
      </c>
      <c r="D42" s="538">
        <v>-1.5</v>
      </c>
      <c r="E42" s="538">
        <v>-2.5</v>
      </c>
      <c r="F42" s="538">
        <v>-2</v>
      </c>
      <c r="G42" s="542">
        <v>-1.9</v>
      </c>
      <c r="H42" s="538">
        <v>-0.7</v>
      </c>
    </row>
    <row r="43" spans="1:8" ht="14" customHeight="1" x14ac:dyDescent="0.2">
      <c r="A43" s="533">
        <v>41</v>
      </c>
      <c r="B43" s="534" t="s">
        <v>993</v>
      </c>
      <c r="C43" s="535">
        <v>-1</v>
      </c>
      <c r="D43" s="535">
        <v>-1.5</v>
      </c>
      <c r="E43" s="535">
        <v>-2.5</v>
      </c>
      <c r="F43" s="535">
        <v>-2</v>
      </c>
      <c r="G43" s="541">
        <v>-1.9</v>
      </c>
      <c r="H43" s="535">
        <v>-0.7</v>
      </c>
    </row>
    <row r="44" spans="1:8" ht="14" customHeight="1" x14ac:dyDescent="0.2">
      <c r="A44" s="536">
        <v>42</v>
      </c>
      <c r="B44" s="537" t="s">
        <v>994</v>
      </c>
      <c r="C44" s="538">
        <v>-1</v>
      </c>
      <c r="D44" s="538">
        <v>-1.5</v>
      </c>
      <c r="E44" s="538">
        <v>-2.5</v>
      </c>
      <c r="F44" s="538">
        <v>-2</v>
      </c>
      <c r="G44" s="542">
        <v>-1.9</v>
      </c>
      <c r="H44" s="538">
        <v>-0.7</v>
      </c>
    </row>
    <row r="45" spans="1:8" ht="14" customHeight="1" x14ac:dyDescent="0.2">
      <c r="A45" s="533">
        <v>43</v>
      </c>
      <c r="B45" s="534" t="s">
        <v>147</v>
      </c>
      <c r="C45" s="535">
        <v>-0.9</v>
      </c>
      <c r="D45" s="535">
        <v>-1.5</v>
      </c>
      <c r="E45" s="535">
        <v>-2.5</v>
      </c>
      <c r="F45" s="535">
        <v>-2</v>
      </c>
      <c r="G45" s="541">
        <v>-1.9</v>
      </c>
      <c r="H45" s="535">
        <v>-0.7</v>
      </c>
    </row>
    <row r="46" spans="1:8" ht="14" customHeight="1" x14ac:dyDescent="0.2">
      <c r="A46" s="536">
        <v>44</v>
      </c>
      <c r="B46" s="537" t="s">
        <v>995</v>
      </c>
      <c r="C46" s="538">
        <v>-0.9</v>
      </c>
      <c r="D46" s="538">
        <v>-1.5</v>
      </c>
      <c r="E46" s="538">
        <v>-2.5</v>
      </c>
      <c r="F46" s="538">
        <v>-2</v>
      </c>
      <c r="G46" s="542">
        <v>-1.9</v>
      </c>
      <c r="H46" s="538">
        <v>-0.7</v>
      </c>
    </row>
    <row r="47" spans="1:8" ht="14" customHeight="1" x14ac:dyDescent="0.2">
      <c r="A47" s="533">
        <v>45</v>
      </c>
      <c r="B47" s="534" t="s">
        <v>836</v>
      </c>
      <c r="C47" s="535">
        <v>-1</v>
      </c>
      <c r="D47" s="535">
        <v>-1.5</v>
      </c>
      <c r="E47" s="535">
        <v>-2.5</v>
      </c>
      <c r="F47" s="535">
        <v>-2</v>
      </c>
      <c r="G47" s="541">
        <v>-1.9</v>
      </c>
      <c r="H47" s="535">
        <v>-0.7</v>
      </c>
    </row>
    <row r="48" spans="1:8" ht="14" customHeight="1" x14ac:dyDescent="0.2">
      <c r="A48" s="536">
        <v>46</v>
      </c>
      <c r="B48" s="537" t="s">
        <v>997</v>
      </c>
      <c r="C48" s="538">
        <v>-1</v>
      </c>
      <c r="D48" s="538">
        <v>-1.5</v>
      </c>
      <c r="E48" s="538">
        <v>-2.5</v>
      </c>
      <c r="F48" s="538">
        <v>-2</v>
      </c>
      <c r="G48" s="542">
        <v>-1.9</v>
      </c>
      <c r="H48" s="538">
        <v>-0.7</v>
      </c>
    </row>
    <row r="49" spans="1:8" ht="14" customHeight="1" x14ac:dyDescent="0.2">
      <c r="A49" s="533">
        <v>47</v>
      </c>
      <c r="B49" s="534" t="s">
        <v>998</v>
      </c>
      <c r="C49" s="535">
        <v>-1</v>
      </c>
      <c r="D49" s="535">
        <v>-1.5</v>
      </c>
      <c r="E49" s="535">
        <v>-2.5</v>
      </c>
      <c r="F49" s="535">
        <v>-2</v>
      </c>
      <c r="G49" s="541">
        <v>-1.9</v>
      </c>
      <c r="H49" s="535">
        <v>-0.7</v>
      </c>
    </row>
    <row r="50" spans="1:8" ht="14" customHeight="1" x14ac:dyDescent="0.2">
      <c r="A50" s="536">
        <v>48</v>
      </c>
      <c r="B50" s="537" t="s">
        <v>999</v>
      </c>
      <c r="C50" s="538">
        <v>-1</v>
      </c>
      <c r="D50" s="538">
        <v>-1.5</v>
      </c>
      <c r="E50" s="538">
        <v>-2.5</v>
      </c>
      <c r="F50" s="538">
        <v>-2</v>
      </c>
      <c r="G50" s="542">
        <v>-1.9</v>
      </c>
      <c r="H50" s="538">
        <v>-0.7</v>
      </c>
    </row>
    <row r="51" spans="1:8" ht="14" customHeight="1" x14ac:dyDescent="0.2">
      <c r="A51" s="533">
        <v>49</v>
      </c>
      <c r="B51" s="534" t="s">
        <v>1000</v>
      </c>
      <c r="C51" s="535">
        <v>-0.9</v>
      </c>
      <c r="D51" s="535">
        <v>-1.5</v>
      </c>
      <c r="E51" s="535">
        <v>-2.5</v>
      </c>
      <c r="F51" s="535">
        <v>-2</v>
      </c>
      <c r="G51" s="541">
        <v>-1.9</v>
      </c>
      <c r="H51" s="535">
        <v>-0.7</v>
      </c>
    </row>
    <row r="52" spans="1:8" ht="14" customHeight="1" x14ac:dyDescent="0.2">
      <c r="A52" s="536">
        <v>50</v>
      </c>
      <c r="B52" s="537" t="s">
        <v>154</v>
      </c>
      <c r="C52" s="538">
        <v>-0.9</v>
      </c>
      <c r="D52" s="538">
        <v>-1.5</v>
      </c>
      <c r="E52" s="538">
        <v>-2.5</v>
      </c>
      <c r="F52" s="538">
        <v>-2</v>
      </c>
      <c r="G52" s="542">
        <v>-1.9</v>
      </c>
      <c r="H52" s="538">
        <v>-0.7</v>
      </c>
    </row>
    <row r="53" spans="1:8" ht="14" customHeight="1" x14ac:dyDescent="0.2">
      <c r="A53" s="533">
        <v>51</v>
      </c>
      <c r="B53" s="534" t="s">
        <v>1001</v>
      </c>
      <c r="C53" s="535">
        <v>-0.9</v>
      </c>
      <c r="D53" s="535">
        <v>-1.5</v>
      </c>
      <c r="E53" s="535">
        <v>-2.5</v>
      </c>
      <c r="F53" s="535">
        <v>-2</v>
      </c>
      <c r="G53" s="541">
        <v>-1.9</v>
      </c>
      <c r="H53" s="535">
        <v>-0.7</v>
      </c>
    </row>
    <row r="54" spans="1:8" ht="14" customHeight="1" x14ac:dyDescent="0.2">
      <c r="A54" s="536">
        <v>52</v>
      </c>
      <c r="B54" s="537" t="s">
        <v>156</v>
      </c>
      <c r="C54" s="538">
        <v>-0.9</v>
      </c>
      <c r="D54" s="538">
        <v>-1.5</v>
      </c>
      <c r="E54" s="538">
        <v>-2.5</v>
      </c>
      <c r="F54" s="538">
        <v>-2</v>
      </c>
      <c r="G54" s="542">
        <v>-1.9</v>
      </c>
      <c r="H54" s="538">
        <v>-0.7</v>
      </c>
    </row>
    <row r="55" spans="1:8" ht="14" customHeight="1" x14ac:dyDescent="0.2">
      <c r="A55" s="533">
        <v>53</v>
      </c>
      <c r="B55" s="534" t="s">
        <v>1002</v>
      </c>
      <c r="C55" s="535">
        <v>-1</v>
      </c>
      <c r="D55" s="535">
        <v>-1.5</v>
      </c>
      <c r="E55" s="535">
        <v>-2.5</v>
      </c>
      <c r="F55" s="535">
        <v>-2</v>
      </c>
      <c r="G55" s="541">
        <v>-1.9</v>
      </c>
      <c r="H55" s="535">
        <v>-0.7</v>
      </c>
    </row>
    <row r="56" spans="1:8" ht="14" customHeight="1" x14ac:dyDescent="0.2">
      <c r="A56" s="536">
        <v>54</v>
      </c>
      <c r="B56" s="537" t="s">
        <v>1004</v>
      </c>
      <c r="C56" s="538">
        <v>-0.9</v>
      </c>
      <c r="D56" s="538">
        <v>-1.5</v>
      </c>
      <c r="E56" s="538">
        <v>-2.5</v>
      </c>
      <c r="F56" s="538">
        <v>-2</v>
      </c>
      <c r="G56" s="542">
        <v>-1.9</v>
      </c>
      <c r="H56" s="538">
        <v>-0.7</v>
      </c>
    </row>
    <row r="57" spans="1:8" ht="14" customHeight="1" x14ac:dyDescent="0.2">
      <c r="A57" s="533">
        <v>55</v>
      </c>
      <c r="B57" s="534" t="s">
        <v>1005</v>
      </c>
      <c r="C57" s="535">
        <v>-0.9</v>
      </c>
      <c r="D57" s="535">
        <v>-1.5</v>
      </c>
      <c r="E57" s="535">
        <v>-2.5</v>
      </c>
      <c r="F57" s="535">
        <v>-2</v>
      </c>
      <c r="G57" s="541">
        <v>-1.9</v>
      </c>
      <c r="H57" s="535">
        <v>-0.7</v>
      </c>
    </row>
    <row r="58" spans="1:8" ht="14" customHeight="1" x14ac:dyDescent="0.2">
      <c r="A58" s="536">
        <v>56</v>
      </c>
      <c r="B58" s="537" t="s">
        <v>1006</v>
      </c>
      <c r="C58" s="538">
        <v>-0.9</v>
      </c>
      <c r="D58" s="538">
        <v>-1.5</v>
      </c>
      <c r="E58" s="538">
        <v>-2.5</v>
      </c>
      <c r="F58" s="538">
        <v>-2</v>
      </c>
      <c r="G58" s="542">
        <v>-1.9</v>
      </c>
      <c r="H58" s="538">
        <v>-0.7</v>
      </c>
    </row>
    <row r="59" spans="1:8" ht="14" customHeight="1" x14ac:dyDescent="0.2">
      <c r="A59" s="533">
        <v>57</v>
      </c>
      <c r="B59" s="534" t="s">
        <v>1007</v>
      </c>
      <c r="C59" s="535">
        <v>-0.9</v>
      </c>
      <c r="D59" s="535">
        <v>-1.5</v>
      </c>
      <c r="E59" s="535">
        <v>-2.5</v>
      </c>
      <c r="F59" s="535">
        <v>-2</v>
      </c>
      <c r="G59" s="541">
        <v>-1.9</v>
      </c>
      <c r="H59" s="535">
        <v>-0.7</v>
      </c>
    </row>
    <row r="60" spans="1:8" ht="14" customHeight="1" x14ac:dyDescent="0.2">
      <c r="A60" s="536">
        <v>58</v>
      </c>
      <c r="B60" s="537" t="s">
        <v>352</v>
      </c>
      <c r="C60" s="538">
        <v>-0.9</v>
      </c>
      <c r="D60" s="538">
        <v>-1.5</v>
      </c>
      <c r="E60" s="538">
        <v>-2.5</v>
      </c>
      <c r="F60" s="538">
        <v>-2</v>
      </c>
      <c r="G60" s="542">
        <v>-1.9</v>
      </c>
      <c r="H60" s="538">
        <v>-0.7</v>
      </c>
    </row>
    <row r="61" spans="1:8" ht="14" customHeight="1" x14ac:dyDescent="0.2">
      <c r="A61" s="533">
        <v>59</v>
      </c>
      <c r="B61" s="534" t="s">
        <v>1008</v>
      </c>
      <c r="C61" s="535">
        <v>-0.9</v>
      </c>
      <c r="D61" s="535">
        <v>-1.5</v>
      </c>
      <c r="E61" s="535">
        <v>-2.5</v>
      </c>
      <c r="F61" s="535">
        <v>-2</v>
      </c>
      <c r="G61" s="541">
        <v>-1.9</v>
      </c>
      <c r="H61" s="535">
        <v>-0.7</v>
      </c>
    </row>
    <row r="62" spans="1:8" ht="14" customHeight="1" x14ac:dyDescent="0.2">
      <c r="A62" s="536">
        <v>60</v>
      </c>
      <c r="B62" s="537" t="s">
        <v>1009</v>
      </c>
      <c r="C62" s="538">
        <v>-1</v>
      </c>
      <c r="D62" s="538">
        <v>-1.5</v>
      </c>
      <c r="E62" s="538">
        <v>-2.5</v>
      </c>
      <c r="F62" s="538">
        <v>-2</v>
      </c>
      <c r="G62" s="542">
        <v>-1.9</v>
      </c>
      <c r="H62" s="538">
        <v>-0.7</v>
      </c>
    </row>
    <row r="63" spans="1:8" ht="14" customHeight="1" x14ac:dyDescent="0.2">
      <c r="A63" s="533">
        <v>61</v>
      </c>
      <c r="B63" s="534" t="s">
        <v>1010</v>
      </c>
      <c r="C63" s="535">
        <v>-0.9</v>
      </c>
      <c r="D63" s="535">
        <v>-1.5</v>
      </c>
      <c r="E63" s="535">
        <v>-2.5</v>
      </c>
      <c r="F63" s="535">
        <v>-2</v>
      </c>
      <c r="G63" s="541">
        <v>-1.9</v>
      </c>
      <c r="H63" s="535">
        <v>-0.7</v>
      </c>
    </row>
    <row r="64" spans="1:8" ht="14" customHeight="1" x14ac:dyDescent="0.2">
      <c r="A64" s="536">
        <v>62</v>
      </c>
      <c r="B64" s="537" t="s">
        <v>1012</v>
      </c>
      <c r="C64" s="538">
        <v>-0.9</v>
      </c>
      <c r="D64" s="538">
        <v>-1.5</v>
      </c>
      <c r="E64" s="538">
        <v>-2.5</v>
      </c>
      <c r="F64" s="538">
        <v>-2</v>
      </c>
      <c r="G64" s="542">
        <v>-1.9</v>
      </c>
      <c r="H64" s="538">
        <v>-0.7</v>
      </c>
    </row>
    <row r="65" spans="1:8" ht="14" customHeight="1" x14ac:dyDescent="0.2">
      <c r="A65" s="533">
        <v>63</v>
      </c>
      <c r="B65" s="534" t="s">
        <v>1013</v>
      </c>
      <c r="C65" s="535">
        <v>-1</v>
      </c>
      <c r="D65" s="535">
        <v>-1.5</v>
      </c>
      <c r="E65" s="535">
        <v>-2.5</v>
      </c>
      <c r="F65" s="535">
        <v>-2</v>
      </c>
      <c r="G65" s="541">
        <v>-1.9</v>
      </c>
      <c r="H65" s="535">
        <v>-0.7</v>
      </c>
    </row>
    <row r="66" spans="1:8" ht="14" customHeight="1" x14ac:dyDescent="0.2">
      <c r="A66" s="536">
        <v>64</v>
      </c>
      <c r="B66" s="537" t="s">
        <v>1014</v>
      </c>
      <c r="C66" s="538">
        <v>-0.9</v>
      </c>
      <c r="D66" s="538">
        <v>-1.5</v>
      </c>
      <c r="E66" s="538">
        <v>-2.5</v>
      </c>
      <c r="F66" s="538">
        <v>-2</v>
      </c>
      <c r="G66" s="542">
        <v>-1.9</v>
      </c>
      <c r="H66" s="538">
        <v>-0.7</v>
      </c>
    </row>
    <row r="67" spans="1:8" ht="14" customHeight="1" x14ac:dyDescent="0.2">
      <c r="A67" s="533">
        <v>65</v>
      </c>
      <c r="B67" s="534" t="s">
        <v>1015</v>
      </c>
      <c r="C67" s="535">
        <v>-0.9</v>
      </c>
      <c r="D67" s="535">
        <v>-1.5</v>
      </c>
      <c r="E67" s="535">
        <v>-2.5</v>
      </c>
      <c r="F67" s="535">
        <v>-2</v>
      </c>
      <c r="G67" s="541">
        <v>-1.9</v>
      </c>
      <c r="H67" s="535">
        <v>-0.7</v>
      </c>
    </row>
    <row r="68" spans="1:8" ht="14" customHeight="1" x14ac:dyDescent="0.2">
      <c r="A68" s="536">
        <v>66</v>
      </c>
      <c r="B68" s="537" t="s">
        <v>1016</v>
      </c>
      <c r="C68" s="538">
        <v>-0.9</v>
      </c>
      <c r="D68" s="538">
        <v>-1.5</v>
      </c>
      <c r="E68" s="538">
        <v>-2.5</v>
      </c>
      <c r="F68" s="538">
        <v>-2</v>
      </c>
      <c r="G68" s="542">
        <v>-1.9</v>
      </c>
      <c r="H68" s="538">
        <v>-0.7</v>
      </c>
    </row>
    <row r="69" spans="1:8" ht="14" customHeight="1" x14ac:dyDescent="0.2">
      <c r="A69" s="533">
        <v>67</v>
      </c>
      <c r="B69" s="534" t="s">
        <v>1017</v>
      </c>
      <c r="C69" s="535">
        <v>-0.9</v>
      </c>
      <c r="D69" s="535">
        <v>-1.5</v>
      </c>
      <c r="E69" s="535">
        <v>-2.5</v>
      </c>
      <c r="F69" s="535">
        <v>-2</v>
      </c>
      <c r="G69" s="541">
        <v>-1.9</v>
      </c>
      <c r="H69" s="535">
        <v>-0.7</v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8BC83-769E-0042-8728-3EF856A30885}">
  <dimension ref="A1:G68"/>
  <sheetViews>
    <sheetView zoomScale="125" workbookViewId="0">
      <pane ySplit="1" topLeftCell="A2" activePane="bottomLeft" state="frozen"/>
      <selection pane="bottomLeft" activeCell="B9" sqref="B9:H9"/>
    </sheetView>
  </sheetViews>
  <sheetFormatPr baseColWidth="10" defaultColWidth="8.83203125" defaultRowHeight="16" x14ac:dyDescent="0.2"/>
  <cols>
    <col min="1" max="1" width="7.33203125" style="206" customWidth="1"/>
    <col min="2" max="2" width="60" style="84" customWidth="1"/>
    <col min="3" max="3" width="30" style="84" customWidth="1"/>
    <col min="4" max="4" width="12" style="84" customWidth="1"/>
    <col min="5" max="5" width="8.83203125" style="84"/>
    <col min="6" max="6" width="26.1640625" style="84" customWidth="1"/>
    <col min="7" max="7" width="29.6640625" style="67" customWidth="1"/>
    <col min="8" max="8" width="23.5" style="84" customWidth="1"/>
    <col min="9" max="16384" width="8.83203125" style="84"/>
  </cols>
  <sheetData>
    <row r="1" spans="1:7" ht="30" customHeight="1" x14ac:dyDescent="0.2">
      <c r="A1" s="274" t="s">
        <v>726</v>
      </c>
      <c r="B1" s="224" t="s">
        <v>789</v>
      </c>
      <c r="C1" s="224" t="s">
        <v>788</v>
      </c>
      <c r="D1" s="224" t="s">
        <v>728</v>
      </c>
    </row>
    <row r="2" spans="1:7" ht="15" x14ac:dyDescent="0.2">
      <c r="A2" s="275">
        <v>1</v>
      </c>
      <c r="B2" s="226" t="s">
        <v>729</v>
      </c>
      <c r="C2" s="225" t="s">
        <v>730</v>
      </c>
      <c r="D2" s="227">
        <v>6</v>
      </c>
      <c r="F2" s="258" t="s">
        <v>727</v>
      </c>
      <c r="G2" s="259" t="s">
        <v>728</v>
      </c>
    </row>
    <row r="3" spans="1:7" ht="15" x14ac:dyDescent="0.2">
      <c r="A3" s="275">
        <v>2</v>
      </c>
      <c r="B3" s="226" t="s">
        <v>106</v>
      </c>
      <c r="C3" s="225" t="s">
        <v>730</v>
      </c>
      <c r="D3" s="227">
        <v>6</v>
      </c>
      <c r="F3" s="226" t="s">
        <v>730</v>
      </c>
      <c r="G3" s="260">
        <v>6</v>
      </c>
    </row>
    <row r="4" spans="1:7" ht="15" x14ac:dyDescent="0.2">
      <c r="A4" s="276">
        <v>3</v>
      </c>
      <c r="B4" s="229" t="s">
        <v>107</v>
      </c>
      <c r="C4" s="228" t="s">
        <v>731</v>
      </c>
      <c r="D4" s="230">
        <v>1.5</v>
      </c>
      <c r="F4" s="232" t="s">
        <v>733</v>
      </c>
      <c r="G4" s="261">
        <v>6</v>
      </c>
    </row>
    <row r="5" spans="1:7" ht="15" x14ac:dyDescent="0.2">
      <c r="A5" s="277">
        <v>4</v>
      </c>
      <c r="B5" s="232" t="s">
        <v>732</v>
      </c>
      <c r="C5" s="231" t="s">
        <v>733</v>
      </c>
      <c r="D5" s="233">
        <v>6</v>
      </c>
      <c r="F5" s="244" t="s">
        <v>751</v>
      </c>
      <c r="G5" s="262">
        <v>6</v>
      </c>
    </row>
    <row r="6" spans="1:7" ht="15" x14ac:dyDescent="0.2">
      <c r="A6" s="278">
        <v>5</v>
      </c>
      <c r="B6" s="235" t="s">
        <v>109</v>
      </c>
      <c r="C6" s="234" t="s">
        <v>734</v>
      </c>
      <c r="D6" s="236">
        <v>3</v>
      </c>
      <c r="F6" s="235" t="s">
        <v>734</v>
      </c>
      <c r="G6" s="263">
        <v>3</v>
      </c>
    </row>
    <row r="7" spans="1:7" ht="15" x14ac:dyDescent="0.2">
      <c r="A7" s="278">
        <v>6</v>
      </c>
      <c r="B7" s="235" t="s">
        <v>110</v>
      </c>
      <c r="C7" s="234" t="s">
        <v>734</v>
      </c>
      <c r="D7" s="236">
        <v>3</v>
      </c>
      <c r="F7" s="238" t="s">
        <v>343</v>
      </c>
      <c r="G7" s="264">
        <v>3</v>
      </c>
    </row>
    <row r="8" spans="1:7" ht="15" x14ac:dyDescent="0.2">
      <c r="A8" s="278">
        <v>7</v>
      </c>
      <c r="B8" s="235" t="s">
        <v>111</v>
      </c>
      <c r="C8" s="234" t="s">
        <v>734</v>
      </c>
      <c r="D8" s="236">
        <v>3</v>
      </c>
      <c r="F8" s="229" t="s">
        <v>731</v>
      </c>
      <c r="G8" s="265">
        <v>1.5</v>
      </c>
    </row>
    <row r="9" spans="1:7" ht="16" customHeight="1" x14ac:dyDescent="0.2">
      <c r="A9" s="278">
        <v>8</v>
      </c>
      <c r="B9" s="235" t="s">
        <v>112</v>
      </c>
      <c r="C9" s="234" t="s">
        <v>734</v>
      </c>
      <c r="D9" s="236">
        <v>3</v>
      </c>
      <c r="F9" s="253" t="s">
        <v>765</v>
      </c>
      <c r="G9" s="266">
        <v>1.5</v>
      </c>
    </row>
    <row r="10" spans="1:7" ht="15" x14ac:dyDescent="0.2">
      <c r="A10" s="278">
        <v>9</v>
      </c>
      <c r="B10" s="235" t="s">
        <v>113</v>
      </c>
      <c r="C10" s="234" t="s">
        <v>734</v>
      </c>
      <c r="D10" s="236">
        <v>3</v>
      </c>
      <c r="F10" s="250" t="s">
        <v>762</v>
      </c>
      <c r="G10" s="267">
        <v>2</v>
      </c>
    </row>
    <row r="11" spans="1:7" ht="15" customHeight="1" x14ac:dyDescent="0.2">
      <c r="A11" s="278">
        <v>10</v>
      </c>
      <c r="B11" s="235" t="s">
        <v>735</v>
      </c>
      <c r="C11" s="234" t="s">
        <v>734</v>
      </c>
      <c r="D11" s="236">
        <v>3</v>
      </c>
      <c r="F11" s="241" t="s">
        <v>749</v>
      </c>
      <c r="G11" s="268">
        <v>2</v>
      </c>
    </row>
    <row r="12" spans="1:7" ht="15" x14ac:dyDescent="0.2">
      <c r="A12" s="278">
        <v>11</v>
      </c>
      <c r="B12" s="235" t="s">
        <v>736</v>
      </c>
      <c r="C12" s="234" t="s">
        <v>734</v>
      </c>
      <c r="D12" s="236">
        <v>3</v>
      </c>
      <c r="F12" s="229" t="s">
        <v>754</v>
      </c>
      <c r="G12" s="265">
        <v>1</v>
      </c>
    </row>
    <row r="13" spans="1:7" ht="15" x14ac:dyDescent="0.2">
      <c r="A13" s="278">
        <v>12</v>
      </c>
      <c r="B13" s="235" t="s">
        <v>737</v>
      </c>
      <c r="C13" s="234" t="s">
        <v>734</v>
      </c>
      <c r="D13" s="236">
        <v>3</v>
      </c>
      <c r="F13" s="247" t="s">
        <v>755</v>
      </c>
      <c r="G13" s="269">
        <v>0.2</v>
      </c>
    </row>
    <row r="14" spans="1:7" ht="15" x14ac:dyDescent="0.2">
      <c r="A14" s="278">
        <v>13</v>
      </c>
      <c r="B14" s="235" t="s">
        <v>738</v>
      </c>
      <c r="C14" s="234" t="s">
        <v>734</v>
      </c>
      <c r="D14" s="236">
        <v>3</v>
      </c>
      <c r="F14" s="256" t="s">
        <v>352</v>
      </c>
      <c r="G14" s="270">
        <v>0.2</v>
      </c>
    </row>
    <row r="15" spans="1:7" ht="15" x14ac:dyDescent="0.2">
      <c r="A15" s="312">
        <v>14</v>
      </c>
      <c r="B15" s="313" t="s">
        <v>118</v>
      </c>
      <c r="C15" s="228" t="s">
        <v>731</v>
      </c>
      <c r="D15" s="230">
        <v>1.5</v>
      </c>
    </row>
    <row r="16" spans="1:7" ht="15" x14ac:dyDescent="0.2">
      <c r="A16" s="278">
        <v>15</v>
      </c>
      <c r="B16" s="235" t="s">
        <v>739</v>
      </c>
      <c r="C16" s="234" t="s">
        <v>734</v>
      </c>
      <c r="D16" s="236">
        <v>3</v>
      </c>
      <c r="F16" s="84" t="s">
        <v>790</v>
      </c>
    </row>
    <row r="17" spans="1:7" ht="15" x14ac:dyDescent="0.2">
      <c r="A17" s="278">
        <v>16</v>
      </c>
      <c r="B17" s="235" t="s">
        <v>740</v>
      </c>
      <c r="C17" s="234" t="s">
        <v>734</v>
      </c>
      <c r="D17" s="236">
        <v>3</v>
      </c>
      <c r="F17" s="273" t="s">
        <v>776</v>
      </c>
      <c r="G17" s="84"/>
    </row>
    <row r="18" spans="1:7" ht="15" x14ac:dyDescent="0.2">
      <c r="A18" s="278">
        <v>17</v>
      </c>
      <c r="B18" s="235" t="s">
        <v>741</v>
      </c>
      <c r="C18" s="234" t="s">
        <v>734</v>
      </c>
      <c r="D18" s="236">
        <v>3</v>
      </c>
      <c r="F18" s="273" t="s">
        <v>777</v>
      </c>
      <c r="G18" s="84"/>
    </row>
    <row r="19" spans="1:7" ht="15" x14ac:dyDescent="0.2">
      <c r="A19" s="278">
        <v>18</v>
      </c>
      <c r="B19" s="235" t="s">
        <v>742</v>
      </c>
      <c r="C19" s="234" t="s">
        <v>734</v>
      </c>
      <c r="D19" s="236">
        <v>3</v>
      </c>
      <c r="F19" s="273" t="s">
        <v>778</v>
      </c>
      <c r="G19" s="84"/>
    </row>
    <row r="20" spans="1:7" ht="15" x14ac:dyDescent="0.2">
      <c r="A20" s="278">
        <v>19</v>
      </c>
      <c r="B20" s="235" t="s">
        <v>123</v>
      </c>
      <c r="C20" s="234" t="s">
        <v>734</v>
      </c>
      <c r="D20" s="236">
        <v>3</v>
      </c>
      <c r="F20" s="273" t="s">
        <v>779</v>
      </c>
      <c r="G20" s="84"/>
    </row>
    <row r="21" spans="1:7" ht="15" x14ac:dyDescent="0.2">
      <c r="A21" s="278">
        <v>20</v>
      </c>
      <c r="B21" s="235" t="s">
        <v>743</v>
      </c>
      <c r="C21" s="234" t="s">
        <v>734</v>
      </c>
      <c r="D21" s="236">
        <v>3</v>
      </c>
      <c r="F21" s="273" t="s">
        <v>780</v>
      </c>
      <c r="G21" s="84"/>
    </row>
    <row r="22" spans="1:7" ht="15" x14ac:dyDescent="0.2">
      <c r="A22" s="278">
        <v>21</v>
      </c>
      <c r="B22" s="235" t="s">
        <v>744</v>
      </c>
      <c r="C22" s="234" t="s">
        <v>734</v>
      </c>
      <c r="D22" s="236">
        <v>3</v>
      </c>
      <c r="F22" s="273" t="s">
        <v>781</v>
      </c>
      <c r="G22" s="84"/>
    </row>
    <row r="23" spans="1:7" ht="15" x14ac:dyDescent="0.2">
      <c r="A23" s="278">
        <v>22</v>
      </c>
      <c r="B23" s="235" t="s">
        <v>126</v>
      </c>
      <c r="C23" s="234" t="s">
        <v>734</v>
      </c>
      <c r="D23" s="236">
        <v>3</v>
      </c>
      <c r="F23" s="273" t="s">
        <v>782</v>
      </c>
      <c r="G23" s="84"/>
    </row>
    <row r="24" spans="1:7" ht="15" x14ac:dyDescent="0.2">
      <c r="A24" s="278">
        <v>23</v>
      </c>
      <c r="B24" s="235" t="s">
        <v>745</v>
      </c>
      <c r="C24" s="234" t="s">
        <v>734</v>
      </c>
      <c r="D24" s="236">
        <v>3</v>
      </c>
      <c r="F24" s="273" t="s">
        <v>783</v>
      </c>
      <c r="G24" s="84"/>
    </row>
    <row r="25" spans="1:7" ht="15" x14ac:dyDescent="0.2">
      <c r="A25" s="278">
        <v>24</v>
      </c>
      <c r="B25" s="235" t="s">
        <v>746</v>
      </c>
      <c r="C25" s="234" t="s">
        <v>734</v>
      </c>
      <c r="D25" s="236">
        <v>3</v>
      </c>
      <c r="F25" s="273" t="s">
        <v>784</v>
      </c>
      <c r="G25" s="84"/>
    </row>
    <row r="26" spans="1:7" ht="15" x14ac:dyDescent="0.2">
      <c r="A26" s="278">
        <v>25</v>
      </c>
      <c r="B26" s="235" t="s">
        <v>129</v>
      </c>
      <c r="C26" s="234" t="s">
        <v>734</v>
      </c>
      <c r="D26" s="236">
        <v>3</v>
      </c>
      <c r="F26" s="273" t="s">
        <v>785</v>
      </c>
      <c r="G26" s="84"/>
    </row>
    <row r="27" spans="1:7" ht="15" x14ac:dyDescent="0.2">
      <c r="A27" s="278">
        <v>26</v>
      </c>
      <c r="B27" s="235" t="s">
        <v>130</v>
      </c>
      <c r="C27" s="234" t="s">
        <v>734</v>
      </c>
      <c r="D27" s="236">
        <v>3</v>
      </c>
      <c r="F27" s="273" t="s">
        <v>786</v>
      </c>
      <c r="G27" s="84"/>
    </row>
    <row r="28" spans="1:7" ht="15" x14ac:dyDescent="0.2">
      <c r="A28" s="278">
        <v>27</v>
      </c>
      <c r="B28" s="235" t="s">
        <v>131</v>
      </c>
      <c r="C28" s="234" t="s">
        <v>734</v>
      </c>
      <c r="D28" s="236">
        <v>3</v>
      </c>
      <c r="F28" s="273" t="s">
        <v>787</v>
      </c>
      <c r="G28" s="84"/>
    </row>
    <row r="29" spans="1:7" ht="15" x14ac:dyDescent="0.2">
      <c r="A29" s="278">
        <v>28</v>
      </c>
      <c r="B29" s="235" t="s">
        <v>747</v>
      </c>
      <c r="C29" s="234" t="s">
        <v>734</v>
      </c>
      <c r="D29" s="236">
        <v>3</v>
      </c>
    </row>
    <row r="30" spans="1:7" ht="15" x14ac:dyDescent="0.2">
      <c r="A30" s="276">
        <v>29</v>
      </c>
      <c r="B30" s="229" t="s">
        <v>133</v>
      </c>
      <c r="C30" s="228" t="s">
        <v>731</v>
      </c>
      <c r="D30" s="230">
        <v>1.5</v>
      </c>
      <c r="F30" s="271"/>
      <c r="G30" s="271"/>
    </row>
    <row r="31" spans="1:7" ht="15" x14ac:dyDescent="0.2">
      <c r="A31" s="276">
        <v>30</v>
      </c>
      <c r="B31" s="229" t="s">
        <v>748</v>
      </c>
      <c r="C31" s="228" t="s">
        <v>731</v>
      </c>
      <c r="D31" s="230">
        <v>1.5</v>
      </c>
      <c r="F31" s="271"/>
      <c r="G31" s="271"/>
    </row>
    <row r="32" spans="1:7" ht="15" x14ac:dyDescent="0.2">
      <c r="A32" s="279">
        <v>31</v>
      </c>
      <c r="B32" s="238" t="s">
        <v>343</v>
      </c>
      <c r="C32" s="237" t="s">
        <v>343</v>
      </c>
      <c r="D32" s="239">
        <v>3</v>
      </c>
      <c r="F32" s="271"/>
      <c r="G32" s="271"/>
    </row>
    <row r="33" spans="1:7" x14ac:dyDescent="0.2">
      <c r="A33" s="280">
        <v>32</v>
      </c>
      <c r="B33" s="241" t="s">
        <v>344</v>
      </c>
      <c r="C33" s="240" t="s">
        <v>749</v>
      </c>
      <c r="D33" s="242">
        <v>2</v>
      </c>
      <c r="F33" s="272"/>
      <c r="G33"/>
    </row>
    <row r="34" spans="1:7" ht="15" x14ac:dyDescent="0.2">
      <c r="A34" s="281">
        <v>33</v>
      </c>
      <c r="B34" s="244" t="s">
        <v>750</v>
      </c>
      <c r="C34" s="243" t="s">
        <v>751</v>
      </c>
      <c r="D34" s="245">
        <v>6</v>
      </c>
    </row>
    <row r="35" spans="1:7" ht="15" x14ac:dyDescent="0.2">
      <c r="A35" s="281">
        <v>34</v>
      </c>
      <c r="B35" s="244" t="s">
        <v>752</v>
      </c>
      <c r="C35" s="243" t="s">
        <v>751</v>
      </c>
      <c r="D35" s="245">
        <v>6</v>
      </c>
    </row>
    <row r="36" spans="1:7" ht="15" x14ac:dyDescent="0.2">
      <c r="A36" s="276">
        <v>35</v>
      </c>
      <c r="B36" s="229" t="s">
        <v>753</v>
      </c>
      <c r="C36" s="228" t="s">
        <v>754</v>
      </c>
      <c r="D36" s="230">
        <v>1</v>
      </c>
    </row>
    <row r="37" spans="1:7" ht="15" x14ac:dyDescent="0.2">
      <c r="A37" s="282">
        <v>36</v>
      </c>
      <c r="B37" s="247" t="s">
        <v>140</v>
      </c>
      <c r="C37" s="246" t="s">
        <v>755</v>
      </c>
      <c r="D37" s="248">
        <v>0.2</v>
      </c>
    </row>
    <row r="38" spans="1:7" ht="15" x14ac:dyDescent="0.2">
      <c r="A38" s="280">
        <v>37</v>
      </c>
      <c r="B38" s="241" t="s">
        <v>756</v>
      </c>
      <c r="C38" s="240" t="s">
        <v>749</v>
      </c>
      <c r="D38" s="242">
        <v>2</v>
      </c>
    </row>
    <row r="39" spans="1:7" ht="15" x14ac:dyDescent="0.2">
      <c r="A39" s="282">
        <v>38</v>
      </c>
      <c r="B39" s="247" t="s">
        <v>757</v>
      </c>
      <c r="C39" s="246" t="s">
        <v>755</v>
      </c>
      <c r="D39" s="248">
        <v>0.2</v>
      </c>
    </row>
    <row r="40" spans="1:7" ht="15" x14ac:dyDescent="0.2">
      <c r="A40" s="282">
        <v>39</v>
      </c>
      <c r="B40" s="247" t="s">
        <v>758</v>
      </c>
      <c r="C40" s="246" t="s">
        <v>755</v>
      </c>
      <c r="D40" s="248">
        <v>0.2</v>
      </c>
    </row>
    <row r="41" spans="1:7" ht="15" x14ac:dyDescent="0.2">
      <c r="A41" s="280">
        <v>40</v>
      </c>
      <c r="B41" s="241" t="s">
        <v>759</v>
      </c>
      <c r="C41" s="240" t="s">
        <v>749</v>
      </c>
      <c r="D41" s="242">
        <v>2</v>
      </c>
    </row>
    <row r="42" spans="1:7" ht="15" x14ac:dyDescent="0.2">
      <c r="A42" s="280">
        <v>41</v>
      </c>
      <c r="B42" s="241" t="s">
        <v>760</v>
      </c>
      <c r="C42" s="240" t="s">
        <v>749</v>
      </c>
      <c r="D42" s="242">
        <v>2</v>
      </c>
    </row>
    <row r="43" spans="1:7" ht="15" x14ac:dyDescent="0.2">
      <c r="A43" s="280">
        <v>42</v>
      </c>
      <c r="B43" s="241" t="s">
        <v>761</v>
      </c>
      <c r="C43" s="240" t="s">
        <v>749</v>
      </c>
      <c r="D43" s="242">
        <v>2</v>
      </c>
    </row>
    <row r="44" spans="1:7" ht="15" x14ac:dyDescent="0.2">
      <c r="A44" s="283">
        <v>43</v>
      </c>
      <c r="B44" s="250" t="s">
        <v>147</v>
      </c>
      <c r="C44" s="249" t="s">
        <v>762</v>
      </c>
      <c r="D44" s="251">
        <v>2</v>
      </c>
    </row>
    <row r="45" spans="1:7" ht="15" x14ac:dyDescent="0.2">
      <c r="A45" s="280">
        <v>44</v>
      </c>
      <c r="B45" s="241" t="s">
        <v>148</v>
      </c>
      <c r="C45" s="240" t="s">
        <v>749</v>
      </c>
      <c r="D45" s="242">
        <v>2</v>
      </c>
    </row>
    <row r="46" spans="1:7" ht="15" x14ac:dyDescent="0.2">
      <c r="A46" s="280">
        <v>45</v>
      </c>
      <c r="B46" s="241" t="s">
        <v>763</v>
      </c>
      <c r="C46" s="240" t="s">
        <v>749</v>
      </c>
      <c r="D46" s="242">
        <v>2</v>
      </c>
    </row>
    <row r="47" spans="1:7" ht="15" x14ac:dyDescent="0.2">
      <c r="A47" s="280">
        <v>46</v>
      </c>
      <c r="B47" s="241" t="s">
        <v>764</v>
      </c>
      <c r="C47" s="240" t="s">
        <v>749</v>
      </c>
      <c r="D47" s="242">
        <v>2</v>
      </c>
    </row>
    <row r="48" spans="1:7" ht="15" x14ac:dyDescent="0.2">
      <c r="A48" s="280">
        <v>47</v>
      </c>
      <c r="B48" s="241" t="s">
        <v>151</v>
      </c>
      <c r="C48" s="240" t="s">
        <v>749</v>
      </c>
      <c r="D48" s="242">
        <v>2</v>
      </c>
    </row>
    <row r="49" spans="1:4" ht="15" x14ac:dyDescent="0.2">
      <c r="A49" s="280">
        <v>48</v>
      </c>
      <c r="B49" s="241" t="s">
        <v>152</v>
      </c>
      <c r="C49" s="240" t="s">
        <v>749</v>
      </c>
      <c r="D49" s="242">
        <v>2</v>
      </c>
    </row>
    <row r="50" spans="1:4" ht="15" x14ac:dyDescent="0.2">
      <c r="A50" s="280">
        <v>49</v>
      </c>
      <c r="B50" s="241" t="s">
        <v>153</v>
      </c>
      <c r="C50" s="240" t="s">
        <v>749</v>
      </c>
      <c r="D50" s="242">
        <v>2</v>
      </c>
    </row>
    <row r="51" spans="1:4" ht="15" x14ac:dyDescent="0.2">
      <c r="A51" s="284">
        <v>50</v>
      </c>
      <c r="B51" s="253" t="s">
        <v>154</v>
      </c>
      <c r="C51" s="252" t="s">
        <v>765</v>
      </c>
      <c r="D51" s="254">
        <v>1.5</v>
      </c>
    </row>
    <row r="52" spans="1:4" ht="15" x14ac:dyDescent="0.2">
      <c r="A52" s="283">
        <v>51</v>
      </c>
      <c r="B52" s="250" t="s">
        <v>155</v>
      </c>
      <c r="C52" s="249" t="s">
        <v>762</v>
      </c>
      <c r="D52" s="251">
        <v>2</v>
      </c>
    </row>
    <row r="53" spans="1:4" ht="15" x14ac:dyDescent="0.2">
      <c r="A53" s="280">
        <v>52</v>
      </c>
      <c r="B53" s="241" t="s">
        <v>156</v>
      </c>
      <c r="C53" s="240" t="s">
        <v>749</v>
      </c>
      <c r="D53" s="242">
        <v>2</v>
      </c>
    </row>
    <row r="54" spans="1:4" ht="15" x14ac:dyDescent="0.2">
      <c r="A54" s="276">
        <v>53</v>
      </c>
      <c r="B54" s="229" t="s">
        <v>766</v>
      </c>
      <c r="C54" s="228" t="s">
        <v>754</v>
      </c>
      <c r="D54" s="230">
        <v>1</v>
      </c>
    </row>
    <row r="55" spans="1:4" ht="15" x14ac:dyDescent="0.2">
      <c r="A55" s="280">
        <v>54</v>
      </c>
      <c r="B55" s="241" t="s">
        <v>158</v>
      </c>
      <c r="C55" s="240" t="s">
        <v>749</v>
      </c>
      <c r="D55" s="242">
        <v>2</v>
      </c>
    </row>
    <row r="56" spans="1:4" ht="15" x14ac:dyDescent="0.2">
      <c r="A56" s="280">
        <v>55</v>
      </c>
      <c r="B56" s="241" t="s">
        <v>159</v>
      </c>
      <c r="C56" s="240" t="s">
        <v>749</v>
      </c>
      <c r="D56" s="242">
        <v>2</v>
      </c>
    </row>
    <row r="57" spans="1:4" ht="15" x14ac:dyDescent="0.2">
      <c r="A57" s="280">
        <v>56</v>
      </c>
      <c r="B57" s="241" t="s">
        <v>767</v>
      </c>
      <c r="C57" s="240" t="s">
        <v>749</v>
      </c>
      <c r="D57" s="242">
        <v>2</v>
      </c>
    </row>
    <row r="58" spans="1:4" ht="15" x14ac:dyDescent="0.2">
      <c r="A58" s="280">
        <v>57</v>
      </c>
      <c r="B58" s="241" t="s">
        <v>768</v>
      </c>
      <c r="C58" s="240" t="s">
        <v>749</v>
      </c>
      <c r="D58" s="242">
        <v>2</v>
      </c>
    </row>
    <row r="59" spans="1:4" ht="15" x14ac:dyDescent="0.2">
      <c r="A59" s="285">
        <v>58</v>
      </c>
      <c r="B59" s="256" t="s">
        <v>352</v>
      </c>
      <c r="C59" s="255" t="s">
        <v>352</v>
      </c>
      <c r="D59" s="257">
        <v>0.2</v>
      </c>
    </row>
    <row r="60" spans="1:4" ht="15" x14ac:dyDescent="0.2">
      <c r="A60" s="284">
        <v>59</v>
      </c>
      <c r="B60" s="253" t="s">
        <v>769</v>
      </c>
      <c r="C60" s="252" t="s">
        <v>765</v>
      </c>
      <c r="D60" s="254">
        <v>1.5</v>
      </c>
    </row>
    <row r="61" spans="1:4" ht="15" x14ac:dyDescent="0.2">
      <c r="A61" s="280">
        <v>60</v>
      </c>
      <c r="B61" s="241" t="s">
        <v>770</v>
      </c>
      <c r="C61" s="240" t="s">
        <v>749</v>
      </c>
      <c r="D61" s="242">
        <v>2</v>
      </c>
    </row>
    <row r="62" spans="1:4" ht="15" x14ac:dyDescent="0.2">
      <c r="A62" s="280">
        <v>61</v>
      </c>
      <c r="B62" s="241" t="s">
        <v>771</v>
      </c>
      <c r="C62" s="240" t="s">
        <v>749</v>
      </c>
      <c r="D62" s="242">
        <v>2</v>
      </c>
    </row>
    <row r="63" spans="1:4" ht="15" x14ac:dyDescent="0.2">
      <c r="A63" s="280">
        <v>62</v>
      </c>
      <c r="B63" s="241" t="s">
        <v>166</v>
      </c>
      <c r="C63" s="240" t="s">
        <v>749</v>
      </c>
      <c r="D63" s="242">
        <v>2</v>
      </c>
    </row>
    <row r="64" spans="1:4" ht="15" x14ac:dyDescent="0.2">
      <c r="A64" s="280">
        <v>63</v>
      </c>
      <c r="B64" s="241" t="s">
        <v>772</v>
      </c>
      <c r="C64" s="240" t="s">
        <v>749</v>
      </c>
      <c r="D64" s="242">
        <v>2</v>
      </c>
    </row>
    <row r="65" spans="1:4" ht="15" x14ac:dyDescent="0.2">
      <c r="A65" s="280">
        <v>64</v>
      </c>
      <c r="B65" s="241" t="s">
        <v>773</v>
      </c>
      <c r="C65" s="240" t="s">
        <v>749</v>
      </c>
      <c r="D65" s="242">
        <v>2</v>
      </c>
    </row>
    <row r="66" spans="1:4" ht="15" x14ac:dyDescent="0.2">
      <c r="A66" s="280">
        <v>65</v>
      </c>
      <c r="B66" s="241" t="s">
        <v>774</v>
      </c>
      <c r="C66" s="240" t="s">
        <v>749</v>
      </c>
      <c r="D66" s="242">
        <v>2</v>
      </c>
    </row>
    <row r="67" spans="1:4" ht="15" x14ac:dyDescent="0.2">
      <c r="A67" s="280">
        <v>66</v>
      </c>
      <c r="B67" s="241" t="s">
        <v>170</v>
      </c>
      <c r="C67" s="240" t="s">
        <v>749</v>
      </c>
      <c r="D67" s="242">
        <v>2</v>
      </c>
    </row>
    <row r="68" spans="1:4" ht="15" x14ac:dyDescent="0.2">
      <c r="A68" s="280">
        <v>67</v>
      </c>
      <c r="B68" s="241" t="s">
        <v>775</v>
      </c>
      <c r="C68" s="240" t="s">
        <v>749</v>
      </c>
      <c r="D68" s="242">
        <v>2</v>
      </c>
    </row>
  </sheetData>
  <autoFilter ref="B1:D68" xr:uid="{00000000-0009-0000-0000-000000000000}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FEB23-7053-4342-9D23-F4D53C31D7B2}">
  <dimension ref="A1:H168"/>
  <sheetViews>
    <sheetView zoomScale="170" workbookViewId="0">
      <selection activeCell="E23" sqref="E23"/>
    </sheetView>
  </sheetViews>
  <sheetFormatPr baseColWidth="10" defaultColWidth="8.83203125" defaultRowHeight="15" x14ac:dyDescent="0.2"/>
  <cols>
    <col min="1" max="1" width="21.5" style="84" customWidth="1"/>
    <col min="2" max="2" width="25.83203125" style="84" customWidth="1"/>
    <col min="3" max="3" width="35.6640625" style="84" customWidth="1"/>
    <col min="4" max="4" width="11.83203125" style="84" customWidth="1"/>
    <col min="5" max="5" width="50" style="84" customWidth="1"/>
    <col min="6" max="6" width="43.83203125" style="84" customWidth="1"/>
    <col min="7" max="7" width="24.1640625" style="84" customWidth="1"/>
    <col min="8" max="8" width="18.6640625" style="84" customWidth="1"/>
    <col min="9" max="16384" width="8.83203125" style="84"/>
  </cols>
  <sheetData>
    <row r="1" spans="1:5" ht="20" customHeight="1" x14ac:dyDescent="0.2">
      <c r="A1" s="613" t="s">
        <v>1021</v>
      </c>
      <c r="B1" s="614"/>
      <c r="C1" s="614"/>
      <c r="D1" s="614"/>
      <c r="E1" s="614"/>
    </row>
    <row r="3" spans="1:5" ht="16" customHeight="1" x14ac:dyDescent="0.2">
      <c r="A3" s="442" t="s">
        <v>1022</v>
      </c>
      <c r="B3" s="443" t="s">
        <v>1023</v>
      </c>
      <c r="C3" s="480" t="s">
        <v>1024</v>
      </c>
    </row>
    <row r="4" spans="1:5" ht="16" customHeight="1" x14ac:dyDescent="0.2">
      <c r="A4" s="442" t="s">
        <v>1025</v>
      </c>
      <c r="B4" s="443" t="s">
        <v>1026</v>
      </c>
      <c r="C4" s="480" t="s">
        <v>1024</v>
      </c>
    </row>
    <row r="5" spans="1:5" ht="26" customHeight="1" x14ac:dyDescent="0.2">
      <c r="A5" s="442" t="s">
        <v>1027</v>
      </c>
      <c r="B5" s="443" t="s">
        <v>1028</v>
      </c>
      <c r="C5" s="480" t="s">
        <v>1029</v>
      </c>
    </row>
    <row r="6" spans="1:5" ht="16" customHeight="1" x14ac:dyDescent="0.2">
      <c r="A6" s="442" t="s">
        <v>1030</v>
      </c>
      <c r="B6" s="443" t="s">
        <v>1031</v>
      </c>
      <c r="C6" s="480"/>
    </row>
    <row r="7" spans="1:5" ht="27" customHeight="1" x14ac:dyDescent="0.2">
      <c r="A7" s="442" t="s">
        <v>1032</v>
      </c>
      <c r="B7" s="443" t="s">
        <v>1033</v>
      </c>
      <c r="C7" s="480" t="s">
        <v>1034</v>
      </c>
    </row>
    <row r="9" spans="1:5" ht="28" customHeight="1" x14ac:dyDescent="0.2">
      <c r="A9" s="444" t="s">
        <v>907</v>
      </c>
      <c r="B9" s="444" t="s">
        <v>1035</v>
      </c>
      <c r="C9" s="444" t="s">
        <v>1036</v>
      </c>
      <c r="D9" s="444" t="s">
        <v>1037</v>
      </c>
      <c r="E9" s="444" t="s">
        <v>1038</v>
      </c>
    </row>
    <row r="10" spans="1:5" ht="16" customHeight="1" x14ac:dyDescent="0.2">
      <c r="A10" s="338" t="s">
        <v>915</v>
      </c>
      <c r="B10" s="445">
        <v>0.871</v>
      </c>
      <c r="C10" s="340">
        <v>0.5491702386393198</v>
      </c>
      <c r="D10" s="446">
        <v>-0.32182976136068009</v>
      </c>
      <c r="E10" s="342" t="s">
        <v>1039</v>
      </c>
    </row>
    <row r="11" spans="1:5" ht="16" customHeight="1" x14ac:dyDescent="0.2">
      <c r="A11" s="343" t="s">
        <v>917</v>
      </c>
      <c r="B11" s="447">
        <v>0.79400000000000004</v>
      </c>
      <c r="C11" s="345">
        <v>0.50062131972401835</v>
      </c>
      <c r="D11" s="448">
        <v>-0.29337868027598168</v>
      </c>
      <c r="E11" s="347" t="s">
        <v>1040</v>
      </c>
    </row>
    <row r="12" spans="1:5" ht="16" customHeight="1" x14ac:dyDescent="0.2">
      <c r="A12" s="348" t="s">
        <v>919</v>
      </c>
      <c r="B12" s="449">
        <v>0.76900000000000002</v>
      </c>
      <c r="C12" s="350">
        <v>0.48485868371255691</v>
      </c>
      <c r="D12" s="450">
        <v>-0.28414131628744321</v>
      </c>
      <c r="E12" s="351" t="s">
        <v>1041</v>
      </c>
    </row>
    <row r="13" spans="1:5" ht="16" customHeight="1" x14ac:dyDescent="0.2">
      <c r="A13" s="352" t="s">
        <v>921</v>
      </c>
      <c r="B13" s="451">
        <v>0.79400000000000004</v>
      </c>
      <c r="C13" s="354">
        <v>0.50062131972401835</v>
      </c>
      <c r="D13" s="452">
        <v>-0.29337868027598168</v>
      </c>
      <c r="E13" s="356" t="s">
        <v>1042</v>
      </c>
    </row>
    <row r="14" spans="1:5" ht="16" customHeight="1" x14ac:dyDescent="0.2">
      <c r="A14" s="357" t="s">
        <v>923</v>
      </c>
      <c r="B14" s="453">
        <v>0.61399999999999999</v>
      </c>
      <c r="C14" s="360">
        <v>0.38713034044149519</v>
      </c>
      <c r="D14" s="454">
        <v>-0.22686965955850469</v>
      </c>
      <c r="E14" s="361" t="s">
        <v>1043</v>
      </c>
    </row>
    <row r="15" spans="1:5" ht="16" customHeight="1" x14ac:dyDescent="0.2">
      <c r="A15" s="362" t="s">
        <v>925</v>
      </c>
      <c r="B15" s="455">
        <v>0.74299999999999999</v>
      </c>
      <c r="C15" s="364">
        <v>0.46846554226063669</v>
      </c>
      <c r="D15" s="456">
        <v>-0.27453445773936319</v>
      </c>
      <c r="E15" s="365" t="s">
        <v>1044</v>
      </c>
    </row>
    <row r="16" spans="1:5" ht="16" customHeight="1" x14ac:dyDescent="0.2">
      <c r="A16" s="366" t="s">
        <v>927</v>
      </c>
      <c r="B16" s="457">
        <v>0.74299999999999999</v>
      </c>
      <c r="C16" s="368">
        <v>0.46846554226063669</v>
      </c>
      <c r="D16" s="458">
        <v>-0.27453445773936319</v>
      </c>
      <c r="E16" s="369" t="s">
        <v>1045</v>
      </c>
    </row>
    <row r="17" spans="1:6" ht="16" customHeight="1" x14ac:dyDescent="0.2">
      <c r="A17" s="370" t="s">
        <v>929</v>
      </c>
      <c r="B17" s="459">
        <v>0.79400000000000004</v>
      </c>
      <c r="C17" s="372">
        <v>0.50062131972401835</v>
      </c>
      <c r="D17" s="460">
        <v>-0.29337868027598168</v>
      </c>
      <c r="E17" s="374" t="s">
        <v>1046</v>
      </c>
    </row>
    <row r="18" spans="1:6" ht="16" customHeight="1" x14ac:dyDescent="0.2">
      <c r="A18" s="375" t="s">
        <v>931</v>
      </c>
      <c r="B18" s="461">
        <v>0.74299999999999999</v>
      </c>
      <c r="C18" s="377">
        <v>0.46846554226063669</v>
      </c>
      <c r="D18" s="462">
        <v>-0.27453445773936319</v>
      </c>
      <c r="E18" s="378" t="s">
        <v>1047</v>
      </c>
    </row>
    <row r="19" spans="1:6" ht="16" customHeight="1" x14ac:dyDescent="0.2">
      <c r="A19" s="379" t="s">
        <v>734</v>
      </c>
      <c r="B19" s="463">
        <v>0.70400000000000007</v>
      </c>
      <c r="C19" s="381">
        <v>0.44387583008275677</v>
      </c>
      <c r="D19" s="464">
        <v>-0.26012416991724319</v>
      </c>
      <c r="E19" s="382" t="s">
        <v>1048</v>
      </c>
    </row>
    <row r="20" spans="1:6" ht="16" customHeight="1" x14ac:dyDescent="0.2">
      <c r="A20" s="383" t="s">
        <v>934</v>
      </c>
      <c r="B20" s="465">
        <v>0.70400000000000007</v>
      </c>
      <c r="C20" s="385">
        <v>0.44387583008275677</v>
      </c>
      <c r="D20" s="466">
        <v>-0.26012416991724319</v>
      </c>
      <c r="E20" s="386" t="s">
        <v>1049</v>
      </c>
    </row>
    <row r="21" spans="1:6" ht="16" customHeight="1" x14ac:dyDescent="0.2">
      <c r="A21" s="387" t="s">
        <v>936</v>
      </c>
      <c r="B21" s="467">
        <v>0.74299999999999999</v>
      </c>
      <c r="C21" s="389">
        <v>0.46846554226063669</v>
      </c>
      <c r="D21" s="468">
        <v>-0.27453445773936319</v>
      </c>
      <c r="E21" s="390" t="s">
        <v>1050</v>
      </c>
    </row>
    <row r="24" spans="1:6" x14ac:dyDescent="0.2">
      <c r="A24" s="615" t="s">
        <v>1091</v>
      </c>
      <c r="B24" s="616"/>
      <c r="C24" s="616"/>
      <c r="D24" s="616"/>
      <c r="E24" s="616"/>
      <c r="F24" s="616"/>
    </row>
    <row r="25" spans="1:6" x14ac:dyDescent="0.2">
      <c r="A25" s="444" t="s">
        <v>1092</v>
      </c>
      <c r="B25" s="444" t="s">
        <v>940</v>
      </c>
      <c r="C25" s="444" t="s">
        <v>941</v>
      </c>
      <c r="D25" s="444" t="s">
        <v>1051</v>
      </c>
      <c r="E25" s="444" t="s">
        <v>1052</v>
      </c>
      <c r="F25" s="444" t="s">
        <v>947</v>
      </c>
    </row>
    <row r="26" spans="1:6" ht="17" customHeight="1" x14ac:dyDescent="0.2">
      <c r="A26" s="391">
        <v>1</v>
      </c>
      <c r="B26" s="392" t="s">
        <v>948</v>
      </c>
      <c r="C26" s="393" t="s">
        <v>915</v>
      </c>
      <c r="D26" s="469">
        <v>0.871</v>
      </c>
      <c r="E26" s="394">
        <v>0.5491702386393198</v>
      </c>
      <c r="F26" s="342" t="s">
        <v>1053</v>
      </c>
    </row>
    <row r="27" spans="1:6" ht="17" customHeight="1" x14ac:dyDescent="0.2">
      <c r="A27" s="396">
        <v>2</v>
      </c>
      <c r="B27" s="397" t="s">
        <v>106</v>
      </c>
      <c r="C27" s="398" t="s">
        <v>919</v>
      </c>
      <c r="D27" s="470">
        <v>0.76900000000000002</v>
      </c>
      <c r="E27" s="400">
        <v>0.48485868371255691</v>
      </c>
      <c r="F27" s="351" t="s">
        <v>950</v>
      </c>
    </row>
    <row r="28" spans="1:6" ht="17" customHeight="1" x14ac:dyDescent="0.2">
      <c r="A28" s="401">
        <v>3</v>
      </c>
      <c r="B28" s="402" t="s">
        <v>951</v>
      </c>
      <c r="C28" s="402" t="s">
        <v>927</v>
      </c>
      <c r="D28" s="471">
        <v>0.74299999999999999</v>
      </c>
      <c r="E28" s="404">
        <v>0.46846554226063669</v>
      </c>
      <c r="F28" s="369" t="s">
        <v>1054</v>
      </c>
    </row>
    <row r="29" spans="1:6" ht="17" customHeight="1" x14ac:dyDescent="0.2">
      <c r="A29" s="405">
        <v>4</v>
      </c>
      <c r="B29" s="406" t="s">
        <v>953</v>
      </c>
      <c r="C29" s="406" t="s">
        <v>734</v>
      </c>
      <c r="D29" s="472">
        <v>0.70400000000000007</v>
      </c>
      <c r="E29" s="407">
        <v>0.44387583008275677</v>
      </c>
      <c r="F29" s="382" t="s">
        <v>1055</v>
      </c>
    </row>
    <row r="30" spans="1:6" ht="17" customHeight="1" x14ac:dyDescent="0.2">
      <c r="A30" s="408">
        <v>5</v>
      </c>
      <c r="B30" s="409" t="s">
        <v>109</v>
      </c>
      <c r="C30" s="410" t="s">
        <v>921</v>
      </c>
      <c r="D30" s="473">
        <v>0.79400000000000004</v>
      </c>
      <c r="E30" s="411">
        <v>0.50062131972401835</v>
      </c>
      <c r="F30" s="356" t="s">
        <v>1056</v>
      </c>
    </row>
    <row r="31" spans="1:6" ht="17" customHeight="1" x14ac:dyDescent="0.2">
      <c r="A31" s="413">
        <v>6</v>
      </c>
      <c r="B31" s="414" t="s">
        <v>110</v>
      </c>
      <c r="C31" s="414" t="s">
        <v>923</v>
      </c>
      <c r="D31" s="474">
        <v>0.61399999999999999</v>
      </c>
      <c r="E31" s="416">
        <v>0.38713034044149519</v>
      </c>
      <c r="F31" s="361" t="s">
        <v>1057</v>
      </c>
    </row>
    <row r="32" spans="1:6" ht="17" customHeight="1" x14ac:dyDescent="0.2">
      <c r="A32" s="413">
        <v>7</v>
      </c>
      <c r="B32" s="414" t="s">
        <v>957</v>
      </c>
      <c r="C32" s="414" t="s">
        <v>923</v>
      </c>
      <c r="D32" s="474">
        <v>0.61399999999999999</v>
      </c>
      <c r="E32" s="416">
        <v>0.38713034044149519</v>
      </c>
      <c r="F32" s="361" t="s">
        <v>1058</v>
      </c>
    </row>
    <row r="33" spans="1:6" ht="17" customHeight="1" x14ac:dyDescent="0.2">
      <c r="A33" s="417">
        <v>8</v>
      </c>
      <c r="B33" s="418" t="s">
        <v>112</v>
      </c>
      <c r="C33" s="419" t="s">
        <v>925</v>
      </c>
      <c r="D33" s="475">
        <v>0.74299999999999999</v>
      </c>
      <c r="E33" s="421">
        <v>0.46846554226063669</v>
      </c>
      <c r="F33" s="365" t="s">
        <v>804</v>
      </c>
    </row>
    <row r="34" spans="1:6" ht="17" customHeight="1" x14ac:dyDescent="0.2">
      <c r="A34" s="417">
        <v>9</v>
      </c>
      <c r="B34" s="418" t="s">
        <v>113</v>
      </c>
      <c r="C34" s="419" t="s">
        <v>925</v>
      </c>
      <c r="D34" s="475">
        <v>0.74299999999999999</v>
      </c>
      <c r="E34" s="421">
        <v>0.46846554226063669</v>
      </c>
      <c r="F34" s="365" t="s">
        <v>804</v>
      </c>
    </row>
    <row r="35" spans="1:6" ht="17" customHeight="1" x14ac:dyDescent="0.2">
      <c r="A35" s="417">
        <v>10</v>
      </c>
      <c r="B35" s="418" t="s">
        <v>735</v>
      </c>
      <c r="C35" s="419" t="s">
        <v>925</v>
      </c>
      <c r="D35" s="475">
        <v>0.74299999999999999</v>
      </c>
      <c r="E35" s="421">
        <v>0.46846554226063669</v>
      </c>
      <c r="F35" s="365" t="s">
        <v>1059</v>
      </c>
    </row>
    <row r="36" spans="1:6" ht="17" customHeight="1" x14ac:dyDescent="0.2">
      <c r="A36" s="405">
        <v>11</v>
      </c>
      <c r="B36" s="406" t="s">
        <v>736</v>
      </c>
      <c r="C36" s="406" t="s">
        <v>734</v>
      </c>
      <c r="D36" s="472">
        <v>0.70400000000000007</v>
      </c>
      <c r="E36" s="407">
        <v>0.44387583008275677</v>
      </c>
      <c r="F36" s="382" t="s">
        <v>1060</v>
      </c>
    </row>
    <row r="37" spans="1:6" ht="17" customHeight="1" x14ac:dyDescent="0.2">
      <c r="A37" s="405">
        <v>12</v>
      </c>
      <c r="B37" s="406" t="s">
        <v>737</v>
      </c>
      <c r="C37" s="406" t="s">
        <v>734</v>
      </c>
      <c r="D37" s="472">
        <v>0.70400000000000007</v>
      </c>
      <c r="E37" s="407">
        <v>0.44387583008275677</v>
      </c>
      <c r="F37" s="382" t="s">
        <v>1060</v>
      </c>
    </row>
    <row r="38" spans="1:6" ht="17" customHeight="1" x14ac:dyDescent="0.2">
      <c r="A38" s="422">
        <v>13</v>
      </c>
      <c r="B38" s="423" t="s">
        <v>960</v>
      </c>
      <c r="C38" s="423" t="s">
        <v>934</v>
      </c>
      <c r="D38" s="476">
        <v>0.70400000000000007</v>
      </c>
      <c r="E38" s="424">
        <v>0.44387583008275677</v>
      </c>
      <c r="F38" s="386" t="s">
        <v>1061</v>
      </c>
    </row>
    <row r="39" spans="1:6" ht="17" customHeight="1" x14ac:dyDescent="0.2">
      <c r="A39" s="425">
        <v>14</v>
      </c>
      <c r="B39" s="426" t="s">
        <v>1180</v>
      </c>
      <c r="C39" s="426" t="s">
        <v>927</v>
      </c>
      <c r="D39" s="477">
        <v>0.74299999999999999</v>
      </c>
      <c r="E39" s="427">
        <v>0.46846554226063669</v>
      </c>
      <c r="F39" s="428" t="s">
        <v>1062</v>
      </c>
    </row>
    <row r="40" spans="1:6" ht="17" customHeight="1" x14ac:dyDescent="0.2">
      <c r="A40" s="405">
        <v>15</v>
      </c>
      <c r="B40" s="406" t="s">
        <v>739</v>
      </c>
      <c r="C40" s="406" t="s">
        <v>734</v>
      </c>
      <c r="D40" s="472">
        <v>0.70400000000000007</v>
      </c>
      <c r="E40" s="407">
        <v>0.44387583008275677</v>
      </c>
      <c r="F40" s="382" t="s">
        <v>1060</v>
      </c>
    </row>
    <row r="41" spans="1:6" ht="17" customHeight="1" x14ac:dyDescent="0.2">
      <c r="A41" s="429">
        <v>16</v>
      </c>
      <c r="B41" s="430" t="s">
        <v>963</v>
      </c>
      <c r="C41" s="431" t="s">
        <v>931</v>
      </c>
      <c r="D41" s="478">
        <v>0.74299999999999999</v>
      </c>
      <c r="E41" s="433">
        <v>0.46846554226063669</v>
      </c>
      <c r="F41" s="378" t="s">
        <v>1063</v>
      </c>
    </row>
    <row r="42" spans="1:6" ht="17" customHeight="1" x14ac:dyDescent="0.2">
      <c r="A42" s="405">
        <v>17</v>
      </c>
      <c r="B42" s="406" t="s">
        <v>965</v>
      </c>
      <c r="C42" s="406" t="s">
        <v>734</v>
      </c>
      <c r="D42" s="472">
        <v>0.70400000000000007</v>
      </c>
      <c r="E42" s="407">
        <v>0.44387583008275677</v>
      </c>
      <c r="F42" s="382" t="s">
        <v>1060</v>
      </c>
    </row>
    <row r="43" spans="1:6" ht="17" customHeight="1" x14ac:dyDescent="0.2">
      <c r="A43" s="405">
        <v>18</v>
      </c>
      <c r="B43" s="406" t="s">
        <v>966</v>
      </c>
      <c r="C43" s="406" t="s">
        <v>734</v>
      </c>
      <c r="D43" s="472">
        <v>0.70400000000000007</v>
      </c>
      <c r="E43" s="407">
        <v>0.44387583008275677</v>
      </c>
      <c r="F43" s="382" t="s">
        <v>1060</v>
      </c>
    </row>
    <row r="44" spans="1:6" ht="17" customHeight="1" x14ac:dyDescent="0.2">
      <c r="A44" s="405">
        <v>19</v>
      </c>
      <c r="B44" s="406" t="s">
        <v>967</v>
      </c>
      <c r="C44" s="406" t="s">
        <v>734</v>
      </c>
      <c r="D44" s="472">
        <v>0.70400000000000007</v>
      </c>
      <c r="E44" s="407">
        <v>0.44387583008275677</v>
      </c>
      <c r="F44" s="382" t="s">
        <v>1060</v>
      </c>
    </row>
    <row r="45" spans="1:6" ht="17" customHeight="1" x14ac:dyDescent="0.2">
      <c r="A45" s="405">
        <v>20</v>
      </c>
      <c r="B45" s="406" t="s">
        <v>968</v>
      </c>
      <c r="C45" s="406" t="s">
        <v>734</v>
      </c>
      <c r="D45" s="472">
        <v>0.70400000000000007</v>
      </c>
      <c r="E45" s="407">
        <v>0.44387583008275677</v>
      </c>
      <c r="F45" s="382" t="s">
        <v>1060</v>
      </c>
    </row>
    <row r="46" spans="1:6" ht="17" customHeight="1" x14ac:dyDescent="0.2">
      <c r="A46" s="422">
        <v>21</v>
      </c>
      <c r="B46" s="423" t="s">
        <v>969</v>
      </c>
      <c r="C46" s="423" t="s">
        <v>934</v>
      </c>
      <c r="D46" s="476">
        <v>0.70400000000000007</v>
      </c>
      <c r="E46" s="424">
        <v>0.44387583008275677</v>
      </c>
      <c r="F46" s="386" t="s">
        <v>1064</v>
      </c>
    </row>
    <row r="47" spans="1:6" ht="17" customHeight="1" x14ac:dyDescent="0.2">
      <c r="A47" s="405">
        <v>22</v>
      </c>
      <c r="B47" s="406" t="s">
        <v>339</v>
      </c>
      <c r="C47" s="406" t="s">
        <v>734</v>
      </c>
      <c r="D47" s="472">
        <v>0.70400000000000007</v>
      </c>
      <c r="E47" s="407">
        <v>0.44387583008275677</v>
      </c>
      <c r="F47" s="382" t="s">
        <v>1060</v>
      </c>
    </row>
    <row r="48" spans="1:6" ht="17" customHeight="1" x14ac:dyDescent="0.2">
      <c r="A48" s="405">
        <v>23</v>
      </c>
      <c r="B48" s="406" t="s">
        <v>971</v>
      </c>
      <c r="C48" s="406" t="s">
        <v>734</v>
      </c>
      <c r="D48" s="472">
        <v>0.70400000000000007</v>
      </c>
      <c r="E48" s="407">
        <v>0.44387583008275677</v>
      </c>
      <c r="F48" s="382" t="s">
        <v>1060</v>
      </c>
    </row>
    <row r="49" spans="1:6" ht="17" customHeight="1" x14ac:dyDescent="0.2">
      <c r="A49" s="413">
        <v>24</v>
      </c>
      <c r="B49" s="414" t="s">
        <v>972</v>
      </c>
      <c r="C49" s="414" t="s">
        <v>923</v>
      </c>
      <c r="D49" s="474">
        <v>0.61399999999999999</v>
      </c>
      <c r="E49" s="416">
        <v>0.38713034044149519</v>
      </c>
      <c r="F49" s="361" t="s">
        <v>1065</v>
      </c>
    </row>
    <row r="50" spans="1:6" ht="17" customHeight="1" x14ac:dyDescent="0.2">
      <c r="A50" s="405">
        <v>25</v>
      </c>
      <c r="B50" s="406" t="s">
        <v>974</v>
      </c>
      <c r="C50" s="406" t="s">
        <v>734</v>
      </c>
      <c r="D50" s="472">
        <v>0.70400000000000007</v>
      </c>
      <c r="E50" s="407">
        <v>0.44387583008275677</v>
      </c>
      <c r="F50" s="382" t="s">
        <v>1060</v>
      </c>
    </row>
    <row r="51" spans="1:6" ht="17" customHeight="1" x14ac:dyDescent="0.2">
      <c r="A51" s="434">
        <v>26</v>
      </c>
      <c r="B51" s="435" t="s">
        <v>975</v>
      </c>
      <c r="C51" s="436" t="s">
        <v>929</v>
      </c>
      <c r="D51" s="479">
        <v>0.79400000000000004</v>
      </c>
      <c r="E51" s="437">
        <v>0.50062131972401835</v>
      </c>
      <c r="F51" s="374" t="s">
        <v>1066</v>
      </c>
    </row>
    <row r="52" spans="1:6" ht="17" customHeight="1" x14ac:dyDescent="0.2">
      <c r="A52" s="405">
        <v>27</v>
      </c>
      <c r="B52" s="406" t="s">
        <v>131</v>
      </c>
      <c r="C52" s="406" t="s">
        <v>734</v>
      </c>
      <c r="D52" s="472">
        <v>0.70400000000000007</v>
      </c>
      <c r="E52" s="407">
        <v>0.44387583008275677</v>
      </c>
      <c r="F52" s="382" t="s">
        <v>1067</v>
      </c>
    </row>
    <row r="53" spans="1:6" ht="17" customHeight="1" x14ac:dyDescent="0.2">
      <c r="A53" s="422">
        <v>28</v>
      </c>
      <c r="B53" s="423" t="s">
        <v>977</v>
      </c>
      <c r="C53" s="423" t="s">
        <v>934</v>
      </c>
      <c r="D53" s="476">
        <v>0.70400000000000007</v>
      </c>
      <c r="E53" s="424">
        <v>0.44387583008275677</v>
      </c>
      <c r="F53" s="386" t="s">
        <v>1068</v>
      </c>
    </row>
    <row r="54" spans="1:6" ht="17" customHeight="1" x14ac:dyDescent="0.2">
      <c r="A54" s="401">
        <v>29</v>
      </c>
      <c r="B54" s="402" t="s">
        <v>978</v>
      </c>
      <c r="C54" s="439" t="s">
        <v>927</v>
      </c>
      <c r="D54" s="471">
        <v>0.74299999999999999</v>
      </c>
      <c r="E54" s="404">
        <v>0.46846554226063669</v>
      </c>
      <c r="F54" s="369" t="s">
        <v>1069</v>
      </c>
    </row>
    <row r="55" spans="1:6" ht="17" customHeight="1" x14ac:dyDescent="0.2">
      <c r="A55" s="401">
        <v>30</v>
      </c>
      <c r="B55" s="402" t="s">
        <v>980</v>
      </c>
      <c r="C55" s="439" t="s">
        <v>927</v>
      </c>
      <c r="D55" s="471">
        <v>0.74299999999999999</v>
      </c>
      <c r="E55" s="404">
        <v>0.46846554226063669</v>
      </c>
      <c r="F55" s="369" t="s">
        <v>1070</v>
      </c>
    </row>
    <row r="56" spans="1:6" ht="17" customHeight="1" x14ac:dyDescent="0.2">
      <c r="A56" s="434">
        <v>31</v>
      </c>
      <c r="B56" s="435" t="s">
        <v>343</v>
      </c>
      <c r="C56" s="436" t="s">
        <v>929</v>
      </c>
      <c r="D56" s="479">
        <v>0.79400000000000004</v>
      </c>
      <c r="E56" s="437">
        <v>0.50062131972401835</v>
      </c>
      <c r="F56" s="374" t="s">
        <v>1071</v>
      </c>
    </row>
    <row r="57" spans="1:6" ht="17" customHeight="1" x14ac:dyDescent="0.2">
      <c r="A57" s="422">
        <v>32</v>
      </c>
      <c r="B57" s="423" t="s">
        <v>982</v>
      </c>
      <c r="C57" s="423" t="s">
        <v>934</v>
      </c>
      <c r="D57" s="476">
        <v>0.70400000000000007</v>
      </c>
      <c r="E57" s="424">
        <v>0.44387583008275677</v>
      </c>
      <c r="F57" s="386" t="s">
        <v>1072</v>
      </c>
    </row>
    <row r="58" spans="1:6" ht="17" customHeight="1" x14ac:dyDescent="0.2">
      <c r="A58" s="422">
        <v>33</v>
      </c>
      <c r="B58" s="423" t="s">
        <v>983</v>
      </c>
      <c r="C58" s="440" t="s">
        <v>934</v>
      </c>
      <c r="D58" s="476">
        <v>0.70400000000000007</v>
      </c>
      <c r="E58" s="424">
        <v>0.44387583008275677</v>
      </c>
      <c r="F58" s="386" t="s">
        <v>1073</v>
      </c>
    </row>
    <row r="59" spans="1:6" ht="17" customHeight="1" x14ac:dyDescent="0.2">
      <c r="A59" s="422">
        <v>34</v>
      </c>
      <c r="B59" s="423" t="s">
        <v>985</v>
      </c>
      <c r="C59" s="423" t="s">
        <v>934</v>
      </c>
      <c r="D59" s="476">
        <v>0.70400000000000007</v>
      </c>
      <c r="E59" s="424">
        <v>0.44387583008275677</v>
      </c>
      <c r="F59" s="386" t="s">
        <v>1074</v>
      </c>
    </row>
    <row r="60" spans="1:6" ht="17" customHeight="1" x14ac:dyDescent="0.2">
      <c r="A60" s="413">
        <v>35</v>
      </c>
      <c r="B60" s="414" t="s">
        <v>986</v>
      </c>
      <c r="C60" s="441" t="s">
        <v>923</v>
      </c>
      <c r="D60" s="474">
        <v>0.61399999999999999</v>
      </c>
      <c r="E60" s="416">
        <v>0.38713034044149519</v>
      </c>
      <c r="F60" s="361" t="s">
        <v>1075</v>
      </c>
    </row>
    <row r="61" spans="1:6" ht="17" customHeight="1" x14ac:dyDescent="0.2">
      <c r="A61" s="422">
        <v>36</v>
      </c>
      <c r="B61" s="423" t="s">
        <v>988</v>
      </c>
      <c r="C61" s="423" t="s">
        <v>934</v>
      </c>
      <c r="D61" s="476">
        <v>0.70400000000000007</v>
      </c>
      <c r="E61" s="424">
        <v>0.44387583008275677</v>
      </c>
      <c r="F61" s="386" t="s">
        <v>970</v>
      </c>
    </row>
    <row r="62" spans="1:6" ht="17" customHeight="1" x14ac:dyDescent="0.2">
      <c r="A62" s="422">
        <v>37</v>
      </c>
      <c r="B62" s="423" t="s">
        <v>989</v>
      </c>
      <c r="C62" s="423" t="s">
        <v>934</v>
      </c>
      <c r="D62" s="476">
        <v>0.70400000000000007</v>
      </c>
      <c r="E62" s="424">
        <v>0.44387583008275677</v>
      </c>
      <c r="F62" s="386" t="s">
        <v>1076</v>
      </c>
    </row>
    <row r="63" spans="1:6" ht="17" customHeight="1" x14ac:dyDescent="0.2">
      <c r="A63" s="422">
        <v>38</v>
      </c>
      <c r="B63" s="423" t="s">
        <v>990</v>
      </c>
      <c r="C63" s="423" t="s">
        <v>934</v>
      </c>
      <c r="D63" s="476">
        <v>0.70400000000000007</v>
      </c>
      <c r="E63" s="424">
        <v>0.44387583008275677</v>
      </c>
      <c r="F63" s="386" t="s">
        <v>1077</v>
      </c>
    </row>
    <row r="64" spans="1:6" ht="17" customHeight="1" x14ac:dyDescent="0.2">
      <c r="A64" s="422">
        <v>39</v>
      </c>
      <c r="B64" s="423" t="s">
        <v>991</v>
      </c>
      <c r="C64" s="423" t="s">
        <v>934</v>
      </c>
      <c r="D64" s="476">
        <v>0.70400000000000007</v>
      </c>
      <c r="E64" s="424">
        <v>0.44387583008275677</v>
      </c>
      <c r="F64" s="386" t="s">
        <v>1072</v>
      </c>
    </row>
    <row r="65" spans="1:6" ht="17" customHeight="1" x14ac:dyDescent="0.2">
      <c r="A65" s="422">
        <v>40</v>
      </c>
      <c r="B65" s="423" t="s">
        <v>992</v>
      </c>
      <c r="C65" s="423" t="s">
        <v>934</v>
      </c>
      <c r="D65" s="476">
        <v>0.70400000000000007</v>
      </c>
      <c r="E65" s="424">
        <v>0.44387583008275677</v>
      </c>
      <c r="F65" s="386" t="s">
        <v>970</v>
      </c>
    </row>
    <row r="66" spans="1:6" ht="17" customHeight="1" x14ac:dyDescent="0.2">
      <c r="A66" s="422">
        <v>41</v>
      </c>
      <c r="B66" s="423" t="s">
        <v>993</v>
      </c>
      <c r="C66" s="423" t="s">
        <v>934</v>
      </c>
      <c r="D66" s="476">
        <v>0.70400000000000007</v>
      </c>
      <c r="E66" s="424">
        <v>0.44387583008275677</v>
      </c>
      <c r="F66" s="386" t="s">
        <v>1078</v>
      </c>
    </row>
    <row r="67" spans="1:6" ht="17" customHeight="1" x14ac:dyDescent="0.2">
      <c r="A67" s="422">
        <v>42</v>
      </c>
      <c r="B67" s="423" t="s">
        <v>994</v>
      </c>
      <c r="C67" s="423" t="s">
        <v>934</v>
      </c>
      <c r="D67" s="476">
        <v>0.70400000000000007</v>
      </c>
      <c r="E67" s="424">
        <v>0.44387583008275677</v>
      </c>
      <c r="F67" s="386" t="s">
        <v>1078</v>
      </c>
    </row>
    <row r="68" spans="1:6" ht="17" customHeight="1" x14ac:dyDescent="0.2">
      <c r="A68" s="434">
        <v>43</v>
      </c>
      <c r="B68" s="435" t="s">
        <v>147</v>
      </c>
      <c r="C68" s="436" t="s">
        <v>929</v>
      </c>
      <c r="D68" s="479">
        <v>0.79400000000000004</v>
      </c>
      <c r="E68" s="437">
        <v>0.50062131972401835</v>
      </c>
      <c r="F68" s="374" t="s">
        <v>1079</v>
      </c>
    </row>
    <row r="69" spans="1:6" ht="17" customHeight="1" x14ac:dyDescent="0.2">
      <c r="A69" s="422">
        <v>44</v>
      </c>
      <c r="B69" s="423" t="s">
        <v>995</v>
      </c>
      <c r="C69" s="423" t="s">
        <v>934</v>
      </c>
      <c r="D69" s="476">
        <v>0.70400000000000007</v>
      </c>
      <c r="E69" s="424">
        <v>0.44387583008275677</v>
      </c>
      <c r="F69" s="386" t="s">
        <v>996</v>
      </c>
    </row>
    <row r="70" spans="1:6" ht="17" customHeight="1" x14ac:dyDescent="0.2">
      <c r="A70" s="422">
        <v>45</v>
      </c>
      <c r="B70" s="423" t="s">
        <v>836</v>
      </c>
      <c r="C70" s="423" t="s">
        <v>934</v>
      </c>
      <c r="D70" s="476">
        <v>0.70400000000000007</v>
      </c>
      <c r="E70" s="424">
        <v>0.44387583008275677</v>
      </c>
      <c r="F70" s="386" t="s">
        <v>996</v>
      </c>
    </row>
    <row r="71" spans="1:6" ht="17" customHeight="1" x14ac:dyDescent="0.2">
      <c r="A71" s="422">
        <v>46</v>
      </c>
      <c r="B71" s="423" t="s">
        <v>997</v>
      </c>
      <c r="C71" s="423" t="s">
        <v>934</v>
      </c>
      <c r="D71" s="476">
        <v>0.70400000000000007</v>
      </c>
      <c r="E71" s="424">
        <v>0.44387583008275677</v>
      </c>
      <c r="F71" s="386" t="s">
        <v>996</v>
      </c>
    </row>
    <row r="72" spans="1:6" ht="17" customHeight="1" x14ac:dyDescent="0.2">
      <c r="A72" s="422">
        <v>47</v>
      </c>
      <c r="B72" s="423" t="s">
        <v>998</v>
      </c>
      <c r="C72" s="423" t="s">
        <v>934</v>
      </c>
      <c r="D72" s="476">
        <v>0.70400000000000007</v>
      </c>
      <c r="E72" s="424">
        <v>0.44387583008275677</v>
      </c>
      <c r="F72" s="386" t="s">
        <v>1080</v>
      </c>
    </row>
    <row r="73" spans="1:6" ht="17" customHeight="1" x14ac:dyDescent="0.2">
      <c r="A73" s="422">
        <v>48</v>
      </c>
      <c r="B73" s="423" t="s">
        <v>999</v>
      </c>
      <c r="C73" s="423" t="s">
        <v>934</v>
      </c>
      <c r="D73" s="476">
        <v>0.70400000000000007</v>
      </c>
      <c r="E73" s="424">
        <v>0.44387583008275677</v>
      </c>
      <c r="F73" s="386" t="s">
        <v>1081</v>
      </c>
    </row>
    <row r="74" spans="1:6" ht="17" customHeight="1" x14ac:dyDescent="0.2">
      <c r="A74" s="422">
        <v>49</v>
      </c>
      <c r="B74" s="423" t="s">
        <v>1000</v>
      </c>
      <c r="C74" s="423" t="s">
        <v>934</v>
      </c>
      <c r="D74" s="476">
        <v>0.70400000000000007</v>
      </c>
      <c r="E74" s="424">
        <v>0.44387583008275677</v>
      </c>
      <c r="F74" s="386" t="s">
        <v>815</v>
      </c>
    </row>
    <row r="75" spans="1:6" ht="17" customHeight="1" x14ac:dyDescent="0.2">
      <c r="A75" s="422">
        <v>50</v>
      </c>
      <c r="B75" s="423" t="s">
        <v>154</v>
      </c>
      <c r="C75" s="423" t="s">
        <v>934</v>
      </c>
      <c r="D75" s="476">
        <v>0.70400000000000007</v>
      </c>
      <c r="E75" s="424">
        <v>0.44387583008275677</v>
      </c>
      <c r="F75" s="386" t="s">
        <v>815</v>
      </c>
    </row>
    <row r="76" spans="1:6" ht="17" customHeight="1" x14ac:dyDescent="0.2">
      <c r="A76" s="422">
        <v>51</v>
      </c>
      <c r="B76" s="423" t="s">
        <v>1001</v>
      </c>
      <c r="C76" s="423" t="s">
        <v>934</v>
      </c>
      <c r="D76" s="476">
        <v>0.70400000000000007</v>
      </c>
      <c r="E76" s="424">
        <v>0.44387583008275677</v>
      </c>
      <c r="F76" s="386" t="s">
        <v>815</v>
      </c>
    </row>
    <row r="77" spans="1:6" ht="17" customHeight="1" x14ac:dyDescent="0.2">
      <c r="A77" s="422">
        <v>52</v>
      </c>
      <c r="B77" s="423" t="s">
        <v>156</v>
      </c>
      <c r="C77" s="423" t="s">
        <v>934</v>
      </c>
      <c r="D77" s="476">
        <v>0.70400000000000007</v>
      </c>
      <c r="E77" s="424">
        <v>0.44387583008275677</v>
      </c>
      <c r="F77" s="386" t="s">
        <v>815</v>
      </c>
    </row>
    <row r="78" spans="1:6" ht="17" customHeight="1" x14ac:dyDescent="0.2">
      <c r="A78" s="422">
        <v>53</v>
      </c>
      <c r="B78" s="423" t="s">
        <v>1002</v>
      </c>
      <c r="C78" s="423" t="s">
        <v>934</v>
      </c>
      <c r="D78" s="476">
        <v>0.70400000000000007</v>
      </c>
      <c r="E78" s="424">
        <v>0.44387583008275677</v>
      </c>
      <c r="F78" s="386" t="s">
        <v>1082</v>
      </c>
    </row>
    <row r="79" spans="1:6" ht="17" customHeight="1" x14ac:dyDescent="0.2">
      <c r="A79" s="422">
        <v>54</v>
      </c>
      <c r="B79" s="423" t="s">
        <v>1004</v>
      </c>
      <c r="C79" s="423" t="s">
        <v>934</v>
      </c>
      <c r="D79" s="476">
        <v>0.70400000000000007</v>
      </c>
      <c r="E79" s="424">
        <v>0.44387583008275677</v>
      </c>
      <c r="F79" s="386" t="s">
        <v>1081</v>
      </c>
    </row>
    <row r="80" spans="1:6" ht="17" customHeight="1" x14ac:dyDescent="0.2">
      <c r="A80" s="422">
        <v>55</v>
      </c>
      <c r="B80" s="423" t="s">
        <v>1005</v>
      </c>
      <c r="C80" s="423" t="s">
        <v>934</v>
      </c>
      <c r="D80" s="476">
        <v>0.70400000000000007</v>
      </c>
      <c r="E80" s="424">
        <v>0.44387583008275677</v>
      </c>
      <c r="F80" s="386" t="s">
        <v>815</v>
      </c>
    </row>
    <row r="81" spans="1:6" ht="17" customHeight="1" x14ac:dyDescent="0.2">
      <c r="A81" s="422">
        <v>56</v>
      </c>
      <c r="B81" s="423" t="s">
        <v>1006</v>
      </c>
      <c r="C81" s="423" t="s">
        <v>934</v>
      </c>
      <c r="D81" s="476">
        <v>0.70400000000000007</v>
      </c>
      <c r="E81" s="424">
        <v>0.44387583008275677</v>
      </c>
      <c r="F81" s="386" t="s">
        <v>815</v>
      </c>
    </row>
    <row r="82" spans="1:6" ht="17" customHeight="1" x14ac:dyDescent="0.2">
      <c r="A82" s="429">
        <v>57</v>
      </c>
      <c r="B82" s="430" t="s">
        <v>1007</v>
      </c>
      <c r="C82" s="431" t="s">
        <v>931</v>
      </c>
      <c r="D82" s="478">
        <v>0.74299999999999999</v>
      </c>
      <c r="E82" s="433">
        <v>0.46846554226063669</v>
      </c>
      <c r="F82" s="378" t="s">
        <v>1083</v>
      </c>
    </row>
    <row r="83" spans="1:6" ht="17" customHeight="1" x14ac:dyDescent="0.2">
      <c r="A83" s="429">
        <v>58</v>
      </c>
      <c r="B83" s="430" t="s">
        <v>352</v>
      </c>
      <c r="C83" s="431" t="s">
        <v>931</v>
      </c>
      <c r="D83" s="478">
        <v>0.74299999999999999</v>
      </c>
      <c r="E83" s="433">
        <v>0.46846554226063669</v>
      </c>
      <c r="F83" s="378" t="s">
        <v>1084</v>
      </c>
    </row>
    <row r="84" spans="1:6" ht="17" customHeight="1" x14ac:dyDescent="0.2">
      <c r="A84" s="429">
        <v>59</v>
      </c>
      <c r="B84" s="430" t="s">
        <v>1008</v>
      </c>
      <c r="C84" s="431" t="s">
        <v>931</v>
      </c>
      <c r="D84" s="478">
        <v>0.74299999999999999</v>
      </c>
      <c r="E84" s="433">
        <v>0.46846554226063669</v>
      </c>
      <c r="F84" s="378" t="s">
        <v>1085</v>
      </c>
    </row>
    <row r="85" spans="1:6" ht="17" customHeight="1" x14ac:dyDescent="0.2">
      <c r="A85" s="422">
        <v>60</v>
      </c>
      <c r="B85" s="423" t="s">
        <v>1009</v>
      </c>
      <c r="C85" s="423" t="s">
        <v>934</v>
      </c>
      <c r="D85" s="476">
        <v>0.70400000000000007</v>
      </c>
      <c r="E85" s="424">
        <v>0.44387583008275677</v>
      </c>
      <c r="F85" s="386" t="s">
        <v>1076</v>
      </c>
    </row>
    <row r="86" spans="1:6" ht="17" customHeight="1" x14ac:dyDescent="0.2">
      <c r="A86" s="429">
        <v>61</v>
      </c>
      <c r="B86" s="430" t="s">
        <v>1010</v>
      </c>
      <c r="C86" s="431" t="s">
        <v>931</v>
      </c>
      <c r="D86" s="478">
        <v>0.74299999999999999</v>
      </c>
      <c r="E86" s="433">
        <v>0.46846554226063669</v>
      </c>
      <c r="F86" s="378" t="s">
        <v>1086</v>
      </c>
    </row>
    <row r="87" spans="1:6" ht="17" customHeight="1" x14ac:dyDescent="0.2">
      <c r="A87" s="413">
        <v>62</v>
      </c>
      <c r="B87" s="414" t="s">
        <v>1012</v>
      </c>
      <c r="C87" s="414" t="s">
        <v>923</v>
      </c>
      <c r="D87" s="474">
        <v>0.61399999999999999</v>
      </c>
      <c r="E87" s="416">
        <v>0.38713034044149519</v>
      </c>
      <c r="F87" s="361" t="s">
        <v>1087</v>
      </c>
    </row>
    <row r="88" spans="1:6" ht="17" customHeight="1" x14ac:dyDescent="0.2">
      <c r="A88" s="422">
        <v>63</v>
      </c>
      <c r="B88" s="423" t="s">
        <v>1013</v>
      </c>
      <c r="C88" s="423" t="s">
        <v>934</v>
      </c>
      <c r="D88" s="476">
        <v>0.70400000000000007</v>
      </c>
      <c r="E88" s="424">
        <v>0.44387583008275677</v>
      </c>
      <c r="F88" s="386" t="s">
        <v>1088</v>
      </c>
    </row>
    <row r="89" spans="1:6" ht="17" customHeight="1" x14ac:dyDescent="0.2">
      <c r="A89" s="422">
        <v>64</v>
      </c>
      <c r="B89" s="423" t="s">
        <v>1014</v>
      </c>
      <c r="C89" s="423" t="s">
        <v>934</v>
      </c>
      <c r="D89" s="476">
        <v>0.70400000000000007</v>
      </c>
      <c r="E89" s="424">
        <v>0.44387583008275677</v>
      </c>
      <c r="F89" s="386" t="s">
        <v>815</v>
      </c>
    </row>
    <row r="90" spans="1:6" ht="17" customHeight="1" x14ac:dyDescent="0.2">
      <c r="A90" s="422">
        <v>65</v>
      </c>
      <c r="B90" s="423" t="s">
        <v>1015</v>
      </c>
      <c r="C90" s="423" t="s">
        <v>934</v>
      </c>
      <c r="D90" s="476">
        <v>0.70400000000000007</v>
      </c>
      <c r="E90" s="424">
        <v>0.44387583008275677</v>
      </c>
      <c r="F90" s="386" t="s">
        <v>815</v>
      </c>
    </row>
    <row r="91" spans="1:6" ht="17" customHeight="1" x14ac:dyDescent="0.2">
      <c r="A91" s="422">
        <v>66</v>
      </c>
      <c r="B91" s="423" t="s">
        <v>1016</v>
      </c>
      <c r="C91" s="423" t="s">
        <v>934</v>
      </c>
      <c r="D91" s="476">
        <v>0.70400000000000007</v>
      </c>
      <c r="E91" s="424">
        <v>0.44387583008275677</v>
      </c>
      <c r="F91" s="386" t="s">
        <v>815</v>
      </c>
    </row>
    <row r="92" spans="1:6" ht="17" customHeight="1" x14ac:dyDescent="0.2">
      <c r="A92" s="391">
        <v>67</v>
      </c>
      <c r="B92" s="392" t="s">
        <v>1017</v>
      </c>
      <c r="C92" s="392" t="s">
        <v>915</v>
      </c>
      <c r="D92" s="469">
        <v>0.871</v>
      </c>
      <c r="E92" s="394">
        <v>0.5491702386393198</v>
      </c>
      <c r="F92" s="342" t="s">
        <v>1089</v>
      </c>
    </row>
    <row r="94" spans="1:6" x14ac:dyDescent="0.2">
      <c r="A94" s="617" t="s">
        <v>1090</v>
      </c>
      <c r="B94" s="618"/>
      <c r="C94" s="618"/>
      <c r="D94" s="618"/>
      <c r="E94" s="618"/>
      <c r="F94" s="618"/>
    </row>
    <row r="97" spans="1:8" s="544" customFormat="1" ht="14" customHeight="1" x14ac:dyDescent="0.2">
      <c r="A97" s="619" t="s">
        <v>1183</v>
      </c>
      <c r="B97" s="612"/>
      <c r="C97" s="612"/>
      <c r="D97" s="612"/>
      <c r="E97" s="612"/>
      <c r="F97" s="612"/>
      <c r="G97" s="612"/>
      <c r="H97" s="612"/>
    </row>
    <row r="98" spans="1:8" s="544" customFormat="1" ht="31" customHeight="1" x14ac:dyDescent="0.2">
      <c r="A98" s="545" t="s">
        <v>939</v>
      </c>
      <c r="B98" s="545" t="s">
        <v>1168</v>
      </c>
      <c r="C98" s="545" t="s">
        <v>941</v>
      </c>
      <c r="D98" s="545" t="s">
        <v>1184</v>
      </c>
      <c r="E98" s="545" t="s">
        <v>1185</v>
      </c>
      <c r="F98" s="545" t="s">
        <v>1186</v>
      </c>
      <c r="G98" s="545" t="s">
        <v>1187</v>
      </c>
      <c r="H98" s="545" t="s">
        <v>1188</v>
      </c>
    </row>
    <row r="99" spans="1:8" s="544" customFormat="1" ht="14" customHeight="1" x14ac:dyDescent="0.2">
      <c r="A99" s="546">
        <v>1</v>
      </c>
      <c r="B99" s="547" t="s">
        <v>948</v>
      </c>
      <c r="C99" s="548" t="s">
        <v>915</v>
      </c>
      <c r="D99" s="549">
        <v>65.900400000000005</v>
      </c>
      <c r="E99" s="549">
        <v>60.408700000000003</v>
      </c>
      <c r="F99" s="549">
        <v>54.917000000000002</v>
      </c>
      <c r="G99" s="549">
        <v>46.679499999999997</v>
      </c>
      <c r="H99" s="549">
        <v>35.696100000000001</v>
      </c>
    </row>
    <row r="100" spans="1:8" s="544" customFormat="1" ht="14" customHeight="1" x14ac:dyDescent="0.2">
      <c r="A100" s="550">
        <v>2</v>
      </c>
      <c r="B100" s="551" t="s">
        <v>106</v>
      </c>
      <c r="C100" s="552" t="s">
        <v>919</v>
      </c>
      <c r="D100" s="553">
        <v>58.183</v>
      </c>
      <c r="E100" s="553">
        <v>53.334499999999998</v>
      </c>
      <c r="F100" s="553">
        <v>48.485900000000001</v>
      </c>
      <c r="G100" s="553">
        <v>41.213000000000001</v>
      </c>
      <c r="H100" s="553">
        <v>31.515799999999999</v>
      </c>
    </row>
    <row r="101" spans="1:8" s="544" customFormat="1" ht="14" customHeight="1" x14ac:dyDescent="0.2">
      <c r="A101" s="546">
        <v>3</v>
      </c>
      <c r="B101" s="547" t="s">
        <v>951</v>
      </c>
      <c r="C101" s="548" t="s">
        <v>927</v>
      </c>
      <c r="D101" s="549">
        <v>56.215899999999998</v>
      </c>
      <c r="E101" s="549">
        <v>51.531199999999998</v>
      </c>
      <c r="F101" s="549">
        <v>46.846600000000002</v>
      </c>
      <c r="G101" s="549">
        <v>39.819600000000001</v>
      </c>
      <c r="H101" s="549">
        <v>30.450299999999999</v>
      </c>
    </row>
    <row r="102" spans="1:8" s="544" customFormat="1" ht="14" customHeight="1" x14ac:dyDescent="0.2">
      <c r="A102" s="550">
        <v>4</v>
      </c>
      <c r="B102" s="551" t="s">
        <v>953</v>
      </c>
      <c r="C102" s="552" t="s">
        <v>734</v>
      </c>
      <c r="D102" s="553">
        <v>53.265099999999997</v>
      </c>
      <c r="E102" s="553">
        <v>48.826300000000003</v>
      </c>
      <c r="F102" s="553">
        <v>44.387599999999999</v>
      </c>
      <c r="G102" s="553">
        <v>37.729399999999998</v>
      </c>
      <c r="H102" s="553">
        <v>28.851900000000001</v>
      </c>
    </row>
    <row r="103" spans="1:8" s="544" customFormat="1" ht="14" customHeight="1" x14ac:dyDescent="0.2">
      <c r="A103" s="546">
        <v>5</v>
      </c>
      <c r="B103" s="547" t="s">
        <v>109</v>
      </c>
      <c r="C103" s="548" t="s">
        <v>921</v>
      </c>
      <c r="D103" s="549">
        <v>60.074599999999997</v>
      </c>
      <c r="E103" s="549">
        <v>55.068300000000001</v>
      </c>
      <c r="F103" s="549">
        <v>50.062100000000001</v>
      </c>
      <c r="G103" s="549">
        <v>42.552799999999998</v>
      </c>
      <c r="H103" s="549">
        <v>32.540399999999998</v>
      </c>
    </row>
    <row r="104" spans="1:8" s="544" customFormat="1" ht="14" customHeight="1" x14ac:dyDescent="0.2">
      <c r="A104" s="550">
        <v>6</v>
      </c>
      <c r="B104" s="551" t="s">
        <v>110</v>
      </c>
      <c r="C104" s="552" t="s">
        <v>923</v>
      </c>
      <c r="D104" s="553">
        <v>46.455599999999997</v>
      </c>
      <c r="E104" s="553">
        <v>42.584299999999999</v>
      </c>
      <c r="F104" s="553">
        <v>38.713000000000001</v>
      </c>
      <c r="G104" s="553">
        <v>32.906100000000002</v>
      </c>
      <c r="H104" s="553">
        <v>25.163499999999999</v>
      </c>
    </row>
    <row r="105" spans="1:8" s="544" customFormat="1" ht="14" customHeight="1" x14ac:dyDescent="0.2">
      <c r="A105" s="546">
        <v>7</v>
      </c>
      <c r="B105" s="547" t="s">
        <v>957</v>
      </c>
      <c r="C105" s="548" t="s">
        <v>923</v>
      </c>
      <c r="D105" s="549">
        <v>46.455599999999997</v>
      </c>
      <c r="E105" s="549">
        <v>42.584299999999999</v>
      </c>
      <c r="F105" s="549">
        <v>38.713000000000001</v>
      </c>
      <c r="G105" s="549">
        <v>32.906100000000002</v>
      </c>
      <c r="H105" s="549">
        <v>25.163499999999999</v>
      </c>
    </row>
    <row r="106" spans="1:8" s="544" customFormat="1" ht="14" customHeight="1" x14ac:dyDescent="0.2">
      <c r="A106" s="550">
        <v>8</v>
      </c>
      <c r="B106" s="551" t="s">
        <v>112</v>
      </c>
      <c r="C106" s="552" t="s">
        <v>925</v>
      </c>
      <c r="D106" s="553">
        <v>56.215899999999998</v>
      </c>
      <c r="E106" s="553">
        <v>51.531199999999998</v>
      </c>
      <c r="F106" s="553">
        <v>46.846600000000002</v>
      </c>
      <c r="G106" s="553">
        <v>39.819600000000001</v>
      </c>
      <c r="H106" s="553">
        <v>30.450299999999999</v>
      </c>
    </row>
    <row r="107" spans="1:8" s="544" customFormat="1" ht="14" customHeight="1" x14ac:dyDescent="0.2">
      <c r="A107" s="546">
        <v>9</v>
      </c>
      <c r="B107" s="547" t="s">
        <v>113</v>
      </c>
      <c r="C107" s="548" t="s">
        <v>925</v>
      </c>
      <c r="D107" s="549">
        <v>56.215899999999998</v>
      </c>
      <c r="E107" s="549">
        <v>51.531199999999998</v>
      </c>
      <c r="F107" s="549">
        <v>46.846600000000002</v>
      </c>
      <c r="G107" s="549">
        <v>39.819600000000001</v>
      </c>
      <c r="H107" s="549">
        <v>30.450299999999999</v>
      </c>
    </row>
    <row r="108" spans="1:8" s="544" customFormat="1" ht="14" customHeight="1" x14ac:dyDescent="0.2">
      <c r="A108" s="550">
        <v>10</v>
      </c>
      <c r="B108" s="551" t="s">
        <v>735</v>
      </c>
      <c r="C108" s="552" t="s">
        <v>925</v>
      </c>
      <c r="D108" s="553">
        <v>56.215899999999998</v>
      </c>
      <c r="E108" s="553">
        <v>51.531199999999998</v>
      </c>
      <c r="F108" s="553">
        <v>46.846600000000002</v>
      </c>
      <c r="G108" s="553">
        <v>39.819600000000001</v>
      </c>
      <c r="H108" s="553">
        <v>30.450299999999999</v>
      </c>
    </row>
    <row r="109" spans="1:8" s="544" customFormat="1" ht="14" customHeight="1" x14ac:dyDescent="0.2">
      <c r="A109" s="546">
        <v>11</v>
      </c>
      <c r="B109" s="547" t="s">
        <v>736</v>
      </c>
      <c r="C109" s="548" t="s">
        <v>734</v>
      </c>
      <c r="D109" s="549">
        <v>53.265099999999997</v>
      </c>
      <c r="E109" s="549">
        <v>48.826300000000003</v>
      </c>
      <c r="F109" s="549">
        <v>44.387599999999999</v>
      </c>
      <c r="G109" s="549">
        <v>37.729399999999998</v>
      </c>
      <c r="H109" s="549">
        <v>28.851900000000001</v>
      </c>
    </row>
    <row r="110" spans="1:8" s="544" customFormat="1" ht="14" customHeight="1" x14ac:dyDescent="0.2">
      <c r="A110" s="550">
        <v>12</v>
      </c>
      <c r="B110" s="551" t="s">
        <v>737</v>
      </c>
      <c r="C110" s="552" t="s">
        <v>734</v>
      </c>
      <c r="D110" s="553">
        <v>53.265099999999997</v>
      </c>
      <c r="E110" s="553">
        <v>48.826300000000003</v>
      </c>
      <c r="F110" s="553">
        <v>44.387599999999999</v>
      </c>
      <c r="G110" s="553">
        <v>37.729399999999998</v>
      </c>
      <c r="H110" s="553">
        <v>28.851900000000001</v>
      </c>
    </row>
    <row r="111" spans="1:8" s="544" customFormat="1" ht="14" customHeight="1" x14ac:dyDescent="0.2">
      <c r="A111" s="546">
        <v>13</v>
      </c>
      <c r="B111" s="547" t="s">
        <v>960</v>
      </c>
      <c r="C111" s="548" t="s">
        <v>934</v>
      </c>
      <c r="D111" s="549">
        <v>53.265099999999997</v>
      </c>
      <c r="E111" s="549">
        <v>48.826300000000003</v>
      </c>
      <c r="F111" s="549">
        <v>44.387599999999999</v>
      </c>
      <c r="G111" s="549">
        <v>37.729399999999998</v>
      </c>
      <c r="H111" s="549">
        <v>28.851900000000001</v>
      </c>
    </row>
    <row r="112" spans="1:8" s="544" customFormat="1" ht="14" customHeight="1" x14ac:dyDescent="0.2">
      <c r="A112" s="550">
        <v>14</v>
      </c>
      <c r="B112" s="551" t="s">
        <v>961</v>
      </c>
      <c r="C112" s="552" t="s">
        <v>927</v>
      </c>
      <c r="D112" s="553">
        <v>56.215899999999998</v>
      </c>
      <c r="E112" s="553">
        <v>51.531199999999998</v>
      </c>
      <c r="F112" s="553">
        <v>46.846600000000002</v>
      </c>
      <c r="G112" s="553">
        <v>39.819600000000001</v>
      </c>
      <c r="H112" s="553">
        <v>30.450299999999999</v>
      </c>
    </row>
    <row r="113" spans="1:8" s="544" customFormat="1" ht="14" customHeight="1" x14ac:dyDescent="0.2">
      <c r="A113" s="546">
        <v>15</v>
      </c>
      <c r="B113" s="547" t="s">
        <v>739</v>
      </c>
      <c r="C113" s="548" t="s">
        <v>734</v>
      </c>
      <c r="D113" s="549">
        <v>53.265099999999997</v>
      </c>
      <c r="E113" s="549">
        <v>48.826300000000003</v>
      </c>
      <c r="F113" s="549">
        <v>44.387599999999999</v>
      </c>
      <c r="G113" s="549">
        <v>37.729399999999998</v>
      </c>
      <c r="H113" s="549">
        <v>28.851900000000001</v>
      </c>
    </row>
    <row r="114" spans="1:8" s="544" customFormat="1" ht="14" customHeight="1" x14ac:dyDescent="0.2">
      <c r="A114" s="550">
        <v>16</v>
      </c>
      <c r="B114" s="551" t="s">
        <v>963</v>
      </c>
      <c r="C114" s="552" t="s">
        <v>931</v>
      </c>
      <c r="D114" s="553">
        <v>56.215899999999998</v>
      </c>
      <c r="E114" s="553">
        <v>51.531199999999998</v>
      </c>
      <c r="F114" s="553">
        <v>46.846600000000002</v>
      </c>
      <c r="G114" s="553">
        <v>39.819600000000001</v>
      </c>
      <c r="H114" s="553">
        <v>30.450299999999999</v>
      </c>
    </row>
    <row r="115" spans="1:8" s="544" customFormat="1" ht="14" customHeight="1" x14ac:dyDescent="0.2">
      <c r="A115" s="546">
        <v>17</v>
      </c>
      <c r="B115" s="547" t="s">
        <v>965</v>
      </c>
      <c r="C115" s="548" t="s">
        <v>734</v>
      </c>
      <c r="D115" s="549">
        <v>53.265099999999997</v>
      </c>
      <c r="E115" s="549">
        <v>48.826300000000003</v>
      </c>
      <c r="F115" s="549">
        <v>44.387599999999999</v>
      </c>
      <c r="G115" s="549">
        <v>37.729399999999998</v>
      </c>
      <c r="H115" s="549">
        <v>28.851900000000001</v>
      </c>
    </row>
    <row r="116" spans="1:8" s="544" customFormat="1" ht="14" customHeight="1" x14ac:dyDescent="0.2">
      <c r="A116" s="550">
        <v>18</v>
      </c>
      <c r="B116" s="551" t="s">
        <v>966</v>
      </c>
      <c r="C116" s="552" t="s">
        <v>734</v>
      </c>
      <c r="D116" s="553">
        <v>53.265099999999997</v>
      </c>
      <c r="E116" s="553">
        <v>48.826300000000003</v>
      </c>
      <c r="F116" s="553">
        <v>44.387599999999999</v>
      </c>
      <c r="G116" s="553">
        <v>37.729399999999998</v>
      </c>
      <c r="H116" s="553">
        <v>28.851900000000001</v>
      </c>
    </row>
    <row r="117" spans="1:8" s="544" customFormat="1" ht="14" customHeight="1" x14ac:dyDescent="0.2">
      <c r="A117" s="546">
        <v>19</v>
      </c>
      <c r="B117" s="547" t="s">
        <v>967</v>
      </c>
      <c r="C117" s="548" t="s">
        <v>734</v>
      </c>
      <c r="D117" s="549">
        <v>53.265099999999997</v>
      </c>
      <c r="E117" s="549">
        <v>48.826300000000003</v>
      </c>
      <c r="F117" s="549">
        <v>44.387599999999999</v>
      </c>
      <c r="G117" s="549">
        <v>37.729399999999998</v>
      </c>
      <c r="H117" s="549">
        <v>28.851900000000001</v>
      </c>
    </row>
    <row r="118" spans="1:8" s="544" customFormat="1" ht="14" customHeight="1" x14ac:dyDescent="0.2">
      <c r="A118" s="550">
        <v>20</v>
      </c>
      <c r="B118" s="551" t="s">
        <v>968</v>
      </c>
      <c r="C118" s="552" t="s">
        <v>734</v>
      </c>
      <c r="D118" s="553">
        <v>53.265099999999997</v>
      </c>
      <c r="E118" s="553">
        <v>48.826300000000003</v>
      </c>
      <c r="F118" s="553">
        <v>44.387599999999999</v>
      </c>
      <c r="G118" s="553">
        <v>37.729399999999998</v>
      </c>
      <c r="H118" s="553">
        <v>28.851900000000001</v>
      </c>
    </row>
    <row r="119" spans="1:8" s="544" customFormat="1" ht="14" customHeight="1" x14ac:dyDescent="0.2">
      <c r="A119" s="546">
        <v>21</v>
      </c>
      <c r="B119" s="547" t="s">
        <v>969</v>
      </c>
      <c r="C119" s="548" t="s">
        <v>934</v>
      </c>
      <c r="D119" s="549">
        <v>53.265099999999997</v>
      </c>
      <c r="E119" s="549">
        <v>48.826300000000003</v>
      </c>
      <c r="F119" s="549">
        <v>44.387599999999999</v>
      </c>
      <c r="G119" s="549">
        <v>37.729399999999998</v>
      </c>
      <c r="H119" s="549">
        <v>28.851900000000001</v>
      </c>
    </row>
    <row r="120" spans="1:8" s="544" customFormat="1" ht="14" customHeight="1" x14ac:dyDescent="0.2">
      <c r="A120" s="550">
        <v>22</v>
      </c>
      <c r="B120" s="551" t="s">
        <v>339</v>
      </c>
      <c r="C120" s="552" t="s">
        <v>734</v>
      </c>
      <c r="D120" s="553">
        <v>53.265099999999997</v>
      </c>
      <c r="E120" s="553">
        <v>48.826300000000003</v>
      </c>
      <c r="F120" s="553">
        <v>44.387599999999999</v>
      </c>
      <c r="G120" s="553">
        <v>37.729399999999998</v>
      </c>
      <c r="H120" s="553">
        <v>28.851900000000001</v>
      </c>
    </row>
    <row r="121" spans="1:8" s="544" customFormat="1" ht="14" customHeight="1" x14ac:dyDescent="0.2">
      <c r="A121" s="546">
        <v>23</v>
      </c>
      <c r="B121" s="547" t="s">
        <v>971</v>
      </c>
      <c r="C121" s="548" t="s">
        <v>734</v>
      </c>
      <c r="D121" s="549">
        <v>53.265099999999997</v>
      </c>
      <c r="E121" s="549">
        <v>48.826300000000003</v>
      </c>
      <c r="F121" s="549">
        <v>44.387599999999999</v>
      </c>
      <c r="G121" s="549">
        <v>37.729399999999998</v>
      </c>
      <c r="H121" s="549">
        <v>28.851900000000001</v>
      </c>
    </row>
    <row r="122" spans="1:8" s="544" customFormat="1" ht="14" customHeight="1" x14ac:dyDescent="0.2">
      <c r="A122" s="550">
        <v>24</v>
      </c>
      <c r="B122" s="551" t="s">
        <v>972</v>
      </c>
      <c r="C122" s="552" t="s">
        <v>923</v>
      </c>
      <c r="D122" s="553">
        <v>46.455599999999997</v>
      </c>
      <c r="E122" s="553">
        <v>42.584299999999999</v>
      </c>
      <c r="F122" s="553">
        <v>38.713000000000001</v>
      </c>
      <c r="G122" s="553">
        <v>32.906100000000002</v>
      </c>
      <c r="H122" s="553">
        <v>25.163499999999999</v>
      </c>
    </row>
    <row r="123" spans="1:8" s="544" customFormat="1" ht="14" customHeight="1" x14ac:dyDescent="0.2">
      <c r="A123" s="546">
        <v>25</v>
      </c>
      <c r="B123" s="547" t="s">
        <v>974</v>
      </c>
      <c r="C123" s="548" t="s">
        <v>734</v>
      </c>
      <c r="D123" s="549">
        <v>53.265099999999997</v>
      </c>
      <c r="E123" s="549">
        <v>48.826300000000003</v>
      </c>
      <c r="F123" s="549">
        <v>44.387599999999999</v>
      </c>
      <c r="G123" s="549">
        <v>37.729399999999998</v>
      </c>
      <c r="H123" s="549">
        <v>28.851900000000001</v>
      </c>
    </row>
    <row r="124" spans="1:8" s="544" customFormat="1" ht="14" customHeight="1" x14ac:dyDescent="0.2">
      <c r="A124" s="550">
        <v>26</v>
      </c>
      <c r="B124" s="551" t="s">
        <v>975</v>
      </c>
      <c r="C124" s="552" t="s">
        <v>929</v>
      </c>
      <c r="D124" s="553">
        <v>60.074599999999997</v>
      </c>
      <c r="E124" s="553">
        <v>55.068300000000001</v>
      </c>
      <c r="F124" s="553">
        <v>50.062100000000001</v>
      </c>
      <c r="G124" s="553">
        <v>42.552799999999998</v>
      </c>
      <c r="H124" s="553">
        <v>32.540399999999998</v>
      </c>
    </row>
    <row r="125" spans="1:8" s="544" customFormat="1" ht="14" customHeight="1" x14ac:dyDescent="0.2">
      <c r="A125" s="546">
        <v>27</v>
      </c>
      <c r="B125" s="547" t="s">
        <v>131</v>
      </c>
      <c r="C125" s="548" t="s">
        <v>734</v>
      </c>
      <c r="D125" s="549">
        <v>53.265099999999997</v>
      </c>
      <c r="E125" s="549">
        <v>48.826300000000003</v>
      </c>
      <c r="F125" s="549">
        <v>44.387599999999999</v>
      </c>
      <c r="G125" s="549">
        <v>37.729399999999998</v>
      </c>
      <c r="H125" s="549">
        <v>28.851900000000001</v>
      </c>
    </row>
    <row r="126" spans="1:8" s="544" customFormat="1" ht="14" customHeight="1" x14ac:dyDescent="0.2">
      <c r="A126" s="550">
        <v>28</v>
      </c>
      <c r="B126" s="551" t="s">
        <v>977</v>
      </c>
      <c r="C126" s="552" t="s">
        <v>934</v>
      </c>
      <c r="D126" s="553">
        <v>53.265099999999997</v>
      </c>
      <c r="E126" s="553">
        <v>48.826300000000003</v>
      </c>
      <c r="F126" s="553">
        <v>44.387599999999999</v>
      </c>
      <c r="G126" s="553">
        <v>37.729399999999998</v>
      </c>
      <c r="H126" s="553">
        <v>28.851900000000001</v>
      </c>
    </row>
    <row r="127" spans="1:8" s="544" customFormat="1" ht="14" customHeight="1" x14ac:dyDescent="0.2">
      <c r="A127" s="546">
        <v>29</v>
      </c>
      <c r="B127" s="547" t="s">
        <v>978</v>
      </c>
      <c r="C127" s="548" t="s">
        <v>927</v>
      </c>
      <c r="D127" s="549">
        <v>56.215899999999998</v>
      </c>
      <c r="E127" s="549">
        <v>51.531199999999998</v>
      </c>
      <c r="F127" s="549">
        <v>46.846600000000002</v>
      </c>
      <c r="G127" s="549">
        <v>39.819600000000001</v>
      </c>
      <c r="H127" s="549">
        <v>30.450299999999999</v>
      </c>
    </row>
    <row r="128" spans="1:8" s="544" customFormat="1" ht="14" customHeight="1" x14ac:dyDescent="0.2">
      <c r="A128" s="550">
        <v>30</v>
      </c>
      <c r="B128" s="551" t="s">
        <v>980</v>
      </c>
      <c r="C128" s="552" t="s">
        <v>927</v>
      </c>
      <c r="D128" s="553">
        <v>56.215899999999998</v>
      </c>
      <c r="E128" s="553">
        <v>51.531199999999998</v>
      </c>
      <c r="F128" s="553">
        <v>46.846600000000002</v>
      </c>
      <c r="G128" s="553">
        <v>39.819600000000001</v>
      </c>
      <c r="H128" s="553">
        <v>30.450299999999999</v>
      </c>
    </row>
    <row r="129" spans="1:8" s="544" customFormat="1" ht="14" customHeight="1" x14ac:dyDescent="0.2">
      <c r="A129" s="546">
        <v>31</v>
      </c>
      <c r="B129" s="547" t="s">
        <v>343</v>
      </c>
      <c r="C129" s="548" t="s">
        <v>929</v>
      </c>
      <c r="D129" s="549">
        <v>60.074599999999997</v>
      </c>
      <c r="E129" s="549">
        <v>55.068300000000001</v>
      </c>
      <c r="F129" s="549">
        <v>50.062100000000001</v>
      </c>
      <c r="G129" s="549">
        <v>42.552799999999998</v>
      </c>
      <c r="H129" s="549">
        <v>32.540399999999998</v>
      </c>
    </row>
    <row r="130" spans="1:8" s="544" customFormat="1" ht="14" customHeight="1" x14ac:dyDescent="0.2">
      <c r="A130" s="550">
        <v>32</v>
      </c>
      <c r="B130" s="551" t="s">
        <v>982</v>
      </c>
      <c r="C130" s="552" t="s">
        <v>934</v>
      </c>
      <c r="D130" s="553">
        <v>53.265099999999997</v>
      </c>
      <c r="E130" s="553">
        <v>48.826300000000003</v>
      </c>
      <c r="F130" s="553">
        <v>44.387599999999999</v>
      </c>
      <c r="G130" s="553">
        <v>37.729399999999998</v>
      </c>
      <c r="H130" s="553">
        <v>28.851900000000001</v>
      </c>
    </row>
    <row r="131" spans="1:8" s="544" customFormat="1" ht="14" customHeight="1" x14ac:dyDescent="0.2">
      <c r="A131" s="546">
        <v>33</v>
      </c>
      <c r="B131" s="547" t="s">
        <v>983</v>
      </c>
      <c r="C131" s="548" t="s">
        <v>934</v>
      </c>
      <c r="D131" s="549">
        <v>53.265099999999997</v>
      </c>
      <c r="E131" s="549">
        <v>48.826300000000003</v>
      </c>
      <c r="F131" s="549">
        <v>44.387599999999999</v>
      </c>
      <c r="G131" s="549">
        <v>37.729399999999998</v>
      </c>
      <c r="H131" s="549">
        <v>28.851900000000001</v>
      </c>
    </row>
    <row r="132" spans="1:8" s="544" customFormat="1" ht="14" customHeight="1" x14ac:dyDescent="0.2">
      <c r="A132" s="550">
        <v>34</v>
      </c>
      <c r="B132" s="551" t="s">
        <v>985</v>
      </c>
      <c r="C132" s="552" t="s">
        <v>934</v>
      </c>
      <c r="D132" s="553">
        <v>53.265099999999997</v>
      </c>
      <c r="E132" s="553">
        <v>48.826300000000003</v>
      </c>
      <c r="F132" s="553">
        <v>44.387599999999999</v>
      </c>
      <c r="G132" s="553">
        <v>37.729399999999998</v>
      </c>
      <c r="H132" s="553">
        <v>28.851900000000001</v>
      </c>
    </row>
    <row r="133" spans="1:8" s="544" customFormat="1" ht="14" customHeight="1" x14ac:dyDescent="0.2">
      <c r="A133" s="546">
        <v>35</v>
      </c>
      <c r="B133" s="547" t="s">
        <v>986</v>
      </c>
      <c r="C133" s="548" t="s">
        <v>923</v>
      </c>
      <c r="D133" s="549">
        <v>46.455599999999997</v>
      </c>
      <c r="E133" s="549">
        <v>42.584299999999999</v>
      </c>
      <c r="F133" s="549">
        <v>38.713000000000001</v>
      </c>
      <c r="G133" s="549">
        <v>32.906100000000002</v>
      </c>
      <c r="H133" s="549">
        <v>25.163499999999999</v>
      </c>
    </row>
    <row r="134" spans="1:8" s="544" customFormat="1" ht="14" customHeight="1" x14ac:dyDescent="0.2">
      <c r="A134" s="550">
        <v>36</v>
      </c>
      <c r="B134" s="551" t="s">
        <v>988</v>
      </c>
      <c r="C134" s="552" t="s">
        <v>934</v>
      </c>
      <c r="D134" s="553">
        <v>53.265099999999997</v>
      </c>
      <c r="E134" s="553">
        <v>48.826300000000003</v>
      </c>
      <c r="F134" s="553">
        <v>44.387599999999999</v>
      </c>
      <c r="G134" s="553">
        <v>37.729399999999998</v>
      </c>
      <c r="H134" s="553">
        <v>28.851900000000001</v>
      </c>
    </row>
    <row r="135" spans="1:8" s="544" customFormat="1" ht="14" customHeight="1" x14ac:dyDescent="0.2">
      <c r="A135" s="546">
        <v>37</v>
      </c>
      <c r="B135" s="547" t="s">
        <v>989</v>
      </c>
      <c r="C135" s="548" t="s">
        <v>934</v>
      </c>
      <c r="D135" s="549">
        <v>53.265099999999997</v>
      </c>
      <c r="E135" s="549">
        <v>48.826300000000003</v>
      </c>
      <c r="F135" s="549">
        <v>44.387599999999999</v>
      </c>
      <c r="G135" s="549">
        <v>37.729399999999998</v>
      </c>
      <c r="H135" s="549">
        <v>28.851900000000001</v>
      </c>
    </row>
    <row r="136" spans="1:8" s="544" customFormat="1" ht="14" customHeight="1" x14ac:dyDescent="0.2">
      <c r="A136" s="550">
        <v>38</v>
      </c>
      <c r="B136" s="551" t="s">
        <v>990</v>
      </c>
      <c r="C136" s="552" t="s">
        <v>934</v>
      </c>
      <c r="D136" s="553">
        <v>53.265099999999997</v>
      </c>
      <c r="E136" s="553">
        <v>48.826300000000003</v>
      </c>
      <c r="F136" s="553">
        <v>44.387599999999999</v>
      </c>
      <c r="G136" s="553">
        <v>37.729399999999998</v>
      </c>
      <c r="H136" s="553">
        <v>28.851900000000001</v>
      </c>
    </row>
    <row r="137" spans="1:8" s="544" customFormat="1" ht="14" customHeight="1" x14ac:dyDescent="0.2">
      <c r="A137" s="546">
        <v>39</v>
      </c>
      <c r="B137" s="547" t="s">
        <v>991</v>
      </c>
      <c r="C137" s="548" t="s">
        <v>934</v>
      </c>
      <c r="D137" s="549">
        <v>53.265099999999997</v>
      </c>
      <c r="E137" s="549">
        <v>48.826300000000003</v>
      </c>
      <c r="F137" s="549">
        <v>44.387599999999999</v>
      </c>
      <c r="G137" s="549">
        <v>37.729399999999998</v>
      </c>
      <c r="H137" s="549">
        <v>28.851900000000001</v>
      </c>
    </row>
    <row r="138" spans="1:8" s="544" customFormat="1" ht="14" customHeight="1" x14ac:dyDescent="0.2">
      <c r="A138" s="550">
        <v>40</v>
      </c>
      <c r="B138" s="551" t="s">
        <v>992</v>
      </c>
      <c r="C138" s="552" t="s">
        <v>934</v>
      </c>
      <c r="D138" s="553">
        <v>53.265099999999997</v>
      </c>
      <c r="E138" s="553">
        <v>48.826300000000003</v>
      </c>
      <c r="F138" s="553">
        <v>44.387599999999999</v>
      </c>
      <c r="G138" s="553">
        <v>37.729399999999998</v>
      </c>
      <c r="H138" s="553">
        <v>28.851900000000001</v>
      </c>
    </row>
    <row r="139" spans="1:8" s="544" customFormat="1" ht="14" customHeight="1" x14ac:dyDescent="0.2">
      <c r="A139" s="546">
        <v>41</v>
      </c>
      <c r="B139" s="547" t="s">
        <v>993</v>
      </c>
      <c r="C139" s="548" t="s">
        <v>934</v>
      </c>
      <c r="D139" s="549">
        <v>53.265099999999997</v>
      </c>
      <c r="E139" s="549">
        <v>48.826300000000003</v>
      </c>
      <c r="F139" s="549">
        <v>44.387599999999999</v>
      </c>
      <c r="G139" s="549">
        <v>37.729399999999998</v>
      </c>
      <c r="H139" s="549">
        <v>28.851900000000001</v>
      </c>
    </row>
    <row r="140" spans="1:8" s="544" customFormat="1" ht="14" customHeight="1" x14ac:dyDescent="0.2">
      <c r="A140" s="550">
        <v>42</v>
      </c>
      <c r="B140" s="551" t="s">
        <v>994</v>
      </c>
      <c r="C140" s="552" t="s">
        <v>934</v>
      </c>
      <c r="D140" s="553">
        <v>53.265099999999997</v>
      </c>
      <c r="E140" s="553">
        <v>48.826300000000003</v>
      </c>
      <c r="F140" s="553">
        <v>44.387599999999999</v>
      </c>
      <c r="G140" s="553">
        <v>37.729399999999998</v>
      </c>
      <c r="H140" s="553">
        <v>28.851900000000001</v>
      </c>
    </row>
    <row r="141" spans="1:8" s="544" customFormat="1" ht="14" customHeight="1" x14ac:dyDescent="0.2">
      <c r="A141" s="546">
        <v>43</v>
      </c>
      <c r="B141" s="547" t="s">
        <v>147</v>
      </c>
      <c r="C141" s="548" t="s">
        <v>929</v>
      </c>
      <c r="D141" s="549">
        <v>60.074599999999997</v>
      </c>
      <c r="E141" s="549">
        <v>55.068300000000001</v>
      </c>
      <c r="F141" s="549">
        <v>50.062100000000001</v>
      </c>
      <c r="G141" s="549">
        <v>42.552799999999998</v>
      </c>
      <c r="H141" s="549">
        <v>32.540399999999998</v>
      </c>
    </row>
    <row r="142" spans="1:8" s="544" customFormat="1" ht="14" customHeight="1" x14ac:dyDescent="0.2">
      <c r="A142" s="550">
        <v>44</v>
      </c>
      <c r="B142" s="551" t="s">
        <v>995</v>
      </c>
      <c r="C142" s="552" t="s">
        <v>934</v>
      </c>
      <c r="D142" s="553">
        <v>53.265099999999997</v>
      </c>
      <c r="E142" s="553">
        <v>48.826300000000003</v>
      </c>
      <c r="F142" s="553">
        <v>44.387599999999999</v>
      </c>
      <c r="G142" s="553">
        <v>37.729399999999998</v>
      </c>
      <c r="H142" s="553">
        <v>28.851900000000001</v>
      </c>
    </row>
    <row r="143" spans="1:8" s="544" customFormat="1" ht="14" customHeight="1" x14ac:dyDescent="0.2">
      <c r="A143" s="546">
        <v>45</v>
      </c>
      <c r="B143" s="547" t="s">
        <v>836</v>
      </c>
      <c r="C143" s="548" t="s">
        <v>934</v>
      </c>
      <c r="D143" s="549">
        <v>53.265099999999997</v>
      </c>
      <c r="E143" s="549">
        <v>48.826300000000003</v>
      </c>
      <c r="F143" s="549">
        <v>44.387599999999999</v>
      </c>
      <c r="G143" s="549">
        <v>37.729399999999998</v>
      </c>
      <c r="H143" s="549">
        <v>28.851900000000001</v>
      </c>
    </row>
    <row r="144" spans="1:8" s="544" customFormat="1" ht="14" customHeight="1" x14ac:dyDescent="0.2">
      <c r="A144" s="550">
        <v>46</v>
      </c>
      <c r="B144" s="551" t="s">
        <v>997</v>
      </c>
      <c r="C144" s="552" t="s">
        <v>934</v>
      </c>
      <c r="D144" s="553">
        <v>53.265099999999997</v>
      </c>
      <c r="E144" s="553">
        <v>48.826300000000003</v>
      </c>
      <c r="F144" s="553">
        <v>44.387599999999999</v>
      </c>
      <c r="G144" s="553">
        <v>37.729399999999998</v>
      </c>
      <c r="H144" s="553">
        <v>28.851900000000001</v>
      </c>
    </row>
    <row r="145" spans="1:8" s="544" customFormat="1" ht="14" customHeight="1" x14ac:dyDescent="0.2">
      <c r="A145" s="546">
        <v>47</v>
      </c>
      <c r="B145" s="547" t="s">
        <v>998</v>
      </c>
      <c r="C145" s="548" t="s">
        <v>934</v>
      </c>
      <c r="D145" s="549">
        <v>53.265099999999997</v>
      </c>
      <c r="E145" s="549">
        <v>48.826300000000003</v>
      </c>
      <c r="F145" s="549">
        <v>44.387599999999999</v>
      </c>
      <c r="G145" s="549">
        <v>37.729399999999998</v>
      </c>
      <c r="H145" s="549">
        <v>28.851900000000001</v>
      </c>
    </row>
    <row r="146" spans="1:8" s="544" customFormat="1" ht="14" customHeight="1" x14ac:dyDescent="0.2">
      <c r="A146" s="550">
        <v>48</v>
      </c>
      <c r="B146" s="551" t="s">
        <v>999</v>
      </c>
      <c r="C146" s="552" t="s">
        <v>934</v>
      </c>
      <c r="D146" s="553">
        <v>53.265099999999997</v>
      </c>
      <c r="E146" s="553">
        <v>48.826300000000003</v>
      </c>
      <c r="F146" s="553">
        <v>44.387599999999999</v>
      </c>
      <c r="G146" s="553">
        <v>37.729399999999998</v>
      </c>
      <c r="H146" s="553">
        <v>28.851900000000001</v>
      </c>
    </row>
    <row r="147" spans="1:8" s="544" customFormat="1" ht="14" customHeight="1" x14ac:dyDescent="0.2">
      <c r="A147" s="546">
        <v>49</v>
      </c>
      <c r="B147" s="547" t="s">
        <v>1000</v>
      </c>
      <c r="C147" s="548" t="s">
        <v>934</v>
      </c>
      <c r="D147" s="549">
        <v>53.265099999999997</v>
      </c>
      <c r="E147" s="549">
        <v>48.826300000000003</v>
      </c>
      <c r="F147" s="549">
        <v>44.387599999999999</v>
      </c>
      <c r="G147" s="549">
        <v>37.729399999999998</v>
      </c>
      <c r="H147" s="549">
        <v>28.851900000000001</v>
      </c>
    </row>
    <row r="148" spans="1:8" s="544" customFormat="1" ht="14" customHeight="1" x14ac:dyDescent="0.2">
      <c r="A148" s="550">
        <v>50</v>
      </c>
      <c r="B148" s="551" t="s">
        <v>154</v>
      </c>
      <c r="C148" s="552" t="s">
        <v>934</v>
      </c>
      <c r="D148" s="553">
        <v>53.265099999999997</v>
      </c>
      <c r="E148" s="553">
        <v>48.826300000000003</v>
      </c>
      <c r="F148" s="553">
        <v>44.387599999999999</v>
      </c>
      <c r="G148" s="553">
        <v>37.729399999999998</v>
      </c>
      <c r="H148" s="553">
        <v>28.851900000000001</v>
      </c>
    </row>
    <row r="149" spans="1:8" s="544" customFormat="1" ht="14" customHeight="1" x14ac:dyDescent="0.2">
      <c r="A149" s="546">
        <v>51</v>
      </c>
      <c r="B149" s="547" t="s">
        <v>1001</v>
      </c>
      <c r="C149" s="548" t="s">
        <v>934</v>
      </c>
      <c r="D149" s="549">
        <v>53.265099999999997</v>
      </c>
      <c r="E149" s="549">
        <v>48.826300000000003</v>
      </c>
      <c r="F149" s="549">
        <v>44.387599999999999</v>
      </c>
      <c r="G149" s="549">
        <v>37.729399999999998</v>
      </c>
      <c r="H149" s="549">
        <v>28.851900000000001</v>
      </c>
    </row>
    <row r="150" spans="1:8" s="544" customFormat="1" ht="14" customHeight="1" x14ac:dyDescent="0.2">
      <c r="A150" s="550">
        <v>52</v>
      </c>
      <c r="B150" s="551" t="s">
        <v>156</v>
      </c>
      <c r="C150" s="552" t="s">
        <v>934</v>
      </c>
      <c r="D150" s="553">
        <v>53.265099999999997</v>
      </c>
      <c r="E150" s="553">
        <v>48.826300000000003</v>
      </c>
      <c r="F150" s="553">
        <v>44.387599999999999</v>
      </c>
      <c r="G150" s="553">
        <v>37.729399999999998</v>
      </c>
      <c r="H150" s="553">
        <v>28.851900000000001</v>
      </c>
    </row>
    <row r="151" spans="1:8" s="544" customFormat="1" ht="14" customHeight="1" x14ac:dyDescent="0.2">
      <c r="A151" s="546">
        <v>53</v>
      </c>
      <c r="B151" s="547" t="s">
        <v>1002</v>
      </c>
      <c r="C151" s="548" t="s">
        <v>934</v>
      </c>
      <c r="D151" s="549">
        <v>53.265099999999997</v>
      </c>
      <c r="E151" s="549">
        <v>48.826300000000003</v>
      </c>
      <c r="F151" s="549">
        <v>44.387599999999999</v>
      </c>
      <c r="G151" s="549">
        <v>37.729399999999998</v>
      </c>
      <c r="H151" s="549">
        <v>28.851900000000001</v>
      </c>
    </row>
    <row r="152" spans="1:8" s="544" customFormat="1" ht="14" customHeight="1" x14ac:dyDescent="0.2">
      <c r="A152" s="550">
        <v>54</v>
      </c>
      <c r="B152" s="551" t="s">
        <v>1004</v>
      </c>
      <c r="C152" s="552" t="s">
        <v>934</v>
      </c>
      <c r="D152" s="553">
        <v>53.265099999999997</v>
      </c>
      <c r="E152" s="553">
        <v>48.826300000000003</v>
      </c>
      <c r="F152" s="553">
        <v>44.387599999999999</v>
      </c>
      <c r="G152" s="553">
        <v>37.729399999999998</v>
      </c>
      <c r="H152" s="553">
        <v>28.851900000000001</v>
      </c>
    </row>
    <row r="153" spans="1:8" s="544" customFormat="1" ht="14" customHeight="1" x14ac:dyDescent="0.2">
      <c r="A153" s="546">
        <v>55</v>
      </c>
      <c r="B153" s="547" t="s">
        <v>1005</v>
      </c>
      <c r="C153" s="548" t="s">
        <v>934</v>
      </c>
      <c r="D153" s="549">
        <v>53.265099999999997</v>
      </c>
      <c r="E153" s="549">
        <v>48.826300000000003</v>
      </c>
      <c r="F153" s="549">
        <v>44.387599999999999</v>
      </c>
      <c r="G153" s="549">
        <v>37.729399999999998</v>
      </c>
      <c r="H153" s="549">
        <v>28.851900000000001</v>
      </c>
    </row>
    <row r="154" spans="1:8" s="544" customFormat="1" ht="14" customHeight="1" x14ac:dyDescent="0.2">
      <c r="A154" s="550">
        <v>56</v>
      </c>
      <c r="B154" s="551" t="s">
        <v>1006</v>
      </c>
      <c r="C154" s="552" t="s">
        <v>934</v>
      </c>
      <c r="D154" s="553">
        <v>53.265099999999997</v>
      </c>
      <c r="E154" s="553">
        <v>48.826300000000003</v>
      </c>
      <c r="F154" s="553">
        <v>44.387599999999999</v>
      </c>
      <c r="G154" s="553">
        <v>37.729399999999998</v>
      </c>
      <c r="H154" s="553">
        <v>28.851900000000001</v>
      </c>
    </row>
    <row r="155" spans="1:8" s="544" customFormat="1" ht="14" customHeight="1" x14ac:dyDescent="0.2">
      <c r="A155" s="546">
        <v>57</v>
      </c>
      <c r="B155" s="547" t="s">
        <v>1007</v>
      </c>
      <c r="C155" s="548" t="s">
        <v>931</v>
      </c>
      <c r="D155" s="549">
        <v>56.215899999999998</v>
      </c>
      <c r="E155" s="549">
        <v>51.531199999999998</v>
      </c>
      <c r="F155" s="549">
        <v>46.846600000000002</v>
      </c>
      <c r="G155" s="549">
        <v>39.819600000000001</v>
      </c>
      <c r="H155" s="549">
        <v>30.450299999999999</v>
      </c>
    </row>
    <row r="156" spans="1:8" s="544" customFormat="1" ht="14" customHeight="1" x14ac:dyDescent="0.2">
      <c r="A156" s="550">
        <v>58</v>
      </c>
      <c r="B156" s="551" t="s">
        <v>352</v>
      </c>
      <c r="C156" s="552" t="s">
        <v>931</v>
      </c>
      <c r="D156" s="553">
        <v>56.215899999999998</v>
      </c>
      <c r="E156" s="553">
        <v>51.531199999999998</v>
      </c>
      <c r="F156" s="553">
        <v>46.846600000000002</v>
      </c>
      <c r="G156" s="553">
        <v>39.819600000000001</v>
      </c>
      <c r="H156" s="553">
        <v>30.450299999999999</v>
      </c>
    </row>
    <row r="157" spans="1:8" s="544" customFormat="1" ht="14" customHeight="1" x14ac:dyDescent="0.2">
      <c r="A157" s="546">
        <v>59</v>
      </c>
      <c r="B157" s="547" t="s">
        <v>1008</v>
      </c>
      <c r="C157" s="548" t="s">
        <v>931</v>
      </c>
      <c r="D157" s="549">
        <v>56.215899999999998</v>
      </c>
      <c r="E157" s="549">
        <v>51.531199999999998</v>
      </c>
      <c r="F157" s="549">
        <v>46.846600000000002</v>
      </c>
      <c r="G157" s="549">
        <v>39.819600000000001</v>
      </c>
      <c r="H157" s="549">
        <v>30.450299999999999</v>
      </c>
    </row>
    <row r="158" spans="1:8" s="544" customFormat="1" ht="14" customHeight="1" x14ac:dyDescent="0.2">
      <c r="A158" s="550">
        <v>60</v>
      </c>
      <c r="B158" s="551" t="s">
        <v>1009</v>
      </c>
      <c r="C158" s="552" t="s">
        <v>934</v>
      </c>
      <c r="D158" s="553">
        <v>53.265099999999997</v>
      </c>
      <c r="E158" s="553">
        <v>48.826300000000003</v>
      </c>
      <c r="F158" s="553">
        <v>44.387599999999999</v>
      </c>
      <c r="G158" s="553">
        <v>37.729399999999998</v>
      </c>
      <c r="H158" s="553">
        <v>28.851900000000001</v>
      </c>
    </row>
    <row r="159" spans="1:8" s="544" customFormat="1" ht="14" customHeight="1" x14ac:dyDescent="0.2">
      <c r="A159" s="546">
        <v>61</v>
      </c>
      <c r="B159" s="547" t="s">
        <v>1010</v>
      </c>
      <c r="C159" s="548" t="s">
        <v>931</v>
      </c>
      <c r="D159" s="549">
        <v>56.215899999999998</v>
      </c>
      <c r="E159" s="549">
        <v>51.531199999999998</v>
      </c>
      <c r="F159" s="549">
        <v>46.846600000000002</v>
      </c>
      <c r="G159" s="549">
        <v>39.819600000000001</v>
      </c>
      <c r="H159" s="549">
        <v>30.450299999999999</v>
      </c>
    </row>
    <row r="160" spans="1:8" s="544" customFormat="1" ht="14" customHeight="1" x14ac:dyDescent="0.2">
      <c r="A160" s="550">
        <v>62</v>
      </c>
      <c r="B160" s="551" t="s">
        <v>1012</v>
      </c>
      <c r="C160" s="552" t="s">
        <v>923</v>
      </c>
      <c r="D160" s="553">
        <v>46.455599999999997</v>
      </c>
      <c r="E160" s="553">
        <v>42.584299999999999</v>
      </c>
      <c r="F160" s="553">
        <v>38.713000000000001</v>
      </c>
      <c r="G160" s="553">
        <v>32.906100000000002</v>
      </c>
      <c r="H160" s="553">
        <v>25.163499999999999</v>
      </c>
    </row>
    <row r="161" spans="1:8" s="544" customFormat="1" ht="14" customHeight="1" x14ac:dyDescent="0.2">
      <c r="A161" s="546">
        <v>63</v>
      </c>
      <c r="B161" s="547" t="s">
        <v>1013</v>
      </c>
      <c r="C161" s="548" t="s">
        <v>934</v>
      </c>
      <c r="D161" s="549">
        <v>53.265099999999997</v>
      </c>
      <c r="E161" s="549">
        <v>48.826300000000003</v>
      </c>
      <c r="F161" s="549">
        <v>44.387599999999999</v>
      </c>
      <c r="G161" s="549">
        <v>37.729399999999998</v>
      </c>
      <c r="H161" s="549">
        <v>28.851900000000001</v>
      </c>
    </row>
    <row r="162" spans="1:8" s="544" customFormat="1" ht="14" customHeight="1" x14ac:dyDescent="0.2">
      <c r="A162" s="550">
        <v>64</v>
      </c>
      <c r="B162" s="551" t="s">
        <v>1014</v>
      </c>
      <c r="C162" s="552" t="s">
        <v>934</v>
      </c>
      <c r="D162" s="553">
        <v>53.265099999999997</v>
      </c>
      <c r="E162" s="553">
        <v>48.826300000000003</v>
      </c>
      <c r="F162" s="553">
        <v>44.387599999999999</v>
      </c>
      <c r="G162" s="553">
        <v>37.729399999999998</v>
      </c>
      <c r="H162" s="553">
        <v>28.851900000000001</v>
      </c>
    </row>
    <row r="163" spans="1:8" s="544" customFormat="1" ht="14" customHeight="1" x14ac:dyDescent="0.2">
      <c r="A163" s="546">
        <v>65</v>
      </c>
      <c r="B163" s="547" t="s">
        <v>1015</v>
      </c>
      <c r="C163" s="548" t="s">
        <v>934</v>
      </c>
      <c r="D163" s="549">
        <v>53.265099999999997</v>
      </c>
      <c r="E163" s="549">
        <v>48.826300000000003</v>
      </c>
      <c r="F163" s="549">
        <v>44.387599999999999</v>
      </c>
      <c r="G163" s="549">
        <v>37.729399999999998</v>
      </c>
      <c r="H163" s="549">
        <v>28.851900000000001</v>
      </c>
    </row>
    <row r="164" spans="1:8" s="544" customFormat="1" ht="14" customHeight="1" x14ac:dyDescent="0.2">
      <c r="A164" s="550">
        <v>66</v>
      </c>
      <c r="B164" s="551" t="s">
        <v>1016</v>
      </c>
      <c r="C164" s="552" t="s">
        <v>934</v>
      </c>
      <c r="D164" s="553">
        <v>53.265099999999997</v>
      </c>
      <c r="E164" s="553">
        <v>48.826300000000003</v>
      </c>
      <c r="F164" s="553">
        <v>44.387599999999999</v>
      </c>
      <c r="G164" s="553">
        <v>37.729399999999998</v>
      </c>
      <c r="H164" s="553">
        <v>28.851900000000001</v>
      </c>
    </row>
    <row r="165" spans="1:8" s="544" customFormat="1" ht="14" customHeight="1" x14ac:dyDescent="0.2">
      <c r="A165" s="546">
        <v>67</v>
      </c>
      <c r="B165" s="547" t="s">
        <v>1017</v>
      </c>
      <c r="C165" s="548" t="s">
        <v>915</v>
      </c>
      <c r="D165" s="549">
        <v>65.900400000000005</v>
      </c>
      <c r="E165" s="549">
        <v>60.408700000000003</v>
      </c>
      <c r="F165" s="549">
        <v>54.917000000000002</v>
      </c>
      <c r="G165" s="549">
        <v>46.679499999999997</v>
      </c>
      <c r="H165" s="549">
        <v>35.696100000000001</v>
      </c>
    </row>
    <row r="166" spans="1:8" s="544" customFormat="1" ht="16" x14ac:dyDescent="0.2">
      <c r="A166" s="620" t="s">
        <v>1189</v>
      </c>
      <c r="B166" s="612"/>
      <c r="C166" s="612"/>
      <c r="D166" s="554">
        <v>54.1</v>
      </c>
      <c r="E166" s="554">
        <v>49.6</v>
      </c>
      <c r="F166" s="554">
        <v>45.1</v>
      </c>
      <c r="G166" s="554">
        <v>38.4</v>
      </c>
      <c r="H166" s="554">
        <v>29.3</v>
      </c>
    </row>
    <row r="167" spans="1:8" s="544" customFormat="1" ht="16" x14ac:dyDescent="0.2"/>
    <row r="168" spans="1:8" s="544" customFormat="1" ht="28" customHeight="1" x14ac:dyDescent="0.2">
      <c r="A168" s="611" t="s">
        <v>1190</v>
      </c>
      <c r="B168" s="612"/>
      <c r="C168" s="612"/>
      <c r="D168" s="612"/>
      <c r="E168" s="612"/>
      <c r="F168" s="612"/>
      <c r="G168" s="612"/>
      <c r="H168" s="612"/>
    </row>
  </sheetData>
  <mergeCells count="6">
    <mergeCell ref="A168:H168"/>
    <mergeCell ref="A1:E1"/>
    <mergeCell ref="A24:F24"/>
    <mergeCell ref="A94:F94"/>
    <mergeCell ref="A97:H97"/>
    <mergeCell ref="A166:C16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CFC38-D928-0D4A-A44C-72333E166AC7}">
  <dimension ref="A1:I100"/>
  <sheetViews>
    <sheetView topLeftCell="A15" zoomScale="125" workbookViewId="0">
      <selection activeCell="F52" sqref="F52"/>
    </sheetView>
  </sheetViews>
  <sheetFormatPr baseColWidth="10" defaultColWidth="8.83203125" defaultRowHeight="15" x14ac:dyDescent="0.2"/>
  <cols>
    <col min="1" max="1" width="16.33203125" style="84" customWidth="1"/>
    <col min="2" max="2" width="23.1640625" style="84" customWidth="1"/>
    <col min="3" max="3" width="13.1640625" style="84" customWidth="1"/>
    <col min="4" max="4" width="10.83203125" style="84" customWidth="1"/>
    <col min="5" max="5" width="10.1640625" style="84" customWidth="1"/>
    <col min="6" max="6" width="9.83203125" style="84" customWidth="1"/>
    <col min="7" max="7" width="8.33203125" style="84" customWidth="1"/>
    <col min="8" max="8" width="35.83203125" style="84" customWidth="1"/>
    <col min="9" max="9" width="43.83203125" style="84" customWidth="1"/>
    <col min="10" max="16384" width="8.83203125" style="84"/>
  </cols>
  <sheetData>
    <row r="1" spans="1:8" ht="20" customHeight="1" x14ac:dyDescent="0.2">
      <c r="A1" s="623" t="s">
        <v>889</v>
      </c>
      <c r="B1" s="624"/>
      <c r="C1" s="624"/>
      <c r="D1" s="624"/>
      <c r="E1" s="624"/>
      <c r="F1" s="624"/>
      <c r="G1" s="624"/>
    </row>
    <row r="2" spans="1:8" ht="27" customHeight="1" x14ac:dyDescent="0.2">
      <c r="A2" s="625" t="s">
        <v>890</v>
      </c>
      <c r="B2" s="605"/>
      <c r="C2" s="605"/>
      <c r="D2" s="605"/>
      <c r="E2" s="605"/>
      <c r="F2" s="605"/>
      <c r="G2" s="605"/>
    </row>
    <row r="4" spans="1:8" x14ac:dyDescent="0.2">
      <c r="A4" s="626" t="s">
        <v>891</v>
      </c>
      <c r="B4" s="626"/>
      <c r="C4" s="626"/>
      <c r="D4" s="626"/>
      <c r="E4" s="626"/>
      <c r="F4" s="626"/>
      <c r="G4" s="626"/>
    </row>
    <row r="5" spans="1:8" ht="30" customHeight="1" x14ac:dyDescent="0.2">
      <c r="A5" s="329" t="s">
        <v>892</v>
      </c>
      <c r="B5" s="329" t="s">
        <v>893</v>
      </c>
      <c r="C5" s="329" t="s">
        <v>894</v>
      </c>
      <c r="D5" s="329" t="s">
        <v>895</v>
      </c>
      <c r="E5" s="329" t="s">
        <v>896</v>
      </c>
      <c r="F5" s="329" t="s">
        <v>897</v>
      </c>
      <c r="G5" s="329" t="s">
        <v>898</v>
      </c>
    </row>
    <row r="6" spans="1:8" ht="71" customHeight="1" x14ac:dyDescent="0.2">
      <c r="A6" s="330" t="s">
        <v>899</v>
      </c>
      <c r="B6" s="331">
        <v>610</v>
      </c>
      <c r="C6" s="331">
        <v>883</v>
      </c>
      <c r="D6" s="331">
        <v>1122</v>
      </c>
      <c r="E6" s="331">
        <v>1550</v>
      </c>
      <c r="F6" s="331">
        <v>3705</v>
      </c>
      <c r="G6" s="332" t="s">
        <v>900</v>
      </c>
    </row>
    <row r="7" spans="1:8" ht="35" customHeight="1" x14ac:dyDescent="0.2">
      <c r="A7" s="330" t="s">
        <v>901</v>
      </c>
      <c r="B7" s="333">
        <v>-3.5775339199673022</v>
      </c>
      <c r="C7" s="333">
        <v>-3.1315305111527798</v>
      </c>
      <c r="D7" s="333">
        <v>-2.87279788428879</v>
      </c>
      <c r="E7" s="333">
        <v>-2.557308307326057</v>
      </c>
      <c r="F7" s="333">
        <v>-1.868696380195509</v>
      </c>
      <c r="G7" s="332"/>
    </row>
    <row r="8" spans="1:8" ht="40" customHeight="1" x14ac:dyDescent="0.2">
      <c r="A8" s="330" t="s">
        <v>902</v>
      </c>
      <c r="B8" s="334">
        <v>0.72047784245491098</v>
      </c>
      <c r="C8" s="334">
        <v>0.68066732978058075</v>
      </c>
      <c r="D8" s="334">
        <v>0.65190729028695071</v>
      </c>
      <c r="E8" s="335">
        <v>0.60896384798999514</v>
      </c>
      <c r="F8" s="336">
        <v>0.46486758865804789</v>
      </c>
      <c r="G8" s="332"/>
    </row>
    <row r="9" spans="1:8" ht="29" customHeight="1" x14ac:dyDescent="0.2">
      <c r="A9" s="330" t="s">
        <v>903</v>
      </c>
      <c r="B9" s="337">
        <v>0.27952215754508902</v>
      </c>
      <c r="C9" s="336">
        <v>0.31933267021941919</v>
      </c>
      <c r="D9" s="336">
        <v>0.34809270971304929</v>
      </c>
      <c r="E9" s="336">
        <v>0.39103615201000491</v>
      </c>
      <c r="F9" s="336">
        <v>0.53513241134195211</v>
      </c>
      <c r="G9" s="332"/>
    </row>
    <row r="12" spans="1:8" x14ac:dyDescent="0.2">
      <c r="A12" s="622" t="s">
        <v>904</v>
      </c>
      <c r="B12" s="622"/>
      <c r="C12" s="622"/>
      <c r="D12" s="622"/>
      <c r="E12" s="622"/>
      <c r="F12" s="622"/>
      <c r="G12" s="622"/>
    </row>
    <row r="13" spans="1:8" x14ac:dyDescent="0.2">
      <c r="A13" s="627" t="s">
        <v>905</v>
      </c>
      <c r="B13" s="628"/>
      <c r="C13" s="628"/>
      <c r="D13" s="628"/>
      <c r="E13" s="628"/>
      <c r="F13" s="628"/>
      <c r="G13" s="628"/>
      <c r="H13" s="628"/>
    </row>
    <row r="14" spans="1:8" ht="29" customHeight="1" x14ac:dyDescent="0.2">
      <c r="A14" s="629" t="s">
        <v>906</v>
      </c>
      <c r="B14" s="608"/>
      <c r="C14" s="608"/>
      <c r="D14" s="608"/>
      <c r="E14" s="608"/>
      <c r="F14" s="608"/>
      <c r="G14" s="608"/>
      <c r="H14" s="608"/>
    </row>
    <row r="15" spans="1:8" ht="26" x14ac:dyDescent="0.2">
      <c r="A15" s="329" t="s">
        <v>907</v>
      </c>
      <c r="B15" s="329" t="s">
        <v>908</v>
      </c>
      <c r="C15" s="329" t="s">
        <v>909</v>
      </c>
      <c r="D15" s="329" t="s">
        <v>910</v>
      </c>
      <c r="E15" s="329" t="s">
        <v>911</v>
      </c>
      <c r="F15" s="329" t="s">
        <v>912</v>
      </c>
      <c r="G15" s="329" t="s">
        <v>913</v>
      </c>
      <c r="H15" s="329" t="s">
        <v>914</v>
      </c>
    </row>
    <row r="16" spans="1:8" ht="15" customHeight="1" x14ac:dyDescent="0.2">
      <c r="A16" s="338" t="s">
        <v>915</v>
      </c>
      <c r="B16" s="339">
        <v>0.871</v>
      </c>
      <c r="C16" s="340">
        <v>0.84459784761538015</v>
      </c>
      <c r="D16" s="340">
        <v>0.79792899628383018</v>
      </c>
      <c r="E16" s="340">
        <v>0.76421433356653312</v>
      </c>
      <c r="F16" s="341">
        <v>0.71387282853201317</v>
      </c>
      <c r="G16" s="341">
        <v>0.54495244915364704</v>
      </c>
      <c r="H16" s="342" t="s">
        <v>916</v>
      </c>
    </row>
    <row r="17" spans="1:9" ht="15" customHeight="1" x14ac:dyDescent="0.2">
      <c r="A17" s="343" t="s">
        <v>917</v>
      </c>
      <c r="B17" s="344">
        <v>0.79400000000000004</v>
      </c>
      <c r="C17" s="345">
        <v>0.76993190701103553</v>
      </c>
      <c r="D17" s="346">
        <v>0.72738877502796928</v>
      </c>
      <c r="E17" s="346">
        <v>0.69665462784365939</v>
      </c>
      <c r="F17" s="346">
        <v>0.65076351992470549</v>
      </c>
      <c r="G17" s="346">
        <v>0.49677640026176317</v>
      </c>
      <c r="H17" s="347" t="s">
        <v>918</v>
      </c>
    </row>
    <row r="18" spans="1:9" ht="15" customHeight="1" x14ac:dyDescent="0.2">
      <c r="A18" s="348" t="s">
        <v>919</v>
      </c>
      <c r="B18" s="349">
        <v>0.76900000000000002</v>
      </c>
      <c r="C18" s="350">
        <v>0.74568971850313137</v>
      </c>
      <c r="D18" s="350">
        <v>0.70448610578905335</v>
      </c>
      <c r="E18" s="350">
        <v>0.67471965845311599</v>
      </c>
      <c r="F18" s="350">
        <v>0.63027348466259259</v>
      </c>
      <c r="G18" s="350">
        <v>0.48113482594621648</v>
      </c>
      <c r="H18" s="351" t="s">
        <v>920</v>
      </c>
    </row>
    <row r="19" spans="1:9" ht="15" customHeight="1" x14ac:dyDescent="0.2">
      <c r="A19" s="352" t="s">
        <v>921</v>
      </c>
      <c r="B19" s="353">
        <v>0.79400000000000004</v>
      </c>
      <c r="C19" s="354">
        <v>0.76993190701103553</v>
      </c>
      <c r="D19" s="355">
        <v>0.72738877502796928</v>
      </c>
      <c r="E19" s="355">
        <v>0.69665462784365939</v>
      </c>
      <c r="F19" s="355">
        <v>0.65076351992470549</v>
      </c>
      <c r="G19" s="355">
        <v>0.49677640026176317</v>
      </c>
      <c r="H19" s="356" t="s">
        <v>922</v>
      </c>
    </row>
    <row r="20" spans="1:9" ht="15" customHeight="1" x14ac:dyDescent="0.2">
      <c r="A20" s="357" t="s">
        <v>923</v>
      </c>
      <c r="B20" s="358">
        <v>0.61399999999999999</v>
      </c>
      <c r="C20" s="359">
        <v>0.59538814975412557</v>
      </c>
      <c r="D20" s="359">
        <v>0.56248955650777466</v>
      </c>
      <c r="E20" s="359">
        <v>0.53872284823174665</v>
      </c>
      <c r="F20" s="359">
        <v>0.50323526603749258</v>
      </c>
      <c r="G20" s="360">
        <v>0.3841570651898269</v>
      </c>
      <c r="H20" s="361" t="s">
        <v>924</v>
      </c>
    </row>
    <row r="21" spans="1:9" ht="15" customHeight="1" x14ac:dyDescent="0.2">
      <c r="A21" s="362" t="s">
        <v>925</v>
      </c>
      <c r="B21" s="363">
        <v>0.74299999999999999</v>
      </c>
      <c r="C21" s="364">
        <v>0.72047784245491098</v>
      </c>
      <c r="D21" s="364">
        <v>0.68066732978058075</v>
      </c>
      <c r="E21" s="364">
        <v>0.65190729028695071</v>
      </c>
      <c r="F21" s="364">
        <v>0.60896384798999514</v>
      </c>
      <c r="G21" s="364">
        <v>0.46486758865804789</v>
      </c>
      <c r="H21" s="365" t="s">
        <v>926</v>
      </c>
    </row>
    <row r="22" spans="1:9" ht="15" customHeight="1" x14ac:dyDescent="0.2">
      <c r="A22" s="366" t="s">
        <v>927</v>
      </c>
      <c r="B22" s="367">
        <v>0.74299999999999999</v>
      </c>
      <c r="C22" s="368">
        <v>0.72047784245491098</v>
      </c>
      <c r="D22" s="368">
        <v>0.68066732978058075</v>
      </c>
      <c r="E22" s="368">
        <v>0.65190729028695071</v>
      </c>
      <c r="F22" s="368">
        <v>0.60896384798999514</v>
      </c>
      <c r="G22" s="368">
        <v>0.46486758865804789</v>
      </c>
      <c r="H22" s="369" t="s">
        <v>928</v>
      </c>
    </row>
    <row r="23" spans="1:9" ht="15" customHeight="1" x14ac:dyDescent="0.2">
      <c r="A23" s="370" t="s">
        <v>929</v>
      </c>
      <c r="B23" s="371">
        <v>0.79400000000000004</v>
      </c>
      <c r="C23" s="372">
        <v>0.76993190701103553</v>
      </c>
      <c r="D23" s="373">
        <v>0.72738877502796928</v>
      </c>
      <c r="E23" s="373">
        <v>0.69665462784365939</v>
      </c>
      <c r="F23" s="373">
        <v>0.65076351992470549</v>
      </c>
      <c r="G23" s="373">
        <v>0.49677640026176317</v>
      </c>
      <c r="H23" s="374" t="s">
        <v>930</v>
      </c>
    </row>
    <row r="24" spans="1:9" ht="15" customHeight="1" x14ac:dyDescent="0.2">
      <c r="A24" s="375" t="s">
        <v>931</v>
      </c>
      <c r="B24" s="376">
        <v>0.74299999999999999</v>
      </c>
      <c r="C24" s="377">
        <v>0.72047784245491098</v>
      </c>
      <c r="D24" s="377">
        <v>0.68066732978058075</v>
      </c>
      <c r="E24" s="377">
        <v>0.65190729028695071</v>
      </c>
      <c r="F24" s="377">
        <v>0.60896384798999514</v>
      </c>
      <c r="G24" s="377">
        <v>0.46486758865804789</v>
      </c>
      <c r="H24" s="378" t="s">
        <v>932</v>
      </c>
    </row>
    <row r="25" spans="1:9" ht="15" customHeight="1" x14ac:dyDescent="0.2">
      <c r="A25" s="379" t="s">
        <v>734</v>
      </c>
      <c r="B25" s="380">
        <v>0.70400000000000007</v>
      </c>
      <c r="C25" s="381">
        <v>0.68266002838258055</v>
      </c>
      <c r="D25" s="381">
        <v>0.64493916576787202</v>
      </c>
      <c r="E25" s="381">
        <v>0.61768873803770308</v>
      </c>
      <c r="F25" s="381">
        <v>0.57699939298109915</v>
      </c>
      <c r="G25" s="381">
        <v>0.44046673272579512</v>
      </c>
      <c r="H25" s="382" t="s">
        <v>933</v>
      </c>
    </row>
    <row r="26" spans="1:9" ht="15" customHeight="1" x14ac:dyDescent="0.2">
      <c r="A26" s="383" t="s">
        <v>934</v>
      </c>
      <c r="B26" s="384">
        <v>0.70400000000000007</v>
      </c>
      <c r="C26" s="385">
        <v>0.68266002838258055</v>
      </c>
      <c r="D26" s="385">
        <v>0.64493916576787202</v>
      </c>
      <c r="E26" s="385">
        <v>0.61768873803770308</v>
      </c>
      <c r="F26" s="385">
        <v>0.57699939298109915</v>
      </c>
      <c r="G26" s="385">
        <v>0.44046673272579512</v>
      </c>
      <c r="H26" s="386" t="s">
        <v>935</v>
      </c>
    </row>
    <row r="27" spans="1:9" ht="14" customHeight="1" x14ac:dyDescent="0.2">
      <c r="A27" s="387" t="s">
        <v>936</v>
      </c>
      <c r="B27" s="388">
        <v>0.74299999999999999</v>
      </c>
      <c r="C27" s="389">
        <v>0.72047784245491098</v>
      </c>
      <c r="D27" s="389">
        <v>0.68066732978058075</v>
      </c>
      <c r="E27" s="389">
        <v>0.65190729028695071</v>
      </c>
      <c r="F27" s="389">
        <v>0.60896384798999514</v>
      </c>
      <c r="G27" s="389">
        <v>0.46486758865804789</v>
      </c>
      <c r="H27" s="390" t="s">
        <v>937</v>
      </c>
    </row>
    <row r="29" spans="1:9" x14ac:dyDescent="0.2">
      <c r="A29" s="622" t="s">
        <v>1020</v>
      </c>
      <c r="B29" s="622"/>
      <c r="C29" s="622"/>
      <c r="D29" s="622"/>
      <c r="E29" s="622"/>
      <c r="F29" s="622"/>
      <c r="G29" s="622"/>
      <c r="H29" s="622"/>
    </row>
    <row r="30" spans="1:9" x14ac:dyDescent="0.2">
      <c r="A30" s="627" t="s">
        <v>938</v>
      </c>
      <c r="B30" s="628"/>
      <c r="C30" s="628"/>
      <c r="D30" s="628"/>
      <c r="E30" s="628"/>
      <c r="F30" s="628"/>
      <c r="G30" s="628"/>
      <c r="H30" s="628"/>
      <c r="I30" s="628"/>
    </row>
    <row r="31" spans="1:9" x14ac:dyDescent="0.2">
      <c r="A31" s="481" t="s">
        <v>1092</v>
      </c>
      <c r="B31" s="481" t="s">
        <v>940</v>
      </c>
      <c r="C31" s="481" t="s">
        <v>941</v>
      </c>
      <c r="D31" s="481" t="s">
        <v>942</v>
      </c>
      <c r="E31" s="481" t="s">
        <v>943</v>
      </c>
      <c r="F31" s="481" t="s">
        <v>944</v>
      </c>
      <c r="G31" s="481" t="s">
        <v>945</v>
      </c>
      <c r="H31" s="481" t="s">
        <v>946</v>
      </c>
      <c r="I31" s="481" t="s">
        <v>947</v>
      </c>
    </row>
    <row r="32" spans="1:9" ht="15" customHeight="1" x14ac:dyDescent="0.2">
      <c r="A32" s="391">
        <v>1</v>
      </c>
      <c r="B32" s="392" t="s">
        <v>948</v>
      </c>
      <c r="C32" s="393" t="s">
        <v>915</v>
      </c>
      <c r="D32" s="394">
        <v>0.84459784761538015</v>
      </c>
      <c r="E32" s="394">
        <v>0.79792899628383018</v>
      </c>
      <c r="F32" s="394">
        <v>0.76421433356653312</v>
      </c>
      <c r="G32" s="394">
        <v>0.71387282853201317</v>
      </c>
      <c r="H32" s="395">
        <v>0.54495244915364704</v>
      </c>
      <c r="I32" s="342" t="s">
        <v>949</v>
      </c>
    </row>
    <row r="33" spans="1:9" ht="15" customHeight="1" x14ac:dyDescent="0.2">
      <c r="A33" s="396">
        <v>2</v>
      </c>
      <c r="B33" s="397" t="s">
        <v>106</v>
      </c>
      <c r="C33" s="398" t="s">
        <v>919</v>
      </c>
      <c r="D33" s="399">
        <v>0.74568971850313137</v>
      </c>
      <c r="E33" s="399">
        <v>0.70448610578905335</v>
      </c>
      <c r="F33" s="400">
        <v>0.67471965845311599</v>
      </c>
      <c r="G33" s="400">
        <v>0.63027348466259259</v>
      </c>
      <c r="H33" s="400">
        <v>0.48113482594621648</v>
      </c>
      <c r="I33" s="351" t="s">
        <v>950</v>
      </c>
    </row>
    <row r="34" spans="1:9" ht="15" customHeight="1" x14ac:dyDescent="0.2">
      <c r="A34" s="401">
        <v>3</v>
      </c>
      <c r="B34" s="402" t="s">
        <v>951</v>
      </c>
      <c r="C34" s="402" t="s">
        <v>927</v>
      </c>
      <c r="D34" s="403">
        <v>0.72047784245491098</v>
      </c>
      <c r="E34" s="404">
        <v>0.68066732978058075</v>
      </c>
      <c r="F34" s="404">
        <v>0.65190729028695071</v>
      </c>
      <c r="G34" s="404">
        <v>0.60896384798999514</v>
      </c>
      <c r="H34" s="404">
        <v>0.46486758865804789</v>
      </c>
      <c r="I34" s="369" t="s">
        <v>952</v>
      </c>
    </row>
    <row r="35" spans="1:9" ht="15" customHeight="1" x14ac:dyDescent="0.2">
      <c r="A35" s="405">
        <v>4</v>
      </c>
      <c r="B35" s="406" t="s">
        <v>953</v>
      </c>
      <c r="C35" s="406" t="s">
        <v>734</v>
      </c>
      <c r="D35" s="407">
        <v>0.68266002838258055</v>
      </c>
      <c r="E35" s="407">
        <v>0.64493916576787202</v>
      </c>
      <c r="F35" s="407">
        <v>0.61768873803770308</v>
      </c>
      <c r="G35" s="407">
        <v>0.57699939298109915</v>
      </c>
      <c r="H35" s="407">
        <v>0.44046673272579512</v>
      </c>
      <c r="I35" s="382" t="s">
        <v>954</v>
      </c>
    </row>
    <row r="36" spans="1:9" ht="15" customHeight="1" x14ac:dyDescent="0.2">
      <c r="A36" s="408">
        <v>5</v>
      </c>
      <c r="B36" s="409" t="s">
        <v>109</v>
      </c>
      <c r="C36" s="410" t="s">
        <v>921</v>
      </c>
      <c r="D36" s="411">
        <v>0.76993190701103553</v>
      </c>
      <c r="E36" s="411">
        <v>0.72738877502796928</v>
      </c>
      <c r="F36" s="412">
        <v>0.69665462784365939</v>
      </c>
      <c r="G36" s="412">
        <v>0.65076351992470549</v>
      </c>
      <c r="H36" s="412">
        <v>0.49677640026176317</v>
      </c>
      <c r="I36" s="356" t="s">
        <v>955</v>
      </c>
    </row>
    <row r="37" spans="1:9" ht="15" customHeight="1" x14ac:dyDescent="0.2">
      <c r="A37" s="413">
        <v>6</v>
      </c>
      <c r="B37" s="414" t="s">
        <v>110</v>
      </c>
      <c r="C37" s="414" t="s">
        <v>923</v>
      </c>
      <c r="D37" s="415">
        <v>0.59538814975412557</v>
      </c>
      <c r="E37" s="415">
        <v>0.56248955650777466</v>
      </c>
      <c r="F37" s="415">
        <v>0.53872284823174665</v>
      </c>
      <c r="G37" s="415">
        <v>0.50323526603749258</v>
      </c>
      <c r="H37" s="416">
        <v>0.3841570651898269</v>
      </c>
      <c r="I37" s="361" t="s">
        <v>956</v>
      </c>
    </row>
    <row r="38" spans="1:9" ht="15" customHeight="1" x14ac:dyDescent="0.2">
      <c r="A38" s="413">
        <v>7</v>
      </c>
      <c r="B38" s="414" t="s">
        <v>957</v>
      </c>
      <c r="C38" s="414" t="s">
        <v>923</v>
      </c>
      <c r="D38" s="415">
        <v>0.59538814975412557</v>
      </c>
      <c r="E38" s="415">
        <v>0.56248955650777466</v>
      </c>
      <c r="F38" s="415">
        <v>0.53872284823174665</v>
      </c>
      <c r="G38" s="415">
        <v>0.50323526603749258</v>
      </c>
      <c r="H38" s="416">
        <v>0.3841570651898269</v>
      </c>
      <c r="I38" s="361" t="s">
        <v>958</v>
      </c>
    </row>
    <row r="39" spans="1:9" ht="15" customHeight="1" x14ac:dyDescent="0.2">
      <c r="A39" s="417">
        <v>8</v>
      </c>
      <c r="B39" s="418" t="s">
        <v>112</v>
      </c>
      <c r="C39" s="419" t="s">
        <v>925</v>
      </c>
      <c r="D39" s="420">
        <v>0.72047784245491098</v>
      </c>
      <c r="E39" s="421">
        <v>0.68066732978058075</v>
      </c>
      <c r="F39" s="421">
        <v>0.65190729028695071</v>
      </c>
      <c r="G39" s="421">
        <v>0.60896384798999514</v>
      </c>
      <c r="H39" s="421">
        <v>0.46486758865804789</v>
      </c>
      <c r="I39" s="365" t="s">
        <v>804</v>
      </c>
    </row>
    <row r="40" spans="1:9" ht="15" customHeight="1" x14ac:dyDescent="0.2">
      <c r="A40" s="417">
        <v>9</v>
      </c>
      <c r="B40" s="418" t="s">
        <v>113</v>
      </c>
      <c r="C40" s="419" t="s">
        <v>925</v>
      </c>
      <c r="D40" s="420">
        <v>0.72047784245491098</v>
      </c>
      <c r="E40" s="421">
        <v>0.68066732978058075</v>
      </c>
      <c r="F40" s="421">
        <v>0.65190729028695071</v>
      </c>
      <c r="G40" s="421">
        <v>0.60896384798999514</v>
      </c>
      <c r="H40" s="421">
        <v>0.46486758865804789</v>
      </c>
      <c r="I40" s="365" t="s">
        <v>804</v>
      </c>
    </row>
    <row r="41" spans="1:9" ht="15" customHeight="1" x14ac:dyDescent="0.2">
      <c r="A41" s="417">
        <v>10</v>
      </c>
      <c r="B41" s="418" t="s">
        <v>735</v>
      </c>
      <c r="C41" s="419" t="s">
        <v>925</v>
      </c>
      <c r="D41" s="420">
        <v>0.72047784245491098</v>
      </c>
      <c r="E41" s="421">
        <v>0.68066732978058075</v>
      </c>
      <c r="F41" s="421">
        <v>0.65190729028695071</v>
      </c>
      <c r="G41" s="421">
        <v>0.60896384798999514</v>
      </c>
      <c r="H41" s="421">
        <v>0.46486758865804789</v>
      </c>
      <c r="I41" s="365" t="s">
        <v>926</v>
      </c>
    </row>
    <row r="42" spans="1:9" ht="15" customHeight="1" x14ac:dyDescent="0.2">
      <c r="A42" s="405">
        <v>11</v>
      </c>
      <c r="B42" s="406" t="s">
        <v>736</v>
      </c>
      <c r="C42" s="406" t="s">
        <v>734</v>
      </c>
      <c r="D42" s="407">
        <v>0.68266002838258055</v>
      </c>
      <c r="E42" s="407">
        <v>0.64493916576787202</v>
      </c>
      <c r="F42" s="407">
        <v>0.61768873803770308</v>
      </c>
      <c r="G42" s="407">
        <v>0.57699939298109915</v>
      </c>
      <c r="H42" s="407">
        <v>0.44046673272579512</v>
      </c>
      <c r="I42" s="382" t="s">
        <v>959</v>
      </c>
    </row>
    <row r="43" spans="1:9" ht="15" customHeight="1" x14ac:dyDescent="0.2">
      <c r="A43" s="405">
        <v>12</v>
      </c>
      <c r="B43" s="406" t="s">
        <v>737</v>
      </c>
      <c r="C43" s="406" t="s">
        <v>734</v>
      </c>
      <c r="D43" s="407">
        <v>0.68266002838258055</v>
      </c>
      <c r="E43" s="407">
        <v>0.64493916576787202</v>
      </c>
      <c r="F43" s="407">
        <v>0.61768873803770308</v>
      </c>
      <c r="G43" s="407">
        <v>0.57699939298109915</v>
      </c>
      <c r="H43" s="407">
        <v>0.44046673272579512</v>
      </c>
      <c r="I43" s="382" t="s">
        <v>959</v>
      </c>
    </row>
    <row r="44" spans="1:9" ht="15" customHeight="1" x14ac:dyDescent="0.2">
      <c r="A44" s="422">
        <v>13</v>
      </c>
      <c r="B44" s="423" t="s">
        <v>960</v>
      </c>
      <c r="C44" s="423" t="s">
        <v>934</v>
      </c>
      <c r="D44" s="424">
        <v>0.68266002838258055</v>
      </c>
      <c r="E44" s="424">
        <v>0.64493916576787202</v>
      </c>
      <c r="F44" s="424">
        <v>0.61768873803770308</v>
      </c>
      <c r="G44" s="424">
        <v>0.57699939298109915</v>
      </c>
      <c r="H44" s="424">
        <v>0.44046673272579512</v>
      </c>
      <c r="I44" s="386" t="s">
        <v>815</v>
      </c>
    </row>
    <row r="45" spans="1:9" ht="15" customHeight="1" x14ac:dyDescent="0.2">
      <c r="A45" s="425">
        <v>14</v>
      </c>
      <c r="B45" s="426" t="s">
        <v>1180</v>
      </c>
      <c r="C45" s="426" t="s">
        <v>927</v>
      </c>
      <c r="D45" s="427">
        <v>0.72047784245491098</v>
      </c>
      <c r="E45" s="427">
        <v>0.68066732978058075</v>
      </c>
      <c r="F45" s="427">
        <v>0.65190729028695071</v>
      </c>
      <c r="G45" s="427">
        <v>0.60896384798999514</v>
      </c>
      <c r="H45" s="427">
        <v>0.46486758865804789</v>
      </c>
      <c r="I45" s="428" t="s">
        <v>962</v>
      </c>
    </row>
    <row r="46" spans="1:9" ht="15" customHeight="1" x14ac:dyDescent="0.2">
      <c r="A46" s="405">
        <v>15</v>
      </c>
      <c r="B46" s="406" t="s">
        <v>739</v>
      </c>
      <c r="C46" s="406" t="s">
        <v>734</v>
      </c>
      <c r="D46" s="407">
        <v>0.68266002838258055</v>
      </c>
      <c r="E46" s="407">
        <v>0.64493916576787202</v>
      </c>
      <c r="F46" s="407">
        <v>0.61768873803770308</v>
      </c>
      <c r="G46" s="407">
        <v>0.57699939298109915</v>
      </c>
      <c r="H46" s="407">
        <v>0.44046673272579512</v>
      </c>
      <c r="I46" s="382" t="s">
        <v>959</v>
      </c>
    </row>
    <row r="47" spans="1:9" ht="15" customHeight="1" x14ac:dyDescent="0.2">
      <c r="A47" s="429">
        <v>16</v>
      </c>
      <c r="B47" s="430" t="s">
        <v>963</v>
      </c>
      <c r="C47" s="431" t="s">
        <v>931</v>
      </c>
      <c r="D47" s="432">
        <v>0.72047784245491098</v>
      </c>
      <c r="E47" s="433">
        <v>0.68066732978058075</v>
      </c>
      <c r="F47" s="433">
        <v>0.65190729028695071</v>
      </c>
      <c r="G47" s="433">
        <v>0.60896384798999514</v>
      </c>
      <c r="H47" s="433">
        <v>0.46486758865804789</v>
      </c>
      <c r="I47" s="378" t="s">
        <v>964</v>
      </c>
    </row>
    <row r="48" spans="1:9" ht="15" customHeight="1" x14ac:dyDescent="0.2">
      <c r="A48" s="405">
        <v>17</v>
      </c>
      <c r="B48" s="406" t="s">
        <v>965</v>
      </c>
      <c r="C48" s="406" t="s">
        <v>734</v>
      </c>
      <c r="D48" s="407">
        <v>0.68266002838258055</v>
      </c>
      <c r="E48" s="407">
        <v>0.64493916576787202</v>
      </c>
      <c r="F48" s="407">
        <v>0.61768873803770308</v>
      </c>
      <c r="G48" s="407">
        <v>0.57699939298109915</v>
      </c>
      <c r="H48" s="407">
        <v>0.44046673272579512</v>
      </c>
      <c r="I48" s="382" t="s">
        <v>959</v>
      </c>
    </row>
    <row r="49" spans="1:9" ht="15" customHeight="1" x14ac:dyDescent="0.2">
      <c r="A49" s="405">
        <v>18</v>
      </c>
      <c r="B49" s="406" t="s">
        <v>966</v>
      </c>
      <c r="C49" s="406" t="s">
        <v>734</v>
      </c>
      <c r="D49" s="407">
        <v>0.68266002838258055</v>
      </c>
      <c r="E49" s="407">
        <v>0.64493916576787202</v>
      </c>
      <c r="F49" s="407">
        <v>0.61768873803770308</v>
      </c>
      <c r="G49" s="407">
        <v>0.57699939298109915</v>
      </c>
      <c r="H49" s="407">
        <v>0.44046673272579512</v>
      </c>
      <c r="I49" s="382" t="s">
        <v>959</v>
      </c>
    </row>
    <row r="50" spans="1:9" ht="15" customHeight="1" x14ac:dyDescent="0.2">
      <c r="A50" s="405">
        <v>19</v>
      </c>
      <c r="B50" s="406" t="s">
        <v>967</v>
      </c>
      <c r="C50" s="406" t="s">
        <v>734</v>
      </c>
      <c r="D50" s="407">
        <v>0.68266002838258055</v>
      </c>
      <c r="E50" s="407">
        <v>0.64493916576787202</v>
      </c>
      <c r="F50" s="407">
        <v>0.61768873803770308</v>
      </c>
      <c r="G50" s="407">
        <v>0.57699939298109915</v>
      </c>
      <c r="H50" s="407">
        <v>0.44046673272579512</v>
      </c>
      <c r="I50" s="382" t="s">
        <v>959</v>
      </c>
    </row>
    <row r="51" spans="1:9" ht="15" customHeight="1" x14ac:dyDescent="0.2">
      <c r="A51" s="405">
        <v>20</v>
      </c>
      <c r="B51" s="406" t="s">
        <v>968</v>
      </c>
      <c r="C51" s="406" t="s">
        <v>734</v>
      </c>
      <c r="D51" s="407">
        <v>0.68266002838258055</v>
      </c>
      <c r="E51" s="407">
        <v>0.64493916576787202</v>
      </c>
      <c r="F51" s="407">
        <v>0.61768873803770308</v>
      </c>
      <c r="G51" s="407">
        <v>0.57699939298109915</v>
      </c>
      <c r="H51" s="407">
        <v>0.44046673272579512</v>
      </c>
      <c r="I51" s="382" t="s">
        <v>959</v>
      </c>
    </row>
    <row r="52" spans="1:9" ht="15" customHeight="1" x14ac:dyDescent="0.2">
      <c r="A52" s="422">
        <v>21</v>
      </c>
      <c r="B52" s="423" t="s">
        <v>969</v>
      </c>
      <c r="C52" s="423" t="s">
        <v>934</v>
      </c>
      <c r="D52" s="424">
        <v>0.68266002838258055</v>
      </c>
      <c r="E52" s="424">
        <v>0.64493916576787202</v>
      </c>
      <c r="F52" s="424">
        <v>0.61768873803770308</v>
      </c>
      <c r="G52" s="424">
        <v>0.57699939298109915</v>
      </c>
      <c r="H52" s="424">
        <v>0.44046673272579512</v>
      </c>
      <c r="I52" s="386" t="s">
        <v>970</v>
      </c>
    </row>
    <row r="53" spans="1:9" ht="15" customHeight="1" x14ac:dyDescent="0.2">
      <c r="A53" s="405">
        <v>22</v>
      </c>
      <c r="B53" s="406" t="s">
        <v>339</v>
      </c>
      <c r="C53" s="406" t="s">
        <v>734</v>
      </c>
      <c r="D53" s="407">
        <v>0.68266002838258055</v>
      </c>
      <c r="E53" s="407">
        <v>0.64493916576787202</v>
      </c>
      <c r="F53" s="407">
        <v>0.61768873803770308</v>
      </c>
      <c r="G53" s="407">
        <v>0.57699939298109915</v>
      </c>
      <c r="H53" s="407">
        <v>0.44046673272579512</v>
      </c>
      <c r="I53" s="382" t="s">
        <v>959</v>
      </c>
    </row>
    <row r="54" spans="1:9" ht="15" customHeight="1" x14ac:dyDescent="0.2">
      <c r="A54" s="405">
        <v>23</v>
      </c>
      <c r="B54" s="406" t="s">
        <v>971</v>
      </c>
      <c r="C54" s="406" t="s">
        <v>734</v>
      </c>
      <c r="D54" s="407">
        <v>0.68266002838258055</v>
      </c>
      <c r="E54" s="407">
        <v>0.64493916576787202</v>
      </c>
      <c r="F54" s="407">
        <v>0.61768873803770308</v>
      </c>
      <c r="G54" s="407">
        <v>0.57699939298109915</v>
      </c>
      <c r="H54" s="407">
        <v>0.44046673272579512</v>
      </c>
      <c r="I54" s="382" t="s">
        <v>959</v>
      </c>
    </row>
    <row r="55" spans="1:9" ht="15" customHeight="1" x14ac:dyDescent="0.2">
      <c r="A55" s="413">
        <v>24</v>
      </c>
      <c r="B55" s="414" t="s">
        <v>972</v>
      </c>
      <c r="C55" s="414" t="s">
        <v>923</v>
      </c>
      <c r="D55" s="415">
        <v>0.59538814975412557</v>
      </c>
      <c r="E55" s="415">
        <v>0.56248955650777466</v>
      </c>
      <c r="F55" s="415">
        <v>0.53872284823174665</v>
      </c>
      <c r="G55" s="415">
        <v>0.50323526603749258</v>
      </c>
      <c r="H55" s="416">
        <v>0.3841570651898269</v>
      </c>
      <c r="I55" s="361" t="s">
        <v>973</v>
      </c>
    </row>
    <row r="56" spans="1:9" ht="15" customHeight="1" x14ac:dyDescent="0.2">
      <c r="A56" s="405">
        <v>25</v>
      </c>
      <c r="B56" s="406" t="s">
        <v>974</v>
      </c>
      <c r="C56" s="406" t="s">
        <v>734</v>
      </c>
      <c r="D56" s="407">
        <v>0.68266002838258055</v>
      </c>
      <c r="E56" s="407">
        <v>0.64493916576787202</v>
      </c>
      <c r="F56" s="407">
        <v>0.61768873803770308</v>
      </c>
      <c r="G56" s="407">
        <v>0.57699939298109915</v>
      </c>
      <c r="H56" s="407">
        <v>0.44046673272579512</v>
      </c>
      <c r="I56" s="382" t="s">
        <v>959</v>
      </c>
    </row>
    <row r="57" spans="1:9" ht="15" customHeight="1" x14ac:dyDescent="0.2">
      <c r="A57" s="434">
        <v>26</v>
      </c>
      <c r="B57" s="435" t="s">
        <v>975</v>
      </c>
      <c r="C57" s="436" t="s">
        <v>929</v>
      </c>
      <c r="D57" s="437">
        <v>0.76993190701103553</v>
      </c>
      <c r="E57" s="437">
        <v>0.72738877502796928</v>
      </c>
      <c r="F57" s="438">
        <v>0.69665462784365939</v>
      </c>
      <c r="G57" s="438">
        <v>0.65076351992470549</v>
      </c>
      <c r="H57" s="438">
        <v>0.49677640026176317</v>
      </c>
      <c r="I57" s="374" t="s">
        <v>976</v>
      </c>
    </row>
    <row r="58" spans="1:9" ht="15" customHeight="1" x14ac:dyDescent="0.2">
      <c r="A58" s="405">
        <v>27</v>
      </c>
      <c r="B58" s="406" t="s">
        <v>131</v>
      </c>
      <c r="C58" s="406" t="s">
        <v>734</v>
      </c>
      <c r="D58" s="407">
        <v>0.68266002838258055</v>
      </c>
      <c r="E58" s="407">
        <v>0.64493916576787202</v>
      </c>
      <c r="F58" s="407">
        <v>0.61768873803770308</v>
      </c>
      <c r="G58" s="407">
        <v>0.57699939298109915</v>
      </c>
      <c r="H58" s="407">
        <v>0.44046673272579512</v>
      </c>
      <c r="I58" s="382" t="s">
        <v>959</v>
      </c>
    </row>
    <row r="59" spans="1:9" ht="15" customHeight="1" x14ac:dyDescent="0.2">
      <c r="A59" s="422">
        <v>28</v>
      </c>
      <c r="B59" s="423" t="s">
        <v>977</v>
      </c>
      <c r="C59" s="423" t="s">
        <v>934</v>
      </c>
      <c r="D59" s="424">
        <v>0.68266002838258055</v>
      </c>
      <c r="E59" s="424">
        <v>0.64493916576787202</v>
      </c>
      <c r="F59" s="424">
        <v>0.61768873803770308</v>
      </c>
      <c r="G59" s="424">
        <v>0.57699939298109915</v>
      </c>
      <c r="H59" s="424">
        <v>0.44046673272579512</v>
      </c>
      <c r="I59" s="386" t="s">
        <v>815</v>
      </c>
    </row>
    <row r="60" spans="1:9" ht="15" customHeight="1" x14ac:dyDescent="0.2">
      <c r="A60" s="401">
        <v>29</v>
      </c>
      <c r="B60" s="402" t="s">
        <v>978</v>
      </c>
      <c r="C60" s="439" t="s">
        <v>927</v>
      </c>
      <c r="D60" s="403">
        <v>0.72047784245491098</v>
      </c>
      <c r="E60" s="404">
        <v>0.68066732978058075</v>
      </c>
      <c r="F60" s="404">
        <v>0.65190729028695071</v>
      </c>
      <c r="G60" s="404">
        <v>0.60896384798999514</v>
      </c>
      <c r="H60" s="404">
        <v>0.46486758865804789</v>
      </c>
      <c r="I60" s="369" t="s">
        <v>979</v>
      </c>
    </row>
    <row r="61" spans="1:9" ht="15" customHeight="1" x14ac:dyDescent="0.2">
      <c r="A61" s="401">
        <v>30</v>
      </c>
      <c r="B61" s="402" t="s">
        <v>980</v>
      </c>
      <c r="C61" s="439" t="s">
        <v>927</v>
      </c>
      <c r="D61" s="403">
        <v>0.72047784245491098</v>
      </c>
      <c r="E61" s="404">
        <v>0.68066732978058075</v>
      </c>
      <c r="F61" s="404">
        <v>0.65190729028695071</v>
      </c>
      <c r="G61" s="404">
        <v>0.60896384798999514</v>
      </c>
      <c r="H61" s="404">
        <v>0.46486758865804789</v>
      </c>
      <c r="I61" s="369" t="s">
        <v>981</v>
      </c>
    </row>
    <row r="62" spans="1:9" ht="15" customHeight="1" x14ac:dyDescent="0.2">
      <c r="A62" s="434">
        <v>31</v>
      </c>
      <c r="B62" s="435" t="s">
        <v>343</v>
      </c>
      <c r="C62" s="436" t="s">
        <v>929</v>
      </c>
      <c r="D62" s="437">
        <v>0.76993190701103553</v>
      </c>
      <c r="E62" s="437">
        <v>0.72738877502796928</v>
      </c>
      <c r="F62" s="438">
        <v>0.69665462784365939</v>
      </c>
      <c r="G62" s="438">
        <v>0.65076351992470549</v>
      </c>
      <c r="H62" s="438">
        <v>0.49677640026176317</v>
      </c>
      <c r="I62" s="374" t="s">
        <v>804</v>
      </c>
    </row>
    <row r="63" spans="1:9" ht="15" customHeight="1" x14ac:dyDescent="0.2">
      <c r="A63" s="422">
        <v>32</v>
      </c>
      <c r="B63" s="423" t="s">
        <v>982</v>
      </c>
      <c r="C63" s="423" t="s">
        <v>934</v>
      </c>
      <c r="D63" s="424">
        <v>0.68266002838258055</v>
      </c>
      <c r="E63" s="424">
        <v>0.64493916576787202</v>
      </c>
      <c r="F63" s="424">
        <v>0.61768873803770308</v>
      </c>
      <c r="G63" s="424">
        <v>0.57699939298109915</v>
      </c>
      <c r="H63" s="424">
        <v>0.44046673272579512</v>
      </c>
      <c r="I63" s="386" t="s">
        <v>815</v>
      </c>
    </row>
    <row r="64" spans="1:9" ht="15" customHeight="1" x14ac:dyDescent="0.2">
      <c r="A64" s="422">
        <v>33</v>
      </c>
      <c r="B64" s="423" t="s">
        <v>983</v>
      </c>
      <c r="C64" s="440" t="s">
        <v>934</v>
      </c>
      <c r="D64" s="424">
        <v>0.68266002838258055</v>
      </c>
      <c r="E64" s="424">
        <v>0.64493916576787202</v>
      </c>
      <c r="F64" s="424">
        <v>0.61768873803770308</v>
      </c>
      <c r="G64" s="424">
        <v>0.57699939298109915</v>
      </c>
      <c r="H64" s="424">
        <v>0.44046673272579512</v>
      </c>
      <c r="I64" s="386" t="s">
        <v>984</v>
      </c>
    </row>
    <row r="65" spans="1:9" ht="15" customHeight="1" x14ac:dyDescent="0.2">
      <c r="A65" s="422">
        <v>34</v>
      </c>
      <c r="B65" s="423" t="s">
        <v>985</v>
      </c>
      <c r="C65" s="423" t="s">
        <v>934</v>
      </c>
      <c r="D65" s="424">
        <v>0.68266002838258055</v>
      </c>
      <c r="E65" s="424">
        <v>0.64493916576787202</v>
      </c>
      <c r="F65" s="424">
        <v>0.61768873803770308</v>
      </c>
      <c r="G65" s="424">
        <v>0.57699939298109915</v>
      </c>
      <c r="H65" s="424">
        <v>0.44046673272579512</v>
      </c>
      <c r="I65" s="386" t="s">
        <v>815</v>
      </c>
    </row>
    <row r="66" spans="1:9" ht="15" customHeight="1" x14ac:dyDescent="0.2">
      <c r="A66" s="413">
        <v>35</v>
      </c>
      <c r="B66" s="414" t="s">
        <v>986</v>
      </c>
      <c r="C66" s="441" t="s">
        <v>923</v>
      </c>
      <c r="D66" s="415">
        <v>0.59538814975412557</v>
      </c>
      <c r="E66" s="415">
        <v>0.56248955650777466</v>
      </c>
      <c r="F66" s="415">
        <v>0.53872284823174665</v>
      </c>
      <c r="G66" s="415">
        <v>0.50323526603749258</v>
      </c>
      <c r="H66" s="416">
        <v>0.3841570651898269</v>
      </c>
      <c r="I66" s="361" t="s">
        <v>987</v>
      </c>
    </row>
    <row r="67" spans="1:9" ht="15" customHeight="1" x14ac:dyDescent="0.2">
      <c r="A67" s="422">
        <v>36</v>
      </c>
      <c r="B67" s="423" t="s">
        <v>988</v>
      </c>
      <c r="C67" s="423" t="s">
        <v>934</v>
      </c>
      <c r="D67" s="424">
        <v>0.68266002838258055</v>
      </c>
      <c r="E67" s="424">
        <v>0.64493916576787202</v>
      </c>
      <c r="F67" s="424">
        <v>0.61768873803770308</v>
      </c>
      <c r="G67" s="424">
        <v>0.57699939298109915</v>
      </c>
      <c r="H67" s="424">
        <v>0.44046673272579512</v>
      </c>
      <c r="I67" s="386" t="s">
        <v>815</v>
      </c>
    </row>
    <row r="68" spans="1:9" ht="15" customHeight="1" x14ac:dyDescent="0.2">
      <c r="A68" s="422">
        <v>37</v>
      </c>
      <c r="B68" s="423" t="s">
        <v>989</v>
      </c>
      <c r="C68" s="423" t="s">
        <v>934</v>
      </c>
      <c r="D68" s="424">
        <v>0.68266002838258055</v>
      </c>
      <c r="E68" s="424">
        <v>0.64493916576787202</v>
      </c>
      <c r="F68" s="424">
        <v>0.61768873803770308</v>
      </c>
      <c r="G68" s="424">
        <v>0.57699939298109915</v>
      </c>
      <c r="H68" s="424">
        <v>0.44046673272579512</v>
      </c>
      <c r="I68" s="386" t="s">
        <v>815</v>
      </c>
    </row>
    <row r="69" spans="1:9" ht="15" customHeight="1" x14ac:dyDescent="0.2">
      <c r="A69" s="422">
        <v>38</v>
      </c>
      <c r="B69" s="423" t="s">
        <v>990</v>
      </c>
      <c r="C69" s="423" t="s">
        <v>934</v>
      </c>
      <c r="D69" s="424">
        <v>0.68266002838258055</v>
      </c>
      <c r="E69" s="424">
        <v>0.64493916576787202</v>
      </c>
      <c r="F69" s="424">
        <v>0.61768873803770308</v>
      </c>
      <c r="G69" s="424">
        <v>0.57699939298109915</v>
      </c>
      <c r="H69" s="424">
        <v>0.44046673272579512</v>
      </c>
      <c r="I69" s="386" t="s">
        <v>815</v>
      </c>
    </row>
    <row r="70" spans="1:9" ht="15" customHeight="1" x14ac:dyDescent="0.2">
      <c r="A70" s="422">
        <v>39</v>
      </c>
      <c r="B70" s="423" t="s">
        <v>991</v>
      </c>
      <c r="C70" s="423" t="s">
        <v>934</v>
      </c>
      <c r="D70" s="424">
        <v>0.68266002838258055</v>
      </c>
      <c r="E70" s="424">
        <v>0.64493916576787202</v>
      </c>
      <c r="F70" s="424">
        <v>0.61768873803770308</v>
      </c>
      <c r="G70" s="424">
        <v>0.57699939298109915</v>
      </c>
      <c r="H70" s="424">
        <v>0.44046673272579512</v>
      </c>
      <c r="I70" s="386" t="s">
        <v>815</v>
      </c>
    </row>
    <row r="71" spans="1:9" ht="15" customHeight="1" x14ac:dyDescent="0.2">
      <c r="A71" s="422">
        <v>40</v>
      </c>
      <c r="B71" s="423" t="s">
        <v>992</v>
      </c>
      <c r="C71" s="423" t="s">
        <v>934</v>
      </c>
      <c r="D71" s="424">
        <v>0.68266002838258055</v>
      </c>
      <c r="E71" s="424">
        <v>0.64493916576787202</v>
      </c>
      <c r="F71" s="424">
        <v>0.61768873803770308</v>
      </c>
      <c r="G71" s="424">
        <v>0.57699939298109915</v>
      </c>
      <c r="H71" s="424">
        <v>0.44046673272579512</v>
      </c>
      <c r="I71" s="386" t="s">
        <v>970</v>
      </c>
    </row>
    <row r="72" spans="1:9" ht="15" customHeight="1" x14ac:dyDescent="0.2">
      <c r="A72" s="422">
        <v>41</v>
      </c>
      <c r="B72" s="423" t="s">
        <v>993</v>
      </c>
      <c r="C72" s="423" t="s">
        <v>934</v>
      </c>
      <c r="D72" s="424">
        <v>0.68266002838258055</v>
      </c>
      <c r="E72" s="424">
        <v>0.64493916576787202</v>
      </c>
      <c r="F72" s="424">
        <v>0.61768873803770308</v>
      </c>
      <c r="G72" s="424">
        <v>0.57699939298109915</v>
      </c>
      <c r="H72" s="424">
        <v>0.44046673272579512</v>
      </c>
      <c r="I72" s="386" t="s">
        <v>815</v>
      </c>
    </row>
    <row r="73" spans="1:9" ht="15" customHeight="1" x14ac:dyDescent="0.2">
      <c r="A73" s="422">
        <v>42</v>
      </c>
      <c r="B73" s="423" t="s">
        <v>994</v>
      </c>
      <c r="C73" s="423" t="s">
        <v>934</v>
      </c>
      <c r="D73" s="424">
        <v>0.68266002838258055</v>
      </c>
      <c r="E73" s="424">
        <v>0.64493916576787202</v>
      </c>
      <c r="F73" s="424">
        <v>0.61768873803770308</v>
      </c>
      <c r="G73" s="424">
        <v>0.57699939298109915</v>
      </c>
      <c r="H73" s="424">
        <v>0.44046673272579512</v>
      </c>
      <c r="I73" s="386" t="s">
        <v>815</v>
      </c>
    </row>
    <row r="74" spans="1:9" ht="15" customHeight="1" x14ac:dyDescent="0.2">
      <c r="A74" s="434">
        <v>43</v>
      </c>
      <c r="B74" s="435" t="s">
        <v>147</v>
      </c>
      <c r="C74" s="436" t="s">
        <v>929</v>
      </c>
      <c r="D74" s="437">
        <v>0.76993190701103553</v>
      </c>
      <c r="E74" s="437">
        <v>0.72738877502796928</v>
      </c>
      <c r="F74" s="438">
        <v>0.69665462784365939</v>
      </c>
      <c r="G74" s="438">
        <v>0.65076351992470549</v>
      </c>
      <c r="H74" s="438">
        <v>0.49677640026176317</v>
      </c>
      <c r="I74" s="374" t="s">
        <v>979</v>
      </c>
    </row>
    <row r="75" spans="1:9" ht="15" customHeight="1" x14ac:dyDescent="0.2">
      <c r="A75" s="422">
        <v>44</v>
      </c>
      <c r="B75" s="423" t="s">
        <v>995</v>
      </c>
      <c r="C75" s="423" t="s">
        <v>934</v>
      </c>
      <c r="D75" s="424">
        <v>0.68266002838258055</v>
      </c>
      <c r="E75" s="424">
        <v>0.64493916576787202</v>
      </c>
      <c r="F75" s="424">
        <v>0.61768873803770308</v>
      </c>
      <c r="G75" s="424">
        <v>0.57699939298109915</v>
      </c>
      <c r="H75" s="424">
        <v>0.44046673272579512</v>
      </c>
      <c r="I75" s="386" t="s">
        <v>996</v>
      </c>
    </row>
    <row r="76" spans="1:9" ht="15" customHeight="1" x14ac:dyDescent="0.2">
      <c r="A76" s="422">
        <v>45</v>
      </c>
      <c r="B76" s="423" t="s">
        <v>836</v>
      </c>
      <c r="C76" s="423" t="s">
        <v>934</v>
      </c>
      <c r="D76" s="424">
        <v>0.68266002838258055</v>
      </c>
      <c r="E76" s="424">
        <v>0.64493916576787202</v>
      </c>
      <c r="F76" s="424">
        <v>0.61768873803770308</v>
      </c>
      <c r="G76" s="424">
        <v>0.57699939298109915</v>
      </c>
      <c r="H76" s="424">
        <v>0.44046673272579512</v>
      </c>
      <c r="I76" s="386" t="s">
        <v>815</v>
      </c>
    </row>
    <row r="77" spans="1:9" ht="15" customHeight="1" x14ac:dyDescent="0.2">
      <c r="A77" s="422">
        <v>46</v>
      </c>
      <c r="B77" s="423" t="s">
        <v>997</v>
      </c>
      <c r="C77" s="423" t="s">
        <v>934</v>
      </c>
      <c r="D77" s="424">
        <v>0.68266002838258055</v>
      </c>
      <c r="E77" s="424">
        <v>0.64493916576787202</v>
      </c>
      <c r="F77" s="424">
        <v>0.61768873803770308</v>
      </c>
      <c r="G77" s="424">
        <v>0.57699939298109915</v>
      </c>
      <c r="H77" s="424">
        <v>0.44046673272579512</v>
      </c>
      <c r="I77" s="386" t="s">
        <v>815</v>
      </c>
    </row>
    <row r="78" spans="1:9" ht="15" customHeight="1" x14ac:dyDescent="0.2">
      <c r="A78" s="422">
        <v>47</v>
      </c>
      <c r="B78" s="423" t="s">
        <v>998</v>
      </c>
      <c r="C78" s="423" t="s">
        <v>934</v>
      </c>
      <c r="D78" s="424">
        <v>0.68266002838258055</v>
      </c>
      <c r="E78" s="424">
        <v>0.64493916576787202</v>
      </c>
      <c r="F78" s="424">
        <v>0.61768873803770308</v>
      </c>
      <c r="G78" s="424">
        <v>0.57699939298109915</v>
      </c>
      <c r="H78" s="424">
        <v>0.44046673272579512</v>
      </c>
      <c r="I78" s="386" t="s">
        <v>815</v>
      </c>
    </row>
    <row r="79" spans="1:9" ht="15" customHeight="1" x14ac:dyDescent="0.2">
      <c r="A79" s="422">
        <v>48</v>
      </c>
      <c r="B79" s="423" t="s">
        <v>999</v>
      </c>
      <c r="C79" s="423" t="s">
        <v>934</v>
      </c>
      <c r="D79" s="424">
        <v>0.68266002838258055</v>
      </c>
      <c r="E79" s="424">
        <v>0.64493916576787202</v>
      </c>
      <c r="F79" s="424">
        <v>0.61768873803770308</v>
      </c>
      <c r="G79" s="424">
        <v>0.57699939298109915</v>
      </c>
      <c r="H79" s="424">
        <v>0.44046673272579512</v>
      </c>
      <c r="I79" s="386" t="s">
        <v>815</v>
      </c>
    </row>
    <row r="80" spans="1:9" ht="15" customHeight="1" x14ac:dyDescent="0.2">
      <c r="A80" s="422">
        <v>49</v>
      </c>
      <c r="B80" s="423" t="s">
        <v>1000</v>
      </c>
      <c r="C80" s="423" t="s">
        <v>934</v>
      </c>
      <c r="D80" s="424">
        <v>0.68266002838258055</v>
      </c>
      <c r="E80" s="424">
        <v>0.64493916576787202</v>
      </c>
      <c r="F80" s="424">
        <v>0.61768873803770308</v>
      </c>
      <c r="G80" s="424">
        <v>0.57699939298109915</v>
      </c>
      <c r="H80" s="424">
        <v>0.44046673272579512</v>
      </c>
      <c r="I80" s="386" t="s">
        <v>815</v>
      </c>
    </row>
    <row r="81" spans="1:9" ht="15" customHeight="1" x14ac:dyDescent="0.2">
      <c r="A81" s="422">
        <v>50</v>
      </c>
      <c r="B81" s="423" t="s">
        <v>154</v>
      </c>
      <c r="C81" s="423" t="s">
        <v>934</v>
      </c>
      <c r="D81" s="424">
        <v>0.68266002838258055</v>
      </c>
      <c r="E81" s="424">
        <v>0.64493916576787202</v>
      </c>
      <c r="F81" s="424">
        <v>0.61768873803770308</v>
      </c>
      <c r="G81" s="424">
        <v>0.57699939298109915</v>
      </c>
      <c r="H81" s="424">
        <v>0.44046673272579512</v>
      </c>
      <c r="I81" s="386" t="s">
        <v>815</v>
      </c>
    </row>
    <row r="82" spans="1:9" ht="15" customHeight="1" x14ac:dyDescent="0.2">
      <c r="A82" s="422">
        <v>51</v>
      </c>
      <c r="B82" s="423" t="s">
        <v>1001</v>
      </c>
      <c r="C82" s="423" t="s">
        <v>934</v>
      </c>
      <c r="D82" s="424">
        <v>0.68266002838258055</v>
      </c>
      <c r="E82" s="424">
        <v>0.64493916576787202</v>
      </c>
      <c r="F82" s="424">
        <v>0.61768873803770308</v>
      </c>
      <c r="G82" s="424">
        <v>0.57699939298109915</v>
      </c>
      <c r="H82" s="424">
        <v>0.44046673272579512</v>
      </c>
      <c r="I82" s="386" t="s">
        <v>815</v>
      </c>
    </row>
    <row r="83" spans="1:9" ht="15" customHeight="1" x14ac:dyDescent="0.2">
      <c r="A83" s="422">
        <v>52</v>
      </c>
      <c r="B83" s="423" t="s">
        <v>156</v>
      </c>
      <c r="C83" s="423" t="s">
        <v>934</v>
      </c>
      <c r="D83" s="424">
        <v>0.68266002838258055</v>
      </c>
      <c r="E83" s="424">
        <v>0.64493916576787202</v>
      </c>
      <c r="F83" s="424">
        <v>0.61768873803770308</v>
      </c>
      <c r="G83" s="424">
        <v>0.57699939298109915</v>
      </c>
      <c r="H83" s="424">
        <v>0.44046673272579512</v>
      </c>
      <c r="I83" s="386" t="s">
        <v>815</v>
      </c>
    </row>
    <row r="84" spans="1:9" ht="15" customHeight="1" x14ac:dyDescent="0.2">
      <c r="A84" s="422">
        <v>53</v>
      </c>
      <c r="B84" s="423" t="s">
        <v>1002</v>
      </c>
      <c r="C84" s="423" t="s">
        <v>934</v>
      </c>
      <c r="D84" s="424">
        <v>0.68266002838258055</v>
      </c>
      <c r="E84" s="424">
        <v>0.64493916576787202</v>
      </c>
      <c r="F84" s="424">
        <v>0.61768873803770308</v>
      </c>
      <c r="G84" s="424">
        <v>0.57699939298109915</v>
      </c>
      <c r="H84" s="424">
        <v>0.44046673272579512</v>
      </c>
      <c r="I84" s="386" t="s">
        <v>1003</v>
      </c>
    </row>
    <row r="85" spans="1:9" ht="15" customHeight="1" x14ac:dyDescent="0.2">
      <c r="A85" s="422">
        <v>54</v>
      </c>
      <c r="B85" s="423" t="s">
        <v>1004</v>
      </c>
      <c r="C85" s="423" t="s">
        <v>934</v>
      </c>
      <c r="D85" s="424">
        <v>0.68266002838258055</v>
      </c>
      <c r="E85" s="424">
        <v>0.64493916576787202</v>
      </c>
      <c r="F85" s="424">
        <v>0.61768873803770308</v>
      </c>
      <c r="G85" s="424">
        <v>0.57699939298109915</v>
      </c>
      <c r="H85" s="424">
        <v>0.44046673272579512</v>
      </c>
      <c r="I85" s="386" t="s">
        <v>815</v>
      </c>
    </row>
    <row r="86" spans="1:9" ht="15" customHeight="1" x14ac:dyDescent="0.2">
      <c r="A86" s="422">
        <v>55</v>
      </c>
      <c r="B86" s="423" t="s">
        <v>1005</v>
      </c>
      <c r="C86" s="423" t="s">
        <v>934</v>
      </c>
      <c r="D86" s="424">
        <v>0.68266002838258055</v>
      </c>
      <c r="E86" s="424">
        <v>0.64493916576787202</v>
      </c>
      <c r="F86" s="424">
        <v>0.61768873803770308</v>
      </c>
      <c r="G86" s="424">
        <v>0.57699939298109915</v>
      </c>
      <c r="H86" s="424">
        <v>0.44046673272579512</v>
      </c>
      <c r="I86" s="386" t="s">
        <v>815</v>
      </c>
    </row>
    <row r="87" spans="1:9" ht="15" customHeight="1" x14ac:dyDescent="0.2">
      <c r="A87" s="422">
        <v>56</v>
      </c>
      <c r="B87" s="423" t="s">
        <v>1006</v>
      </c>
      <c r="C87" s="423" t="s">
        <v>934</v>
      </c>
      <c r="D87" s="424">
        <v>0.68266002838258055</v>
      </c>
      <c r="E87" s="424">
        <v>0.64493916576787202</v>
      </c>
      <c r="F87" s="424">
        <v>0.61768873803770308</v>
      </c>
      <c r="G87" s="424">
        <v>0.57699939298109915</v>
      </c>
      <c r="H87" s="424">
        <v>0.44046673272579512</v>
      </c>
      <c r="I87" s="386" t="s">
        <v>815</v>
      </c>
    </row>
    <row r="88" spans="1:9" ht="15" customHeight="1" x14ac:dyDescent="0.2">
      <c r="A88" s="429">
        <v>57</v>
      </c>
      <c r="B88" s="430" t="s">
        <v>1007</v>
      </c>
      <c r="C88" s="431" t="s">
        <v>931</v>
      </c>
      <c r="D88" s="432">
        <v>0.72047784245491098</v>
      </c>
      <c r="E88" s="433">
        <v>0.68066732978058075</v>
      </c>
      <c r="F88" s="433">
        <v>0.65190729028695071</v>
      </c>
      <c r="G88" s="433">
        <v>0.60896384798999514</v>
      </c>
      <c r="H88" s="433">
        <v>0.46486758865804789</v>
      </c>
      <c r="I88" s="378" t="s">
        <v>804</v>
      </c>
    </row>
    <row r="89" spans="1:9" ht="15" customHeight="1" x14ac:dyDescent="0.2">
      <c r="A89" s="429">
        <v>58</v>
      </c>
      <c r="B89" s="430" t="s">
        <v>352</v>
      </c>
      <c r="C89" s="431" t="s">
        <v>931</v>
      </c>
      <c r="D89" s="432">
        <v>0.72047784245491098</v>
      </c>
      <c r="E89" s="433">
        <v>0.68066732978058075</v>
      </c>
      <c r="F89" s="433">
        <v>0.65190729028695071</v>
      </c>
      <c r="G89" s="433">
        <v>0.60896384798999514</v>
      </c>
      <c r="H89" s="433">
        <v>0.46486758865804789</v>
      </c>
      <c r="I89" s="378" t="s">
        <v>804</v>
      </c>
    </row>
    <row r="90" spans="1:9" ht="15" customHeight="1" x14ac:dyDescent="0.2">
      <c r="A90" s="429">
        <v>59</v>
      </c>
      <c r="B90" s="430" t="s">
        <v>1008</v>
      </c>
      <c r="C90" s="431" t="s">
        <v>931</v>
      </c>
      <c r="D90" s="432">
        <v>0.72047784245491098</v>
      </c>
      <c r="E90" s="433">
        <v>0.68066732978058075</v>
      </c>
      <c r="F90" s="433">
        <v>0.65190729028695071</v>
      </c>
      <c r="G90" s="433">
        <v>0.60896384798999514</v>
      </c>
      <c r="H90" s="433">
        <v>0.46486758865804789</v>
      </c>
      <c r="I90" s="378" t="s">
        <v>804</v>
      </c>
    </row>
    <row r="91" spans="1:9" ht="15" customHeight="1" x14ac:dyDescent="0.2">
      <c r="A91" s="422">
        <v>60</v>
      </c>
      <c r="B91" s="423" t="s">
        <v>1009</v>
      </c>
      <c r="C91" s="423" t="s">
        <v>934</v>
      </c>
      <c r="D91" s="424">
        <v>0.68266002838258055</v>
      </c>
      <c r="E91" s="424">
        <v>0.64493916576787202</v>
      </c>
      <c r="F91" s="424">
        <v>0.61768873803770308</v>
      </c>
      <c r="G91" s="424">
        <v>0.57699939298109915</v>
      </c>
      <c r="H91" s="424">
        <v>0.44046673272579512</v>
      </c>
      <c r="I91" s="386" t="s">
        <v>815</v>
      </c>
    </row>
    <row r="92" spans="1:9" ht="15" customHeight="1" x14ac:dyDescent="0.2">
      <c r="A92" s="429">
        <v>61</v>
      </c>
      <c r="B92" s="430" t="s">
        <v>1010</v>
      </c>
      <c r="C92" s="431" t="s">
        <v>931</v>
      </c>
      <c r="D92" s="432">
        <v>0.72047784245491098</v>
      </c>
      <c r="E92" s="433">
        <v>0.68066732978058075</v>
      </c>
      <c r="F92" s="433">
        <v>0.65190729028695071</v>
      </c>
      <c r="G92" s="433">
        <v>0.60896384798999514</v>
      </c>
      <c r="H92" s="433">
        <v>0.46486758865804789</v>
      </c>
      <c r="I92" s="378" t="s">
        <v>1011</v>
      </c>
    </row>
    <row r="93" spans="1:9" ht="15" customHeight="1" x14ac:dyDescent="0.2">
      <c r="A93" s="413">
        <v>62</v>
      </c>
      <c r="B93" s="414" t="s">
        <v>1012</v>
      </c>
      <c r="C93" s="414" t="s">
        <v>923</v>
      </c>
      <c r="D93" s="415">
        <v>0.59538814975412557</v>
      </c>
      <c r="E93" s="415">
        <v>0.56248955650777466</v>
      </c>
      <c r="F93" s="415">
        <v>0.53872284823174665</v>
      </c>
      <c r="G93" s="415">
        <v>0.50323526603749258</v>
      </c>
      <c r="H93" s="416">
        <v>0.3841570651898269</v>
      </c>
      <c r="I93" s="361" t="s">
        <v>935</v>
      </c>
    </row>
    <row r="94" spans="1:9" ht="15" customHeight="1" x14ac:dyDescent="0.2">
      <c r="A94" s="422">
        <v>63</v>
      </c>
      <c r="B94" s="423" t="s">
        <v>1013</v>
      </c>
      <c r="C94" s="423" t="s">
        <v>934</v>
      </c>
      <c r="D94" s="424">
        <v>0.68266002838258055</v>
      </c>
      <c r="E94" s="424">
        <v>0.64493916576787202</v>
      </c>
      <c r="F94" s="424">
        <v>0.61768873803770308</v>
      </c>
      <c r="G94" s="424">
        <v>0.57699939298109915</v>
      </c>
      <c r="H94" s="424">
        <v>0.44046673272579512</v>
      </c>
      <c r="I94" s="386" t="s">
        <v>815</v>
      </c>
    </row>
    <row r="95" spans="1:9" ht="15" customHeight="1" x14ac:dyDescent="0.2">
      <c r="A95" s="422">
        <v>64</v>
      </c>
      <c r="B95" s="423" t="s">
        <v>1014</v>
      </c>
      <c r="C95" s="423" t="s">
        <v>934</v>
      </c>
      <c r="D95" s="424">
        <v>0.68266002838258055</v>
      </c>
      <c r="E95" s="424">
        <v>0.64493916576787202</v>
      </c>
      <c r="F95" s="424">
        <v>0.61768873803770308</v>
      </c>
      <c r="G95" s="424">
        <v>0.57699939298109915</v>
      </c>
      <c r="H95" s="424">
        <v>0.44046673272579512</v>
      </c>
      <c r="I95" s="386" t="s">
        <v>815</v>
      </c>
    </row>
    <row r="96" spans="1:9" ht="15" customHeight="1" x14ac:dyDescent="0.2">
      <c r="A96" s="422">
        <v>65</v>
      </c>
      <c r="B96" s="423" t="s">
        <v>1015</v>
      </c>
      <c r="C96" s="423" t="s">
        <v>934</v>
      </c>
      <c r="D96" s="424">
        <v>0.68266002838258055</v>
      </c>
      <c r="E96" s="424">
        <v>0.64493916576787202</v>
      </c>
      <c r="F96" s="424">
        <v>0.61768873803770308</v>
      </c>
      <c r="G96" s="424">
        <v>0.57699939298109915</v>
      </c>
      <c r="H96" s="424">
        <v>0.44046673272579512</v>
      </c>
      <c r="I96" s="386" t="s">
        <v>815</v>
      </c>
    </row>
    <row r="97" spans="1:9" ht="15" customHeight="1" x14ac:dyDescent="0.2">
      <c r="A97" s="422">
        <v>66</v>
      </c>
      <c r="B97" s="423" t="s">
        <v>1016</v>
      </c>
      <c r="C97" s="423" t="s">
        <v>934</v>
      </c>
      <c r="D97" s="424">
        <v>0.68266002838258055</v>
      </c>
      <c r="E97" s="424">
        <v>0.64493916576787202</v>
      </c>
      <c r="F97" s="424">
        <v>0.61768873803770308</v>
      </c>
      <c r="G97" s="424">
        <v>0.57699939298109915</v>
      </c>
      <c r="H97" s="424">
        <v>0.44046673272579512</v>
      </c>
      <c r="I97" s="386" t="s">
        <v>815</v>
      </c>
    </row>
    <row r="98" spans="1:9" ht="15" customHeight="1" x14ac:dyDescent="0.2">
      <c r="A98" s="391">
        <v>67</v>
      </c>
      <c r="B98" s="392" t="s">
        <v>1017</v>
      </c>
      <c r="C98" s="392" t="s">
        <v>915</v>
      </c>
      <c r="D98" s="394">
        <v>0.84459784761538015</v>
      </c>
      <c r="E98" s="394">
        <v>0.79792899628383018</v>
      </c>
      <c r="F98" s="394">
        <v>0.76421433356653312</v>
      </c>
      <c r="G98" s="394">
        <v>0.71387282853201317</v>
      </c>
      <c r="H98" s="395">
        <v>0.54495244915364704</v>
      </c>
      <c r="I98" s="342" t="s">
        <v>1018</v>
      </c>
    </row>
    <row r="100" spans="1:9" x14ac:dyDescent="0.2">
      <c r="A100" s="621" t="s">
        <v>1019</v>
      </c>
      <c r="B100" s="605"/>
      <c r="C100" s="605"/>
      <c r="D100" s="605"/>
      <c r="E100" s="605"/>
      <c r="F100" s="605"/>
      <c r="G100" s="605"/>
      <c r="H100" s="605"/>
      <c r="I100" s="605"/>
    </row>
  </sheetData>
  <mergeCells count="9">
    <mergeCell ref="A100:I100"/>
    <mergeCell ref="A12:G12"/>
    <mergeCell ref="A29:H29"/>
    <mergeCell ref="A1:G1"/>
    <mergeCell ref="A2:G2"/>
    <mergeCell ref="A4:G4"/>
    <mergeCell ref="A13:H13"/>
    <mergeCell ref="A14:H14"/>
    <mergeCell ref="A30:I3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036F4-A75D-9E43-89DF-E10FA54FAEA0}">
  <sheetPr>
    <tabColor theme="4" tint="0.59999389629810485"/>
  </sheetPr>
  <dimension ref="A2:CH34"/>
  <sheetViews>
    <sheetView tabSelected="1" zoomScale="136" workbookViewId="0">
      <selection activeCell="H40" sqref="H40"/>
    </sheetView>
  </sheetViews>
  <sheetFormatPr baseColWidth="10" defaultRowHeight="16" x14ac:dyDescent="0.2"/>
  <cols>
    <col min="1" max="1" width="18.33203125" customWidth="1"/>
    <col min="7" max="7" width="18.5" customWidth="1"/>
    <col min="8" max="8" width="19.6640625" customWidth="1"/>
    <col min="14" max="14" width="18.5" customWidth="1"/>
    <col min="15" max="15" width="15.83203125" customWidth="1"/>
  </cols>
  <sheetData>
    <row r="2" spans="1:15" x14ac:dyDescent="0.2">
      <c r="A2" s="207" t="s">
        <v>693</v>
      </c>
      <c r="B2" s="207"/>
      <c r="C2" s="207"/>
      <c r="D2" s="207"/>
      <c r="E2" s="207"/>
      <c r="F2" s="207"/>
      <c r="G2" s="207"/>
      <c r="H2" s="207"/>
      <c r="I2" s="207"/>
      <c r="J2" s="207"/>
      <c r="K2" s="207"/>
      <c r="L2" s="207"/>
      <c r="M2" s="207"/>
      <c r="N2" s="207"/>
      <c r="O2" s="207"/>
    </row>
    <row r="4" spans="1:15" x14ac:dyDescent="0.2">
      <c r="A4" s="215"/>
      <c r="B4" s="215"/>
      <c r="C4" s="215"/>
      <c r="D4" s="213" t="s">
        <v>694</v>
      </c>
      <c r="E4" s="213" t="s">
        <v>695</v>
      </c>
      <c r="F4" s="213" t="s">
        <v>696</v>
      </c>
      <c r="G4" s="208" t="s">
        <v>697</v>
      </c>
      <c r="H4" s="208" t="s">
        <v>698</v>
      </c>
      <c r="I4" s="213" t="s">
        <v>699</v>
      </c>
      <c r="J4" s="213" t="s">
        <v>700</v>
      </c>
      <c r="K4" s="213" t="s">
        <v>701</v>
      </c>
      <c r="L4" s="213" t="s">
        <v>702</v>
      </c>
      <c r="M4" s="213" t="s">
        <v>703</v>
      </c>
      <c r="N4" s="631" t="s">
        <v>704</v>
      </c>
      <c r="O4" s="631"/>
    </row>
    <row r="5" spans="1:15" ht="17" x14ac:dyDescent="0.2">
      <c r="A5" s="216"/>
      <c r="B5" s="216"/>
      <c r="C5" s="216"/>
      <c r="D5" s="211"/>
      <c r="E5" s="211"/>
      <c r="F5" s="211"/>
      <c r="G5" s="209" t="s">
        <v>705</v>
      </c>
      <c r="H5" s="209" t="s">
        <v>705</v>
      </c>
      <c r="I5" s="211"/>
      <c r="J5" s="211"/>
      <c r="K5" s="211"/>
      <c r="L5" s="211"/>
      <c r="M5" s="211"/>
      <c r="N5" s="214" t="s">
        <v>706</v>
      </c>
      <c r="O5" s="214" t="s">
        <v>707</v>
      </c>
    </row>
    <row r="6" spans="1:15" x14ac:dyDescent="0.2">
      <c r="A6" s="632" t="s">
        <v>708</v>
      </c>
      <c r="B6" s="632"/>
      <c r="C6" s="632"/>
      <c r="D6" s="212" t="s">
        <v>709</v>
      </c>
      <c r="E6" s="212" t="s">
        <v>710</v>
      </c>
      <c r="F6" s="212" t="s">
        <v>711</v>
      </c>
      <c r="G6" s="210" t="s">
        <v>712</v>
      </c>
      <c r="H6" s="210" t="s">
        <v>713</v>
      </c>
      <c r="I6" s="212" t="s">
        <v>714</v>
      </c>
      <c r="J6" s="212" t="s">
        <v>714</v>
      </c>
      <c r="K6" s="212" t="s">
        <v>715</v>
      </c>
      <c r="L6" s="212" t="s">
        <v>716</v>
      </c>
      <c r="M6" s="212" t="s">
        <v>717</v>
      </c>
      <c r="N6" s="210" t="s">
        <v>717</v>
      </c>
      <c r="O6" s="210" t="s">
        <v>718</v>
      </c>
    </row>
    <row r="7" spans="1:15" x14ac:dyDescent="0.2">
      <c r="A7" s="632" t="s">
        <v>719</v>
      </c>
      <c r="B7" s="632"/>
      <c r="C7" s="632"/>
      <c r="D7" s="212" t="s">
        <v>710</v>
      </c>
      <c r="E7" s="212" t="s">
        <v>720</v>
      </c>
      <c r="F7" s="212" t="s">
        <v>721</v>
      </c>
      <c r="G7" s="210" t="s">
        <v>722</v>
      </c>
      <c r="H7" s="210" t="s">
        <v>723</v>
      </c>
      <c r="I7" s="212" t="s">
        <v>714</v>
      </c>
      <c r="J7" s="212" t="s">
        <v>714</v>
      </c>
      <c r="K7" s="212" t="s">
        <v>715</v>
      </c>
      <c r="L7" s="212" t="s">
        <v>724</v>
      </c>
      <c r="M7" s="212" t="s">
        <v>717</v>
      </c>
      <c r="N7" s="210" t="s">
        <v>717</v>
      </c>
      <c r="O7" s="210" t="s">
        <v>718</v>
      </c>
    </row>
    <row r="8" spans="1:15" x14ac:dyDescent="0.2">
      <c r="K8" s="206"/>
      <c r="L8" s="206"/>
      <c r="M8" s="206"/>
      <c r="N8" s="206"/>
    </row>
    <row r="9" spans="1:15" x14ac:dyDescent="0.2">
      <c r="A9" s="633" t="s">
        <v>725</v>
      </c>
      <c r="B9" s="633"/>
      <c r="C9" s="633"/>
      <c r="D9" s="633"/>
      <c r="E9" s="633"/>
    </row>
    <row r="10" spans="1:15" x14ac:dyDescent="0.2">
      <c r="A10" t="s">
        <v>1204</v>
      </c>
    </row>
    <row r="11" spans="1:15" s="544" customFormat="1" x14ac:dyDescent="0.2">
      <c r="A11" s="562"/>
      <c r="B11" s="562"/>
      <c r="C11" s="562"/>
      <c r="D11" s="562"/>
      <c r="E11" s="562"/>
      <c r="F11" s="562"/>
      <c r="G11" s="562"/>
    </row>
    <row r="12" spans="1:15" x14ac:dyDescent="0.2">
      <c r="A12" s="558" t="s">
        <v>1192</v>
      </c>
      <c r="B12" s="561">
        <v>2016</v>
      </c>
      <c r="C12" s="561">
        <v>2017</v>
      </c>
      <c r="D12" s="561">
        <v>2018</v>
      </c>
      <c r="E12" s="561">
        <v>2019</v>
      </c>
      <c r="F12" s="561">
        <v>2020</v>
      </c>
      <c r="G12" s="561">
        <v>2021</v>
      </c>
      <c r="H12" s="561">
        <v>2022</v>
      </c>
      <c r="I12" s="561">
        <v>2023</v>
      </c>
      <c r="J12" s="561">
        <v>2024</v>
      </c>
    </row>
    <row r="13" spans="1:15" x14ac:dyDescent="0.2">
      <c r="A13" s="557" t="s">
        <v>1193</v>
      </c>
      <c r="B13" s="560">
        <v>3921</v>
      </c>
      <c r="C13" s="560">
        <v>8419</v>
      </c>
      <c r="D13" s="560">
        <v>11603</v>
      </c>
      <c r="E13" s="560">
        <v>9810</v>
      </c>
      <c r="F13" s="560">
        <v>10250</v>
      </c>
      <c r="G13" s="560">
        <v>11773</v>
      </c>
      <c r="H13" s="560">
        <v>11908</v>
      </c>
      <c r="I13" s="560">
        <v>14432</v>
      </c>
      <c r="J13" s="560">
        <v>19444</v>
      </c>
    </row>
    <row r="14" spans="1:15" x14ac:dyDescent="0.2">
      <c r="A14" s="557" t="s">
        <v>1194</v>
      </c>
      <c r="B14" s="560">
        <v>186</v>
      </c>
      <c r="C14" s="560">
        <v>897</v>
      </c>
      <c r="D14" s="560">
        <v>1631</v>
      </c>
      <c r="E14" s="560">
        <v>2454</v>
      </c>
      <c r="F14" s="560">
        <v>4426</v>
      </c>
      <c r="G14" s="560">
        <v>6713</v>
      </c>
      <c r="H14" s="560">
        <v>7443</v>
      </c>
      <c r="I14" s="560">
        <v>9431</v>
      </c>
      <c r="J14" s="560">
        <v>13135</v>
      </c>
    </row>
    <row r="15" spans="1:15" x14ac:dyDescent="0.2">
      <c r="A15" s="565" t="s">
        <v>620</v>
      </c>
      <c r="B15" s="566">
        <f t="shared" ref="B15:J15" si="0">B13+B14</f>
        <v>4107</v>
      </c>
      <c r="C15" s="566">
        <f t="shared" si="0"/>
        <v>9316</v>
      </c>
      <c r="D15" s="566">
        <f t="shared" si="0"/>
        <v>13234</v>
      </c>
      <c r="E15" s="566">
        <f t="shared" si="0"/>
        <v>12264</v>
      </c>
      <c r="F15" s="566">
        <f t="shared" si="0"/>
        <v>14676</v>
      </c>
      <c r="G15" s="566">
        <f t="shared" si="0"/>
        <v>18486</v>
      </c>
      <c r="H15" s="566">
        <f t="shared" si="0"/>
        <v>19351</v>
      </c>
      <c r="I15" s="566">
        <f t="shared" si="0"/>
        <v>23863</v>
      </c>
      <c r="J15" s="566">
        <f t="shared" si="0"/>
        <v>32579</v>
      </c>
    </row>
    <row r="16" spans="1:15" x14ac:dyDescent="0.2">
      <c r="A16" s="565" t="s">
        <v>1196</v>
      </c>
      <c r="B16" s="566">
        <v>2709400</v>
      </c>
      <c r="C16" s="566">
        <v>3655900</v>
      </c>
      <c r="D16" s="566">
        <v>4666200</v>
      </c>
      <c r="E16" s="566">
        <v>5596000</v>
      </c>
      <c r="F16" s="566">
        <v>6152600</v>
      </c>
      <c r="G16" s="566">
        <v>6663100</v>
      </c>
      <c r="H16" s="566">
        <v>7842500</v>
      </c>
      <c r="I16" s="566">
        <v>10155400</v>
      </c>
      <c r="J16" s="566">
        <v>13902640</v>
      </c>
      <c r="K16" s="634"/>
    </row>
    <row r="17" spans="1:86" x14ac:dyDescent="0.2">
      <c r="A17" s="565" t="s">
        <v>1197</v>
      </c>
      <c r="B17" s="567">
        <f>B15/B16</f>
        <v>1.515833763932974E-3</v>
      </c>
      <c r="C17" s="567">
        <f t="shared" ref="C17:J17" si="1">C15/C16</f>
        <v>2.5482097431549001E-3</v>
      </c>
      <c r="D17" s="567">
        <f t="shared" si="1"/>
        <v>2.8361407569328363E-3</v>
      </c>
      <c r="E17" s="567">
        <f t="shared" si="1"/>
        <v>2.1915654038598999E-3</v>
      </c>
      <c r="F17" s="567">
        <f t="shared" si="1"/>
        <v>2.3853330299385624E-3</v>
      </c>
      <c r="G17" s="567">
        <f t="shared" si="1"/>
        <v>2.7743842955981449E-3</v>
      </c>
      <c r="H17" s="567">
        <f t="shared" si="1"/>
        <v>2.4674529805546702E-3</v>
      </c>
      <c r="I17" s="567">
        <f t="shared" si="1"/>
        <v>2.3497843511826222E-3</v>
      </c>
      <c r="J17" s="567">
        <f t="shared" si="1"/>
        <v>2.3433678783310219E-3</v>
      </c>
    </row>
    <row r="18" spans="1:86" x14ac:dyDescent="0.2">
      <c r="A18" s="555"/>
      <c r="B18" s="556"/>
      <c r="C18" s="556"/>
      <c r="D18" s="556"/>
      <c r="E18" s="556"/>
      <c r="F18" s="556"/>
      <c r="G18" s="556"/>
      <c r="H18" s="556"/>
      <c r="I18" s="556"/>
      <c r="J18" s="556"/>
    </row>
    <row r="19" spans="1:86" x14ac:dyDescent="0.2">
      <c r="A19" s="558" t="s">
        <v>1195</v>
      </c>
      <c r="B19" s="559">
        <v>2016</v>
      </c>
      <c r="C19" s="559">
        <v>2017</v>
      </c>
      <c r="D19" s="559">
        <v>2018</v>
      </c>
      <c r="E19" s="559">
        <v>2019</v>
      </c>
      <c r="F19" s="559">
        <v>2020</v>
      </c>
      <c r="G19" s="559">
        <v>2021</v>
      </c>
      <c r="H19" s="559">
        <v>2022</v>
      </c>
      <c r="I19" s="559">
        <v>2023</v>
      </c>
      <c r="J19" s="559">
        <v>2024</v>
      </c>
    </row>
    <row r="20" spans="1:86" x14ac:dyDescent="0.2">
      <c r="A20" s="557" t="s">
        <v>1193</v>
      </c>
      <c r="B20" s="560">
        <v>1208562</v>
      </c>
      <c r="C20" s="560">
        <v>1934515</v>
      </c>
      <c r="D20" s="560">
        <v>1916076</v>
      </c>
      <c r="E20" s="560">
        <v>1695899</v>
      </c>
      <c r="F20" s="560">
        <v>2000938</v>
      </c>
      <c r="G20" s="560">
        <v>2113171</v>
      </c>
      <c r="H20" s="560">
        <v>2211804</v>
      </c>
      <c r="I20" s="560">
        <v>2653258</v>
      </c>
      <c r="J20" s="560">
        <v>2652388</v>
      </c>
      <c r="K20" t="s">
        <v>1198</v>
      </c>
    </row>
    <row r="21" spans="1:86" x14ac:dyDescent="0.2">
      <c r="A21" s="557" t="s">
        <v>1194</v>
      </c>
      <c r="B21" s="560">
        <v>82099</v>
      </c>
      <c r="C21" s="560">
        <v>317989</v>
      </c>
      <c r="D21" s="560">
        <v>291743</v>
      </c>
      <c r="E21" s="560">
        <v>779286</v>
      </c>
      <c r="F21" s="560">
        <v>1196136</v>
      </c>
      <c r="G21" s="560">
        <v>1256564</v>
      </c>
      <c r="H21" s="560">
        <v>1458850</v>
      </c>
      <c r="I21" s="560">
        <v>1744563</v>
      </c>
      <c r="J21" s="560">
        <v>1771405</v>
      </c>
      <c r="K21" t="s">
        <v>1199</v>
      </c>
    </row>
    <row r="22" spans="1:86" x14ac:dyDescent="0.2">
      <c r="A22" s="564"/>
      <c r="B22" s="208"/>
      <c r="C22" s="208"/>
      <c r="D22" s="208"/>
      <c r="E22" s="208"/>
      <c r="F22" s="208"/>
      <c r="G22" s="208"/>
      <c r="H22" s="208"/>
      <c r="I22" s="208"/>
      <c r="J22" s="208"/>
    </row>
    <row r="24" spans="1:86" s="563" customFormat="1" x14ac:dyDescent="0.2">
      <c r="A24" s="630" t="s">
        <v>1191</v>
      </c>
      <c r="B24" s="630"/>
      <c r="C24" s="630"/>
      <c r="D24" s="630"/>
      <c r="E24" s="630"/>
      <c r="F24" s="630"/>
      <c r="G24" s="630"/>
    </row>
    <row r="26" spans="1:86" s="637" customFormat="1" x14ac:dyDescent="0.2">
      <c r="A26" s="636" t="s">
        <v>1202</v>
      </c>
    </row>
    <row r="27" spans="1:86" s="568" customFormat="1" x14ac:dyDescent="0.2">
      <c r="A27" s="569" t="s">
        <v>1200</v>
      </c>
      <c r="B27" s="570">
        <v>43709</v>
      </c>
      <c r="C27" s="570">
        <v>43739</v>
      </c>
      <c r="D27" s="570">
        <v>43770</v>
      </c>
      <c r="E27" s="570">
        <v>43800</v>
      </c>
      <c r="F27" s="570">
        <v>43831</v>
      </c>
      <c r="G27" s="570">
        <v>43862</v>
      </c>
      <c r="H27" s="570">
        <v>43891</v>
      </c>
      <c r="I27" s="570">
        <v>43922</v>
      </c>
      <c r="J27" s="570">
        <v>43952</v>
      </c>
      <c r="K27" s="570">
        <v>43983</v>
      </c>
      <c r="L27" s="570">
        <v>44013</v>
      </c>
      <c r="M27" s="570">
        <v>44044</v>
      </c>
      <c r="N27" s="570">
        <v>44075</v>
      </c>
      <c r="O27" s="570">
        <v>44105</v>
      </c>
      <c r="P27" s="570">
        <v>44136</v>
      </c>
      <c r="Q27" s="570">
        <v>44166</v>
      </c>
      <c r="R27" s="570">
        <v>44197</v>
      </c>
      <c r="S27" s="570">
        <v>44228</v>
      </c>
      <c r="T27" s="570">
        <v>44256</v>
      </c>
      <c r="U27" s="570">
        <v>44287</v>
      </c>
      <c r="V27" s="570">
        <v>44317</v>
      </c>
      <c r="W27" s="570">
        <v>44348</v>
      </c>
      <c r="X27" s="570">
        <v>44378</v>
      </c>
      <c r="Y27" s="570">
        <v>44409</v>
      </c>
      <c r="Z27" s="570">
        <v>44440</v>
      </c>
      <c r="AA27" s="570">
        <v>44470</v>
      </c>
      <c r="AB27" s="570">
        <v>44501</v>
      </c>
      <c r="AC27" s="570">
        <v>44531</v>
      </c>
      <c r="AD27" s="570">
        <v>44562</v>
      </c>
      <c r="AE27" s="570">
        <v>44593</v>
      </c>
      <c r="AF27" s="570">
        <v>44621</v>
      </c>
      <c r="AG27" s="570">
        <v>44652</v>
      </c>
      <c r="AH27" s="570">
        <v>44682</v>
      </c>
      <c r="AI27" s="570">
        <v>44713</v>
      </c>
      <c r="AJ27" s="570">
        <v>44743</v>
      </c>
      <c r="AK27" s="570">
        <v>44774</v>
      </c>
      <c r="AL27" s="570">
        <v>44805</v>
      </c>
      <c r="AM27" s="570">
        <v>44835</v>
      </c>
      <c r="AN27" s="570">
        <v>44866</v>
      </c>
      <c r="AO27" s="570">
        <v>44896</v>
      </c>
      <c r="AP27" s="570">
        <v>44927</v>
      </c>
      <c r="AQ27" s="570">
        <v>44958</v>
      </c>
      <c r="AR27" s="570">
        <v>44986</v>
      </c>
      <c r="AS27" s="570">
        <v>45017</v>
      </c>
      <c r="AT27" s="570">
        <v>45047</v>
      </c>
      <c r="AU27" s="570">
        <v>45078</v>
      </c>
      <c r="AV27" s="570">
        <v>45108</v>
      </c>
      <c r="AW27" s="570">
        <v>45139</v>
      </c>
      <c r="AX27" s="570">
        <v>45170</v>
      </c>
      <c r="AY27" s="570">
        <v>45200</v>
      </c>
      <c r="AZ27" s="570">
        <v>45231</v>
      </c>
      <c r="BA27" s="570">
        <v>45261</v>
      </c>
      <c r="BB27" s="570">
        <v>45292</v>
      </c>
      <c r="BC27" s="570">
        <v>45323</v>
      </c>
      <c r="BD27" s="570">
        <v>45352</v>
      </c>
      <c r="BE27" s="570">
        <v>45383</v>
      </c>
      <c r="BF27" s="570">
        <v>45413</v>
      </c>
      <c r="BG27" s="570">
        <v>45444</v>
      </c>
      <c r="BH27" s="570">
        <v>45474</v>
      </c>
      <c r="BI27" s="570">
        <v>45505</v>
      </c>
      <c r="BJ27" s="570">
        <v>45536</v>
      </c>
      <c r="BK27" s="570">
        <v>45566</v>
      </c>
      <c r="BL27" s="570">
        <v>45597</v>
      </c>
      <c r="BM27" s="570">
        <v>45627</v>
      </c>
      <c r="BN27" s="570">
        <v>45658</v>
      </c>
      <c r="BO27" s="570">
        <v>45689</v>
      </c>
      <c r="BP27" s="570">
        <v>45717</v>
      </c>
      <c r="BQ27" s="570">
        <v>45748</v>
      </c>
      <c r="BR27" s="570">
        <v>45778</v>
      </c>
      <c r="BS27" s="570">
        <v>45809</v>
      </c>
      <c r="BT27" s="570">
        <v>45839</v>
      </c>
      <c r="BU27" s="570">
        <v>45870</v>
      </c>
      <c r="BV27" s="570">
        <v>45901</v>
      </c>
      <c r="BW27" s="570">
        <v>45931</v>
      </c>
      <c r="BX27" s="570">
        <v>45962</v>
      </c>
      <c r="BY27" s="570">
        <v>45992</v>
      </c>
      <c r="BZ27" s="570">
        <v>46023</v>
      </c>
      <c r="CA27" s="570">
        <v>46054</v>
      </c>
      <c r="CB27" s="570">
        <v>46082</v>
      </c>
      <c r="CC27" s="570">
        <v>46113</v>
      </c>
    </row>
    <row r="28" spans="1:86" s="568" customFormat="1" x14ac:dyDescent="0.2">
      <c r="A28" s="571" t="s">
        <v>1201</v>
      </c>
      <c r="B28" s="571">
        <v>4.3</v>
      </c>
      <c r="C28" s="571">
        <v>2.4</v>
      </c>
      <c r="D28" s="571">
        <v>2.7</v>
      </c>
      <c r="E28" s="571">
        <v>6.8</v>
      </c>
      <c r="F28" s="571">
        <v>6.8</v>
      </c>
      <c r="G28" s="571">
        <v>4.9000000000000004</v>
      </c>
      <c r="H28" s="571">
        <v>4.5999999999999996</v>
      </c>
      <c r="I28" s="571">
        <v>5.9</v>
      </c>
      <c r="J28" s="571">
        <v>5</v>
      </c>
      <c r="K28" s="571">
        <v>6</v>
      </c>
      <c r="L28" s="571">
        <v>4.5999999999999996</v>
      </c>
      <c r="M28" s="571">
        <v>3.6</v>
      </c>
      <c r="N28" s="571">
        <v>3.3</v>
      </c>
      <c r="O28" s="571">
        <v>4.5999999999999996</v>
      </c>
      <c r="P28" s="571">
        <v>6.3</v>
      </c>
      <c r="Q28" s="571">
        <v>6</v>
      </c>
      <c r="R28" s="571">
        <v>4.8</v>
      </c>
      <c r="S28" s="571">
        <v>4.9000000000000004</v>
      </c>
      <c r="T28" s="571">
        <v>4.8</v>
      </c>
      <c r="U28" s="571">
        <v>4.4000000000000004</v>
      </c>
      <c r="V28" s="571">
        <v>4.9000000000000004</v>
      </c>
      <c r="W28" s="571">
        <v>5.3</v>
      </c>
      <c r="X28" s="571">
        <v>6.1</v>
      </c>
      <c r="Y28" s="571">
        <v>6.4</v>
      </c>
      <c r="Z28" s="571">
        <v>8</v>
      </c>
      <c r="AA28" s="571">
        <v>7.3</v>
      </c>
      <c r="AB28" s="571">
        <v>6.2</v>
      </c>
      <c r="AC28" s="571">
        <v>6.5</v>
      </c>
      <c r="AD28" s="571">
        <v>8</v>
      </c>
      <c r="AE28" s="571">
        <v>10</v>
      </c>
      <c r="AF28" s="571">
        <v>12.1</v>
      </c>
      <c r="AG28" s="571">
        <v>14.9</v>
      </c>
      <c r="AH28" s="571">
        <v>15.3</v>
      </c>
      <c r="AI28" s="571">
        <v>14.7</v>
      </c>
      <c r="AJ28" s="571">
        <v>14.6</v>
      </c>
      <c r="AK28" s="571">
        <v>15.3</v>
      </c>
      <c r="AL28" s="571">
        <v>15.3</v>
      </c>
      <c r="AM28" s="571">
        <v>16.3</v>
      </c>
      <c r="AN28" s="571">
        <v>19.2</v>
      </c>
      <c r="AO28" s="571">
        <v>21.9</v>
      </c>
      <c r="AP28" s="571">
        <v>26.5</v>
      </c>
      <c r="AQ28" s="571">
        <v>32.9</v>
      </c>
      <c r="AR28" s="571">
        <v>33.9</v>
      </c>
      <c r="AS28" s="571">
        <v>31.5</v>
      </c>
      <c r="AT28" s="571">
        <v>33.700000000000003</v>
      </c>
      <c r="AU28" s="571">
        <v>36.799999999999997</v>
      </c>
      <c r="AV28" s="571">
        <v>38.200000000000003</v>
      </c>
      <c r="AW28" s="571">
        <v>39.700000000000003</v>
      </c>
      <c r="AX28" s="571">
        <v>40.299999999999997</v>
      </c>
      <c r="AY28" s="571">
        <v>38.5</v>
      </c>
      <c r="AZ28" s="571">
        <v>36.4</v>
      </c>
      <c r="BA28" s="571">
        <v>35.200000000000003</v>
      </c>
      <c r="BB28" s="571">
        <v>31.2</v>
      </c>
      <c r="BC28" s="571">
        <v>36</v>
      </c>
      <c r="BD28" s="571">
        <v>33.1</v>
      </c>
      <c r="BE28" s="571">
        <v>31.8</v>
      </c>
      <c r="BF28" s="571">
        <v>27.4</v>
      </c>
      <c r="BG28" s="571">
        <v>27.1</v>
      </c>
      <c r="BH28" s="571">
        <v>25.2</v>
      </c>
      <c r="BI28" s="571">
        <v>25.6</v>
      </c>
      <c r="BJ28" s="571">
        <v>26</v>
      </c>
      <c r="BK28" s="571">
        <v>26.3</v>
      </c>
      <c r="BL28" s="571">
        <v>25</v>
      </c>
      <c r="BM28" s="571">
        <v>23.4</v>
      </c>
      <c r="BN28" s="571">
        <v>23.2</v>
      </c>
      <c r="BO28" s="571">
        <v>12.5</v>
      </c>
      <c r="BP28" s="571">
        <v>13.1</v>
      </c>
      <c r="BQ28" s="571">
        <v>13.5</v>
      </c>
      <c r="BR28" s="571">
        <v>16.5</v>
      </c>
      <c r="BS28" s="571">
        <v>14.4</v>
      </c>
      <c r="BT28" s="571">
        <v>13.1</v>
      </c>
      <c r="BU28" s="571">
        <v>11.2</v>
      </c>
      <c r="BV28" s="571">
        <v>10.3</v>
      </c>
      <c r="BW28" s="571">
        <v>10.1</v>
      </c>
      <c r="BX28" s="571">
        <v>10</v>
      </c>
      <c r="BY28" s="571">
        <v>10.3</v>
      </c>
      <c r="BZ28" s="571">
        <v>10.1</v>
      </c>
      <c r="CA28" s="571">
        <v>11.5</v>
      </c>
      <c r="CB28" s="571">
        <v>13.5</v>
      </c>
      <c r="CC28" s="571">
        <v>13.4</v>
      </c>
    </row>
    <row r="30" spans="1:86" x14ac:dyDescent="0.2">
      <c r="A30" s="635" t="s">
        <v>1205</v>
      </c>
    </row>
    <row r="31" spans="1:86" s="572" customFormat="1" x14ac:dyDescent="0.2">
      <c r="A31" s="569" t="s">
        <v>1200</v>
      </c>
      <c r="B31" s="570">
        <v>40391</v>
      </c>
      <c r="C31" s="570">
        <v>40422</v>
      </c>
      <c r="D31" s="570">
        <v>40452</v>
      </c>
      <c r="E31" s="570">
        <v>40483</v>
      </c>
      <c r="F31" s="570">
        <v>40513</v>
      </c>
      <c r="G31" s="570">
        <v>40544</v>
      </c>
      <c r="H31" s="570">
        <v>40575</v>
      </c>
      <c r="I31" s="570">
        <v>40603</v>
      </c>
      <c r="J31" s="570">
        <v>40634</v>
      </c>
      <c r="K31" s="570">
        <v>40664</v>
      </c>
      <c r="L31" s="570">
        <v>40695</v>
      </c>
      <c r="M31" s="570">
        <v>40725</v>
      </c>
      <c r="N31" s="570">
        <v>40756</v>
      </c>
      <c r="O31" s="570">
        <v>40787</v>
      </c>
      <c r="P31" s="570">
        <v>40817</v>
      </c>
      <c r="Q31" s="570">
        <v>40848</v>
      </c>
      <c r="R31" s="570">
        <v>40878</v>
      </c>
      <c r="S31" s="570">
        <v>41214</v>
      </c>
      <c r="T31" s="570">
        <v>41244</v>
      </c>
      <c r="U31" s="570">
        <v>41275</v>
      </c>
      <c r="V31" s="570">
        <v>41306</v>
      </c>
      <c r="W31" s="570">
        <v>41334</v>
      </c>
      <c r="X31" s="570">
        <v>41395</v>
      </c>
      <c r="Y31" s="570">
        <v>41426</v>
      </c>
      <c r="Z31" s="570">
        <v>41456</v>
      </c>
      <c r="AA31" s="570">
        <v>41487</v>
      </c>
      <c r="AB31" s="570">
        <v>41518</v>
      </c>
      <c r="AC31" s="570">
        <v>41548</v>
      </c>
      <c r="AD31" s="570">
        <v>41579</v>
      </c>
      <c r="AE31" s="570">
        <v>41609</v>
      </c>
      <c r="AF31" s="570">
        <v>42005</v>
      </c>
      <c r="AG31" s="570">
        <v>42036</v>
      </c>
      <c r="AH31" s="570">
        <v>42064</v>
      </c>
      <c r="AI31" s="570">
        <v>42095</v>
      </c>
      <c r="AJ31" s="570">
        <v>42125</v>
      </c>
      <c r="AK31" s="570">
        <v>42156</v>
      </c>
      <c r="AL31" s="570">
        <v>42186</v>
      </c>
      <c r="AM31" s="570">
        <v>42217</v>
      </c>
      <c r="AN31" s="570">
        <v>42248</v>
      </c>
      <c r="AO31" s="570">
        <v>42278</v>
      </c>
      <c r="AP31" s="570">
        <v>42309</v>
      </c>
      <c r="AQ31" s="570">
        <v>42339</v>
      </c>
      <c r="AR31" s="570">
        <v>42370</v>
      </c>
      <c r="AS31" s="570">
        <v>42401</v>
      </c>
      <c r="AT31" s="570">
        <v>42430</v>
      </c>
      <c r="AU31" s="570">
        <v>42461</v>
      </c>
      <c r="AV31" s="570">
        <v>42491</v>
      </c>
      <c r="AW31" s="570">
        <v>42522</v>
      </c>
      <c r="AX31" s="570">
        <v>42552</v>
      </c>
      <c r="AY31" s="570">
        <v>42614</v>
      </c>
      <c r="AZ31" s="570">
        <v>42644</v>
      </c>
      <c r="BA31" s="570">
        <v>42675</v>
      </c>
      <c r="BB31" s="570">
        <v>42705</v>
      </c>
      <c r="BC31" s="570">
        <v>42736</v>
      </c>
      <c r="BD31" s="570">
        <v>42767</v>
      </c>
      <c r="BE31" s="570">
        <v>42795</v>
      </c>
      <c r="BF31" s="570">
        <v>42826</v>
      </c>
      <c r="BG31" s="570">
        <v>42856</v>
      </c>
      <c r="BH31" s="570">
        <v>42887</v>
      </c>
      <c r="BI31" s="570">
        <v>42917</v>
      </c>
      <c r="BJ31" s="570">
        <v>42948</v>
      </c>
      <c r="BK31" s="570">
        <v>42979</v>
      </c>
      <c r="BL31" s="570">
        <v>43009</v>
      </c>
      <c r="BM31" s="570">
        <v>43040</v>
      </c>
      <c r="BN31" s="570">
        <v>43070</v>
      </c>
      <c r="BO31" s="570">
        <v>43101</v>
      </c>
      <c r="BP31" s="570">
        <v>43132</v>
      </c>
      <c r="BQ31" s="570">
        <v>43160</v>
      </c>
      <c r="BR31" s="570">
        <v>43191</v>
      </c>
      <c r="BS31" s="570">
        <v>43221</v>
      </c>
      <c r="BT31" s="570">
        <v>43252</v>
      </c>
      <c r="BU31" s="570">
        <v>43282</v>
      </c>
      <c r="BV31" s="570">
        <v>43313</v>
      </c>
      <c r="BW31" s="570">
        <v>43344</v>
      </c>
      <c r="BX31" s="570">
        <v>43374</v>
      </c>
      <c r="BY31" s="570">
        <v>43405</v>
      </c>
      <c r="BZ31" s="570">
        <v>43435</v>
      </c>
      <c r="CA31" s="570">
        <v>43466</v>
      </c>
      <c r="CB31" s="570">
        <v>43497</v>
      </c>
      <c r="CC31" s="570">
        <v>43525</v>
      </c>
      <c r="CD31" s="570">
        <v>43556</v>
      </c>
      <c r="CE31" s="570">
        <v>43586</v>
      </c>
      <c r="CF31" s="570">
        <v>43617</v>
      </c>
      <c r="CG31" s="570">
        <v>43647</v>
      </c>
      <c r="CH31" s="570">
        <v>43678</v>
      </c>
    </row>
    <row r="32" spans="1:86" s="572" customFormat="1" x14ac:dyDescent="0.2">
      <c r="A32" s="571" t="s">
        <v>1201</v>
      </c>
      <c r="B32" s="571">
        <v>11.5</v>
      </c>
      <c r="C32" s="571">
        <v>11.7</v>
      </c>
      <c r="D32" s="571">
        <v>11.4</v>
      </c>
      <c r="E32" s="571">
        <v>10.199999999999999</v>
      </c>
      <c r="F32" s="571">
        <v>10.3</v>
      </c>
      <c r="G32" s="571">
        <v>11</v>
      </c>
      <c r="H32" s="571">
        <v>10.8</v>
      </c>
      <c r="I32" s="571">
        <v>11.8</v>
      </c>
      <c r="J32" s="571">
        <v>12.4</v>
      </c>
      <c r="K32" s="571">
        <v>12.2</v>
      </c>
      <c r="L32" s="571">
        <v>12.1</v>
      </c>
      <c r="M32" s="571">
        <v>10.7</v>
      </c>
      <c r="N32" s="571">
        <v>8.8000000000000007</v>
      </c>
      <c r="O32" s="571">
        <v>8.5</v>
      </c>
      <c r="P32" s="571">
        <v>7.5</v>
      </c>
      <c r="Q32" s="571">
        <v>10</v>
      </c>
      <c r="R32" s="571">
        <v>10.4</v>
      </c>
      <c r="S32" s="571">
        <v>4.0999999999999996</v>
      </c>
      <c r="T32" s="571">
        <v>4.0999999999999996</v>
      </c>
      <c r="U32" s="571">
        <v>6.6</v>
      </c>
      <c r="V32" s="571">
        <v>8.6999999999999993</v>
      </c>
      <c r="W32" s="571">
        <v>8.1999999999999993</v>
      </c>
      <c r="X32" s="571">
        <v>9</v>
      </c>
      <c r="Y32" s="571">
        <v>10.9</v>
      </c>
      <c r="Z32" s="571">
        <v>11.5</v>
      </c>
      <c r="AA32" s="571">
        <v>10.9</v>
      </c>
      <c r="AB32" s="571">
        <v>11.1</v>
      </c>
      <c r="AC32" s="571">
        <v>11.5</v>
      </c>
      <c r="AD32" s="571">
        <v>14.2</v>
      </c>
      <c r="AE32" s="571">
        <v>12.5</v>
      </c>
      <c r="AF32" s="571">
        <v>9.4</v>
      </c>
      <c r="AG32" s="571">
        <v>10.7</v>
      </c>
      <c r="AH32" s="571">
        <v>11.8</v>
      </c>
      <c r="AI32" s="571">
        <v>11</v>
      </c>
      <c r="AJ32" s="571">
        <v>13.5</v>
      </c>
      <c r="AK32" s="571">
        <v>11.5</v>
      </c>
      <c r="AL32" s="571">
        <v>8.3000000000000007</v>
      </c>
      <c r="AM32" s="571">
        <v>7.9</v>
      </c>
      <c r="AN32" s="571">
        <v>9.4</v>
      </c>
      <c r="AO32" s="571">
        <v>10.3</v>
      </c>
      <c r="AP32" s="571">
        <v>11.8</v>
      </c>
      <c r="AQ32" s="571">
        <v>11.9</v>
      </c>
      <c r="AR32" s="571">
        <v>10.7</v>
      </c>
      <c r="AS32" s="571">
        <v>9.5</v>
      </c>
      <c r="AT32" s="571">
        <v>9.1999999999999993</v>
      </c>
      <c r="AU32" s="571">
        <v>10.9</v>
      </c>
      <c r="AV32" s="571">
        <v>12.9</v>
      </c>
      <c r="AW32" s="571">
        <v>14.8</v>
      </c>
      <c r="AX32" s="571">
        <v>14.8</v>
      </c>
      <c r="AY32" s="571">
        <v>14.6</v>
      </c>
      <c r="AZ32" s="571">
        <v>14</v>
      </c>
      <c r="BA32" s="571">
        <v>20.2</v>
      </c>
      <c r="BB32" s="571">
        <v>24.3</v>
      </c>
      <c r="BC32" s="571">
        <v>29.6</v>
      </c>
      <c r="BD32" s="571">
        <v>41.7</v>
      </c>
      <c r="BE32" s="571">
        <v>32.5</v>
      </c>
      <c r="BF32" s="571">
        <v>32.9</v>
      </c>
      <c r="BG32" s="571">
        <v>30.9</v>
      </c>
      <c r="BH32" s="571">
        <v>30.9</v>
      </c>
      <c r="BI32" s="571">
        <v>34.200000000000003</v>
      </c>
      <c r="BJ32" s="571">
        <v>33.200000000000003</v>
      </c>
      <c r="BK32" s="571">
        <v>32.9</v>
      </c>
      <c r="BL32" s="571">
        <v>31.8</v>
      </c>
      <c r="BM32" s="571">
        <v>26.7</v>
      </c>
      <c r="BN32" s="571">
        <v>22.3</v>
      </c>
      <c r="BO32" s="571">
        <v>17</v>
      </c>
      <c r="BP32" s="571">
        <v>14.3</v>
      </c>
      <c r="BQ32" s="571">
        <v>13.1</v>
      </c>
      <c r="BR32" s="571">
        <v>12.9</v>
      </c>
      <c r="BS32" s="571">
        <v>11.5</v>
      </c>
      <c r="BT32" s="571">
        <v>13.8</v>
      </c>
      <c r="BU32" s="571">
        <v>13</v>
      </c>
      <c r="BV32" s="571">
        <v>13.6</v>
      </c>
      <c r="BW32" s="571">
        <v>15.4</v>
      </c>
      <c r="BX32" s="571">
        <v>17.5</v>
      </c>
      <c r="BY32" s="571">
        <v>15.6</v>
      </c>
      <c r="BZ32" s="571">
        <v>11.1</v>
      </c>
      <c r="CA32" s="571">
        <v>12.2</v>
      </c>
      <c r="CB32" s="571">
        <v>13.9</v>
      </c>
      <c r="CC32" s="571">
        <v>13.8</v>
      </c>
      <c r="CD32" s="571">
        <v>12.5</v>
      </c>
      <c r="CE32" s="571">
        <v>13.2</v>
      </c>
      <c r="CF32" s="571">
        <v>8.9</v>
      </c>
      <c r="CG32" s="571">
        <v>7.8</v>
      </c>
      <c r="CH32" s="571">
        <v>6.7</v>
      </c>
    </row>
    <row r="34" spans="1:7" s="563" customFormat="1" x14ac:dyDescent="0.2">
      <c r="A34" s="630" t="s">
        <v>1206</v>
      </c>
      <c r="B34" s="630"/>
      <c r="C34" s="630"/>
      <c r="D34" s="630"/>
      <c r="E34" s="630"/>
      <c r="F34" s="630"/>
      <c r="G34" s="630"/>
    </row>
  </sheetData>
  <mergeCells count="6">
    <mergeCell ref="A24:G24"/>
    <mergeCell ref="A34:G34"/>
    <mergeCell ref="N4:O4"/>
    <mergeCell ref="A6:C6"/>
    <mergeCell ref="A7:C7"/>
    <mergeCell ref="A9:E9"/>
  </mergeCells>
  <hyperlinks>
    <hyperlink ref="A24" r:id="rId1" display="https://www.capmas.gov.eg/publications/59" xr:uid="{49DF040C-AB99-DB49-B985-6F28DB1D245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IO</vt:lpstr>
      <vt:lpstr>SAM</vt:lpstr>
      <vt:lpstr>CQ</vt:lpstr>
      <vt:lpstr>POPQ</vt:lpstr>
      <vt:lpstr>THETAW</vt:lpstr>
      <vt:lpstr>APIQ</vt:lpstr>
      <vt:lpstr>SCQ</vt:lpstr>
      <vt:lpstr>Own-Price Elasticities</vt:lpstr>
      <vt:lpstr>Trade Elasticities BR</vt:lpstr>
      <vt:lpstr>Trade Elasticities EZ</vt:lpstr>
      <vt:lpstr>Comparison</vt:lpstr>
      <vt:lpstr>βᵖ Sector Mapping</vt:lpstr>
      <vt:lpstr>Subsistence (GDP Scaled)</vt:lpstr>
      <vt:lpstr>Subsistence (frisch)</vt:lpstr>
      <vt:lpstr>Subsidies and TK</vt:lpstr>
      <vt:lpstr>IO!Print_Area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Menna Koura</dc:creator>
  <cp:lastModifiedBy>Menna Koura</cp:lastModifiedBy>
  <dcterms:created xsi:type="dcterms:W3CDTF">2026-04-07T09:40:36Z</dcterms:created>
  <dcterms:modified xsi:type="dcterms:W3CDTF">2026-06-03T16:44:07Z</dcterms:modified>
</cp:coreProperties>
</file>