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ennakoura/Downloads/"/>
    </mc:Choice>
  </mc:AlternateContent>
  <xr:revisionPtr revIDLastSave="0" documentId="13_ncr:1_{0E7842D4-64DF-4245-A313-66648200E1AD}" xr6:coauthVersionLast="47" xr6:coauthVersionMax="47" xr10:uidLastSave="{00000000-0000-0000-0000-000000000000}"/>
  <bookViews>
    <workbookView xWindow="0" yWindow="840" windowWidth="38400" windowHeight="24020" activeTab="8" xr2:uid="{08D9664B-A7CF-384D-BD5B-41C569D82BAC}"/>
  </bookViews>
  <sheets>
    <sheet name="IO" sheetId="1" r:id="rId1"/>
    <sheet name="SAM" sheetId="2" r:id="rId2"/>
    <sheet name="CQ" sheetId="3" r:id="rId3"/>
    <sheet name="POPQ" sheetId="4" r:id="rId4"/>
    <sheet name="THETAW" sheetId="5" r:id="rId5"/>
    <sheet name="APIQ" sheetId="6" r:id="rId6"/>
    <sheet name="SCQ" sheetId="7" r:id="rId7"/>
    <sheet name="Subsistence (c0_SH)" sheetId="21" r:id="rId8"/>
    <sheet name="Own-Price Elasticities (ηxh)" sheetId="8" r:id="rId9"/>
    <sheet name="βᵖ Sector Mapping" sheetId="12" r:id="rId10"/>
    <sheet name="Trade Elasticities EZ" sheetId="19" r:id="rId11"/>
    <sheet name="Trade Elasticities BR" sheetId="15" r:id="rId12"/>
    <sheet name="Comparison" sheetId="20" r:id="rId13"/>
    <sheet name="Subsistence (frisch)" sheetId="17" state="hidden" r:id="rId14"/>
  </sheets>
  <externalReferences>
    <externalReference r:id="rId15"/>
  </externalReferences>
  <definedNames>
    <definedName name="_xlnm._FilterDatabase" localSheetId="9" hidden="1">'βᵖ Sector Mapping'!$B$1:$D$68</definedName>
    <definedName name="_JOB6" localSheetId="0">#REF!</definedName>
    <definedName name="_JOB6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atMult_A" localSheetId="0" hidden="1">#REF!</definedName>
    <definedName name="_MatMult_A" hidden="1">#REF!</definedName>
    <definedName name="_MatMult_AxB" localSheetId="0" hidden="1">#REF!</definedName>
    <definedName name="_MatMult_AxB" hidden="1">#REF!</definedName>
    <definedName name="_MatMult_B" localSheetId="0" hidden="1">#REF!</definedName>
    <definedName name="_MatMult_B" hidden="1">#REF!</definedName>
    <definedName name="hhh" localSheetId="0">#REF!</definedName>
    <definedName name="hhh">#REF!</definedName>
    <definedName name="matrix" localSheetId="0" hidden="1">#REF!</definedName>
    <definedName name="matrix" hidden="1">#REF!</definedName>
    <definedName name="_xlnm.Print_Area" localSheetId="0">IO!$A$1:$CJ$83</definedName>
    <definedName name="Print_Area_MI" localSheetId="0">#REF!</definedName>
    <definedName name="Print_Area_MI">#REF!</definedName>
    <definedName name="Print_Titles_MI" localSheetId="0">#REF!,#REF!</definedName>
    <definedName name="Print_Titles_MI">#REF!,#REF!</definedName>
    <definedName name="use_degree_02" localSheetId="0">#REF!</definedName>
    <definedName name="use_degree_02">#REF!</definedName>
    <definedName name="use_degree_03" localSheetId="0">#REF!</definedName>
    <definedName name="use_degree_03">#REF!</definedName>
    <definedName name="use_degree_04" localSheetId="0">#REF!</definedName>
    <definedName name="use_degree_04">#REF!</definedName>
    <definedName name="use_degree_05" localSheetId="0">#REF!</definedName>
    <definedName name="use_degree_05">#REF!</definedName>
    <definedName name="WorldBank">POPQ!$C$7</definedName>
    <definedName name="ا" localSheetId="0" hidden="1">#REF!</definedName>
    <definedName name="ا" hidden="1">#REF!</definedName>
    <definedName name="فغ" localSheetId="0" hidden="1">#REF!</definedName>
    <definedName name="فغ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5" i="6"/>
  <c r="C2" i="6"/>
  <c r="B79" i="5"/>
  <c r="B80" i="5"/>
  <c r="M73" i="21"/>
  <c r="L73" i="21"/>
  <c r="K73" i="21"/>
  <c r="J73" i="21"/>
  <c r="I73" i="21"/>
  <c r="R70" i="21"/>
  <c r="Q70" i="21"/>
  <c r="P70" i="21"/>
  <c r="O70" i="21"/>
  <c r="N70" i="21"/>
  <c r="H70" i="21"/>
  <c r="M70" i="21" s="1"/>
  <c r="G70" i="21"/>
  <c r="L70" i="21" s="1"/>
  <c r="F70" i="21"/>
  <c r="K70" i="21" s="1"/>
  <c r="E70" i="21"/>
  <c r="J70" i="21" s="1"/>
  <c r="D70" i="21"/>
  <c r="I70" i="21" s="1"/>
  <c r="R69" i="21"/>
  <c r="Q69" i="21"/>
  <c r="P69" i="21"/>
  <c r="O69" i="21"/>
  <c r="N69" i="21"/>
  <c r="J69" i="21"/>
  <c r="H69" i="21"/>
  <c r="M69" i="21" s="1"/>
  <c r="G69" i="21"/>
  <c r="L69" i="21" s="1"/>
  <c r="F69" i="21"/>
  <c r="K69" i="21" s="1"/>
  <c r="E69" i="21"/>
  <c r="D69" i="21"/>
  <c r="I69" i="21" s="1"/>
  <c r="R68" i="21"/>
  <c r="Q68" i="21"/>
  <c r="P68" i="21"/>
  <c r="O68" i="21"/>
  <c r="N68" i="21"/>
  <c r="M68" i="21"/>
  <c r="L68" i="21"/>
  <c r="K68" i="21"/>
  <c r="I68" i="21"/>
  <c r="H68" i="21"/>
  <c r="G68" i="21"/>
  <c r="F68" i="21"/>
  <c r="E68" i="21"/>
  <c r="J68" i="21" s="1"/>
  <c r="D68" i="21"/>
  <c r="R67" i="21"/>
  <c r="Q67" i="21"/>
  <c r="P67" i="21"/>
  <c r="O67" i="21"/>
  <c r="N67" i="21"/>
  <c r="J67" i="21"/>
  <c r="H67" i="21"/>
  <c r="M67" i="21" s="1"/>
  <c r="G67" i="21"/>
  <c r="L67" i="21" s="1"/>
  <c r="F67" i="21"/>
  <c r="K67" i="21" s="1"/>
  <c r="E67" i="21"/>
  <c r="D67" i="21"/>
  <c r="I67" i="21" s="1"/>
  <c r="R66" i="21"/>
  <c r="Q66" i="21"/>
  <c r="P66" i="21"/>
  <c r="O66" i="21"/>
  <c r="N66" i="21"/>
  <c r="M66" i="21"/>
  <c r="L66" i="21"/>
  <c r="K66" i="21"/>
  <c r="I66" i="21"/>
  <c r="H66" i="21"/>
  <c r="G66" i="21"/>
  <c r="F66" i="21"/>
  <c r="E66" i="21"/>
  <c r="J66" i="21" s="1"/>
  <c r="D66" i="21"/>
  <c r="R65" i="21"/>
  <c r="Q65" i="21"/>
  <c r="P65" i="21"/>
  <c r="O65" i="21"/>
  <c r="N65" i="21"/>
  <c r="J65" i="21"/>
  <c r="H65" i="21"/>
  <c r="M65" i="21" s="1"/>
  <c r="G65" i="21"/>
  <c r="L65" i="21" s="1"/>
  <c r="F65" i="21"/>
  <c r="K65" i="21" s="1"/>
  <c r="E65" i="21"/>
  <c r="D65" i="21"/>
  <c r="I65" i="21" s="1"/>
  <c r="R64" i="21"/>
  <c r="Q64" i="21"/>
  <c r="P64" i="21"/>
  <c r="O64" i="21"/>
  <c r="N64" i="21"/>
  <c r="M64" i="21"/>
  <c r="L64" i="21"/>
  <c r="K64" i="21"/>
  <c r="I64" i="21"/>
  <c r="H64" i="21"/>
  <c r="G64" i="21"/>
  <c r="F64" i="21"/>
  <c r="E64" i="21"/>
  <c r="J64" i="21" s="1"/>
  <c r="D64" i="21"/>
  <c r="R63" i="21"/>
  <c r="Q63" i="21"/>
  <c r="P63" i="21"/>
  <c r="O63" i="21"/>
  <c r="N63" i="21"/>
  <c r="J63" i="21"/>
  <c r="H63" i="21"/>
  <c r="M63" i="21" s="1"/>
  <c r="G63" i="21"/>
  <c r="L63" i="21" s="1"/>
  <c r="F63" i="21"/>
  <c r="K63" i="21" s="1"/>
  <c r="E63" i="21"/>
  <c r="D63" i="21"/>
  <c r="I63" i="21" s="1"/>
  <c r="R62" i="21"/>
  <c r="Q62" i="21"/>
  <c r="P62" i="21"/>
  <c r="O62" i="21"/>
  <c r="N62" i="21"/>
  <c r="M62" i="21"/>
  <c r="L62" i="21"/>
  <c r="K62" i="21"/>
  <c r="I62" i="21"/>
  <c r="H62" i="21"/>
  <c r="G62" i="21"/>
  <c r="F62" i="21"/>
  <c r="E62" i="21"/>
  <c r="J62" i="21" s="1"/>
  <c r="D62" i="21"/>
  <c r="R61" i="21"/>
  <c r="Q61" i="21"/>
  <c r="P61" i="21"/>
  <c r="O61" i="21"/>
  <c r="N61" i="21"/>
  <c r="J61" i="21"/>
  <c r="H61" i="21"/>
  <c r="M61" i="21" s="1"/>
  <c r="G61" i="21"/>
  <c r="L61" i="21" s="1"/>
  <c r="F61" i="21"/>
  <c r="K61" i="21" s="1"/>
  <c r="E61" i="21"/>
  <c r="D61" i="21"/>
  <c r="I61" i="21" s="1"/>
  <c r="R60" i="21"/>
  <c r="Q60" i="21"/>
  <c r="P60" i="21"/>
  <c r="O60" i="21"/>
  <c r="N60" i="21"/>
  <c r="M60" i="21"/>
  <c r="L60" i="21"/>
  <c r="K60" i="21"/>
  <c r="I60" i="21"/>
  <c r="H60" i="21"/>
  <c r="G60" i="21"/>
  <c r="F60" i="21"/>
  <c r="E60" i="21"/>
  <c r="J60" i="21" s="1"/>
  <c r="D60" i="21"/>
  <c r="R59" i="21"/>
  <c r="Q59" i="21"/>
  <c r="P59" i="21"/>
  <c r="O59" i="21"/>
  <c r="N59" i="21"/>
  <c r="J59" i="21"/>
  <c r="H59" i="21"/>
  <c r="M59" i="21" s="1"/>
  <c r="G59" i="21"/>
  <c r="L59" i="21" s="1"/>
  <c r="F59" i="21"/>
  <c r="K59" i="21" s="1"/>
  <c r="E59" i="21"/>
  <c r="D59" i="21"/>
  <c r="I59" i="21" s="1"/>
  <c r="R58" i="21"/>
  <c r="Q58" i="21"/>
  <c r="P58" i="21"/>
  <c r="O58" i="21"/>
  <c r="N58" i="21"/>
  <c r="M58" i="21"/>
  <c r="L58" i="21"/>
  <c r="K58" i="21"/>
  <c r="I58" i="21"/>
  <c r="H58" i="21"/>
  <c r="G58" i="21"/>
  <c r="F58" i="21"/>
  <c r="E58" i="21"/>
  <c r="J58" i="21" s="1"/>
  <c r="D58" i="21"/>
  <c r="R57" i="21"/>
  <c r="Q57" i="21"/>
  <c r="P57" i="21"/>
  <c r="O57" i="21"/>
  <c r="N57" i="21"/>
  <c r="J57" i="21"/>
  <c r="H57" i="21"/>
  <c r="M57" i="21" s="1"/>
  <c r="G57" i="21"/>
  <c r="L57" i="21" s="1"/>
  <c r="F57" i="21"/>
  <c r="K57" i="21" s="1"/>
  <c r="E57" i="21"/>
  <c r="D57" i="21"/>
  <c r="I57" i="21" s="1"/>
  <c r="R56" i="21"/>
  <c r="Q56" i="21"/>
  <c r="P56" i="21"/>
  <c r="O56" i="21"/>
  <c r="N56" i="21"/>
  <c r="M56" i="21"/>
  <c r="L56" i="21"/>
  <c r="K56" i="21"/>
  <c r="I56" i="21"/>
  <c r="H56" i="21"/>
  <c r="G56" i="21"/>
  <c r="F56" i="21"/>
  <c r="E56" i="21"/>
  <c r="J56" i="21" s="1"/>
  <c r="D56" i="21"/>
  <c r="R55" i="21"/>
  <c r="Q55" i="21"/>
  <c r="P55" i="21"/>
  <c r="O55" i="21"/>
  <c r="N55" i="21"/>
  <c r="J55" i="21"/>
  <c r="H55" i="21"/>
  <c r="M55" i="21" s="1"/>
  <c r="G55" i="21"/>
  <c r="L55" i="21" s="1"/>
  <c r="F55" i="21"/>
  <c r="K55" i="21" s="1"/>
  <c r="E55" i="21"/>
  <c r="D55" i="21"/>
  <c r="I55" i="21" s="1"/>
  <c r="R54" i="21"/>
  <c r="Q54" i="21"/>
  <c r="P54" i="21"/>
  <c r="O54" i="21"/>
  <c r="N54" i="21"/>
  <c r="M54" i="21"/>
  <c r="L54" i="21"/>
  <c r="K54" i="21"/>
  <c r="I54" i="21"/>
  <c r="H54" i="21"/>
  <c r="G54" i="21"/>
  <c r="F54" i="21"/>
  <c r="E54" i="21"/>
  <c r="J54" i="21" s="1"/>
  <c r="D54" i="21"/>
  <c r="R53" i="21"/>
  <c r="Q53" i="21"/>
  <c r="P53" i="21"/>
  <c r="O53" i="21"/>
  <c r="N53" i="21"/>
  <c r="J53" i="21"/>
  <c r="H53" i="21"/>
  <c r="M53" i="21" s="1"/>
  <c r="G53" i="21"/>
  <c r="L53" i="21" s="1"/>
  <c r="F53" i="21"/>
  <c r="K53" i="21" s="1"/>
  <c r="E53" i="21"/>
  <c r="D53" i="21"/>
  <c r="I53" i="21" s="1"/>
  <c r="R52" i="21"/>
  <c r="Q52" i="21"/>
  <c r="P52" i="21"/>
  <c r="O52" i="21"/>
  <c r="N52" i="21"/>
  <c r="M52" i="21"/>
  <c r="L52" i="21"/>
  <c r="K52" i="21"/>
  <c r="I52" i="21"/>
  <c r="H52" i="21"/>
  <c r="G52" i="21"/>
  <c r="F52" i="21"/>
  <c r="E52" i="21"/>
  <c r="J52" i="21" s="1"/>
  <c r="D52" i="21"/>
  <c r="R51" i="21"/>
  <c r="Q51" i="21"/>
  <c r="P51" i="21"/>
  <c r="O51" i="21"/>
  <c r="N51" i="21"/>
  <c r="J51" i="21"/>
  <c r="H51" i="21"/>
  <c r="M51" i="21" s="1"/>
  <c r="G51" i="21"/>
  <c r="L51" i="21" s="1"/>
  <c r="F51" i="21"/>
  <c r="K51" i="21" s="1"/>
  <c r="E51" i="21"/>
  <c r="D51" i="21"/>
  <c r="I51" i="21" s="1"/>
  <c r="R50" i="21"/>
  <c r="Q50" i="21"/>
  <c r="P50" i="21"/>
  <c r="O50" i="21"/>
  <c r="N50" i="21"/>
  <c r="M50" i="21"/>
  <c r="L50" i="21"/>
  <c r="K50" i="21"/>
  <c r="I50" i="21"/>
  <c r="H50" i="21"/>
  <c r="G50" i="21"/>
  <c r="F50" i="21"/>
  <c r="E50" i="21"/>
  <c r="J50" i="21" s="1"/>
  <c r="D50" i="21"/>
  <c r="R49" i="21"/>
  <c r="Q49" i="21"/>
  <c r="P49" i="21"/>
  <c r="O49" i="21"/>
  <c r="N49" i="21"/>
  <c r="J49" i="21"/>
  <c r="H49" i="21"/>
  <c r="M49" i="21" s="1"/>
  <c r="G49" i="21"/>
  <c r="L49" i="21" s="1"/>
  <c r="F49" i="21"/>
  <c r="K49" i="21" s="1"/>
  <c r="E49" i="21"/>
  <c r="D49" i="21"/>
  <c r="I49" i="21" s="1"/>
  <c r="R48" i="21"/>
  <c r="Q48" i="21"/>
  <c r="P48" i="21"/>
  <c r="O48" i="21"/>
  <c r="N48" i="21"/>
  <c r="M48" i="21"/>
  <c r="L48" i="21"/>
  <c r="K48" i="21"/>
  <c r="I48" i="21"/>
  <c r="H48" i="21"/>
  <c r="G48" i="21"/>
  <c r="F48" i="21"/>
  <c r="E48" i="21"/>
  <c r="J48" i="21" s="1"/>
  <c r="D48" i="21"/>
  <c r="R47" i="21"/>
  <c r="Q47" i="21"/>
  <c r="P47" i="21"/>
  <c r="O47" i="21"/>
  <c r="N47" i="21"/>
  <c r="J47" i="21"/>
  <c r="H47" i="21"/>
  <c r="M47" i="21" s="1"/>
  <c r="G47" i="21"/>
  <c r="L47" i="21" s="1"/>
  <c r="F47" i="21"/>
  <c r="K47" i="21" s="1"/>
  <c r="E47" i="21"/>
  <c r="D47" i="21"/>
  <c r="I47" i="21" s="1"/>
  <c r="R46" i="21"/>
  <c r="Q46" i="21"/>
  <c r="P46" i="21"/>
  <c r="O46" i="21"/>
  <c r="N46" i="21"/>
  <c r="M46" i="21"/>
  <c r="L46" i="21"/>
  <c r="K46" i="21"/>
  <c r="I46" i="21"/>
  <c r="H46" i="21"/>
  <c r="G46" i="21"/>
  <c r="F46" i="21"/>
  <c r="E46" i="21"/>
  <c r="J46" i="21" s="1"/>
  <c r="D46" i="21"/>
  <c r="R45" i="21"/>
  <c r="Q45" i="21"/>
  <c r="P45" i="21"/>
  <c r="O45" i="21"/>
  <c r="N45" i="21"/>
  <c r="J45" i="21"/>
  <c r="H45" i="21"/>
  <c r="M45" i="21" s="1"/>
  <c r="G45" i="21"/>
  <c r="L45" i="21" s="1"/>
  <c r="F45" i="21"/>
  <c r="K45" i="21" s="1"/>
  <c r="E45" i="21"/>
  <c r="D45" i="21"/>
  <c r="I45" i="21" s="1"/>
  <c r="R44" i="21"/>
  <c r="Q44" i="21"/>
  <c r="P44" i="21"/>
  <c r="O44" i="21"/>
  <c r="N44" i="21"/>
  <c r="M44" i="21"/>
  <c r="L44" i="21"/>
  <c r="K44" i="21"/>
  <c r="I44" i="21"/>
  <c r="H44" i="21"/>
  <c r="G44" i="21"/>
  <c r="F44" i="21"/>
  <c r="E44" i="21"/>
  <c r="J44" i="21" s="1"/>
  <c r="D44" i="21"/>
  <c r="R43" i="21"/>
  <c r="Q43" i="21"/>
  <c r="P43" i="21"/>
  <c r="O43" i="21"/>
  <c r="N43" i="21"/>
  <c r="J43" i="21"/>
  <c r="H43" i="21"/>
  <c r="M43" i="21" s="1"/>
  <c r="G43" i="21"/>
  <c r="L43" i="21" s="1"/>
  <c r="F43" i="21"/>
  <c r="K43" i="21" s="1"/>
  <c r="E43" i="21"/>
  <c r="D43" i="21"/>
  <c r="I43" i="21" s="1"/>
  <c r="R42" i="21"/>
  <c r="Q42" i="21"/>
  <c r="P42" i="21"/>
  <c r="O42" i="21"/>
  <c r="N42" i="21"/>
  <c r="M42" i="21"/>
  <c r="L42" i="21"/>
  <c r="K42" i="21"/>
  <c r="I42" i="21"/>
  <c r="H42" i="21"/>
  <c r="G42" i="21"/>
  <c r="F42" i="21"/>
  <c r="E42" i="21"/>
  <c r="J42" i="21" s="1"/>
  <c r="D42" i="21"/>
  <c r="R41" i="21"/>
  <c r="Q41" i="21"/>
  <c r="P41" i="21"/>
  <c r="O41" i="21"/>
  <c r="N41" i="21"/>
  <c r="J41" i="21"/>
  <c r="H41" i="21"/>
  <c r="M41" i="21" s="1"/>
  <c r="G41" i="21"/>
  <c r="L41" i="21" s="1"/>
  <c r="F41" i="21"/>
  <c r="K41" i="21" s="1"/>
  <c r="E41" i="21"/>
  <c r="D41" i="21"/>
  <c r="I41" i="21" s="1"/>
  <c r="R40" i="21"/>
  <c r="Q40" i="21"/>
  <c r="P40" i="21"/>
  <c r="O40" i="21"/>
  <c r="N40" i="21"/>
  <c r="M40" i="21"/>
  <c r="L40" i="21"/>
  <c r="K40" i="21"/>
  <c r="I40" i="21"/>
  <c r="H40" i="21"/>
  <c r="G40" i="21"/>
  <c r="F40" i="21"/>
  <c r="E40" i="21"/>
  <c r="J40" i="21" s="1"/>
  <c r="D40" i="21"/>
  <c r="R39" i="21"/>
  <c r="Q39" i="21"/>
  <c r="P39" i="21"/>
  <c r="O39" i="21"/>
  <c r="N39" i="21"/>
  <c r="J39" i="21"/>
  <c r="H39" i="21"/>
  <c r="M39" i="21" s="1"/>
  <c r="G39" i="21"/>
  <c r="L39" i="21" s="1"/>
  <c r="F39" i="21"/>
  <c r="K39" i="21" s="1"/>
  <c r="E39" i="21"/>
  <c r="D39" i="21"/>
  <c r="I39" i="21" s="1"/>
  <c r="R38" i="21"/>
  <c r="Q38" i="21"/>
  <c r="P38" i="21"/>
  <c r="O38" i="21"/>
  <c r="N38" i="21"/>
  <c r="M38" i="21"/>
  <c r="L38" i="21"/>
  <c r="K38" i="21"/>
  <c r="I38" i="21"/>
  <c r="H38" i="21"/>
  <c r="G38" i="21"/>
  <c r="F38" i="21"/>
  <c r="E38" i="21"/>
  <c r="J38" i="21" s="1"/>
  <c r="D38" i="21"/>
  <c r="R37" i="21"/>
  <c r="Q37" i="21"/>
  <c r="P37" i="21"/>
  <c r="O37" i="21"/>
  <c r="N37" i="21"/>
  <c r="J37" i="21"/>
  <c r="H37" i="21"/>
  <c r="M37" i="21" s="1"/>
  <c r="G37" i="21"/>
  <c r="L37" i="21" s="1"/>
  <c r="F37" i="21"/>
  <c r="K37" i="21" s="1"/>
  <c r="E37" i="21"/>
  <c r="D37" i="21"/>
  <c r="I37" i="21" s="1"/>
  <c r="R36" i="21"/>
  <c r="Q36" i="21"/>
  <c r="P36" i="21"/>
  <c r="O36" i="21"/>
  <c r="N36" i="21"/>
  <c r="M36" i="21"/>
  <c r="L36" i="21"/>
  <c r="K36" i="21"/>
  <c r="I36" i="21"/>
  <c r="H36" i="21"/>
  <c r="G36" i="21"/>
  <c r="F36" i="21"/>
  <c r="E36" i="21"/>
  <c r="J36" i="21" s="1"/>
  <c r="D36" i="21"/>
  <c r="R35" i="21"/>
  <c r="Q35" i="21"/>
  <c r="P35" i="21"/>
  <c r="O35" i="21"/>
  <c r="N35" i="21"/>
  <c r="J35" i="21"/>
  <c r="H35" i="21"/>
  <c r="M35" i="21" s="1"/>
  <c r="G35" i="21"/>
  <c r="L35" i="21" s="1"/>
  <c r="F35" i="21"/>
  <c r="K35" i="21" s="1"/>
  <c r="E35" i="21"/>
  <c r="D35" i="21"/>
  <c r="I35" i="21" s="1"/>
  <c r="R34" i="21"/>
  <c r="Q34" i="21"/>
  <c r="P34" i="21"/>
  <c r="O34" i="21"/>
  <c r="N34" i="21"/>
  <c r="M34" i="21"/>
  <c r="L34" i="21"/>
  <c r="K34" i="21"/>
  <c r="I34" i="21"/>
  <c r="H34" i="21"/>
  <c r="G34" i="21"/>
  <c r="F34" i="21"/>
  <c r="E34" i="21"/>
  <c r="J34" i="21" s="1"/>
  <c r="D34" i="21"/>
  <c r="R33" i="21"/>
  <c r="Q33" i="21"/>
  <c r="P33" i="21"/>
  <c r="O33" i="21"/>
  <c r="N33" i="21"/>
  <c r="J33" i="21"/>
  <c r="H33" i="21"/>
  <c r="M33" i="21" s="1"/>
  <c r="G33" i="21"/>
  <c r="L33" i="21" s="1"/>
  <c r="F33" i="21"/>
  <c r="K33" i="21" s="1"/>
  <c r="E33" i="21"/>
  <c r="D33" i="21"/>
  <c r="I33" i="21" s="1"/>
  <c r="R32" i="21"/>
  <c r="Q32" i="21"/>
  <c r="P32" i="21"/>
  <c r="O32" i="21"/>
  <c r="N32" i="21"/>
  <c r="M32" i="21"/>
  <c r="L32" i="21"/>
  <c r="K32" i="21"/>
  <c r="I32" i="21"/>
  <c r="H32" i="21"/>
  <c r="G32" i="21"/>
  <c r="F32" i="21"/>
  <c r="E32" i="21"/>
  <c r="J32" i="21" s="1"/>
  <c r="D32" i="21"/>
  <c r="R31" i="21"/>
  <c r="Q31" i="21"/>
  <c r="P31" i="21"/>
  <c r="O31" i="21"/>
  <c r="N31" i="21"/>
  <c r="J31" i="21"/>
  <c r="H31" i="21"/>
  <c r="M31" i="21" s="1"/>
  <c r="G31" i="21"/>
  <c r="L31" i="21" s="1"/>
  <c r="F31" i="21"/>
  <c r="K31" i="21" s="1"/>
  <c r="E31" i="21"/>
  <c r="D31" i="21"/>
  <c r="I31" i="21" s="1"/>
  <c r="R30" i="21"/>
  <c r="Q30" i="21"/>
  <c r="P30" i="21"/>
  <c r="O30" i="21"/>
  <c r="N30" i="21"/>
  <c r="M30" i="21"/>
  <c r="L30" i="21"/>
  <c r="K30" i="21"/>
  <c r="I30" i="21"/>
  <c r="H30" i="21"/>
  <c r="G30" i="21"/>
  <c r="F30" i="21"/>
  <c r="E30" i="21"/>
  <c r="J30" i="21" s="1"/>
  <c r="D30" i="21"/>
  <c r="R29" i="21"/>
  <c r="Q29" i="21"/>
  <c r="P29" i="21"/>
  <c r="O29" i="21"/>
  <c r="N29" i="21"/>
  <c r="J29" i="21"/>
  <c r="H29" i="21"/>
  <c r="M29" i="21" s="1"/>
  <c r="G29" i="21"/>
  <c r="L29" i="21" s="1"/>
  <c r="F29" i="21"/>
  <c r="K29" i="21" s="1"/>
  <c r="E29" i="21"/>
  <c r="D29" i="21"/>
  <c r="I29" i="21" s="1"/>
  <c r="R28" i="21"/>
  <c r="Q28" i="21"/>
  <c r="P28" i="21"/>
  <c r="O28" i="21"/>
  <c r="N28" i="21"/>
  <c r="M28" i="21"/>
  <c r="L28" i="21"/>
  <c r="K28" i="21"/>
  <c r="I28" i="21"/>
  <c r="H28" i="21"/>
  <c r="G28" i="21"/>
  <c r="F28" i="21"/>
  <c r="E28" i="21"/>
  <c r="J28" i="21" s="1"/>
  <c r="D28" i="21"/>
  <c r="R27" i="21"/>
  <c r="Q27" i="21"/>
  <c r="P27" i="21"/>
  <c r="O27" i="21"/>
  <c r="N27" i="21"/>
  <c r="J27" i="21"/>
  <c r="H27" i="21"/>
  <c r="M27" i="21" s="1"/>
  <c r="G27" i="21"/>
  <c r="L27" i="21" s="1"/>
  <c r="F27" i="21"/>
  <c r="K27" i="21" s="1"/>
  <c r="E27" i="21"/>
  <c r="D27" i="21"/>
  <c r="I27" i="21" s="1"/>
  <c r="R26" i="21"/>
  <c r="Q26" i="21"/>
  <c r="P26" i="21"/>
  <c r="O26" i="21"/>
  <c r="N26" i="21"/>
  <c r="M26" i="21"/>
  <c r="L26" i="21"/>
  <c r="K26" i="21"/>
  <c r="I26" i="21"/>
  <c r="H26" i="21"/>
  <c r="G26" i="21"/>
  <c r="F26" i="21"/>
  <c r="E26" i="21"/>
  <c r="J26" i="21" s="1"/>
  <c r="D26" i="21"/>
  <c r="R25" i="21"/>
  <c r="Q25" i="21"/>
  <c r="P25" i="21"/>
  <c r="O25" i="21"/>
  <c r="N25" i="21"/>
  <c r="J25" i="21"/>
  <c r="H25" i="21"/>
  <c r="M25" i="21" s="1"/>
  <c r="G25" i="21"/>
  <c r="L25" i="21" s="1"/>
  <c r="F25" i="21"/>
  <c r="K25" i="21" s="1"/>
  <c r="E25" i="21"/>
  <c r="D25" i="21"/>
  <c r="I25" i="21" s="1"/>
  <c r="R24" i="21"/>
  <c r="Q24" i="21"/>
  <c r="P24" i="21"/>
  <c r="O24" i="21"/>
  <c r="N24" i="21"/>
  <c r="M24" i="21"/>
  <c r="L24" i="21"/>
  <c r="K24" i="21"/>
  <c r="I24" i="21"/>
  <c r="H24" i="21"/>
  <c r="G24" i="21"/>
  <c r="F24" i="21"/>
  <c r="E24" i="21"/>
  <c r="J24" i="21" s="1"/>
  <c r="D24" i="21"/>
  <c r="R23" i="21"/>
  <c r="Q23" i="21"/>
  <c r="P23" i="21"/>
  <c r="O23" i="21"/>
  <c r="N23" i="21"/>
  <c r="J23" i="21"/>
  <c r="H23" i="21"/>
  <c r="M23" i="21" s="1"/>
  <c r="G23" i="21"/>
  <c r="L23" i="21" s="1"/>
  <c r="F23" i="21"/>
  <c r="K23" i="21" s="1"/>
  <c r="E23" i="21"/>
  <c r="D23" i="21"/>
  <c r="I23" i="21" s="1"/>
  <c r="R22" i="21"/>
  <c r="Q22" i="21"/>
  <c r="P22" i="21"/>
  <c r="O22" i="21"/>
  <c r="N22" i="21"/>
  <c r="M22" i="21"/>
  <c r="L22" i="21"/>
  <c r="K22" i="21"/>
  <c r="I22" i="21"/>
  <c r="H22" i="21"/>
  <c r="G22" i="21"/>
  <c r="F22" i="21"/>
  <c r="E22" i="21"/>
  <c r="J22" i="21" s="1"/>
  <c r="D22" i="21"/>
  <c r="R21" i="21"/>
  <c r="Q21" i="21"/>
  <c r="P21" i="21"/>
  <c r="O21" i="21"/>
  <c r="N21" i="21"/>
  <c r="J21" i="21"/>
  <c r="H21" i="21"/>
  <c r="M21" i="21" s="1"/>
  <c r="G21" i="21"/>
  <c r="L21" i="21" s="1"/>
  <c r="F21" i="21"/>
  <c r="K21" i="21" s="1"/>
  <c r="E21" i="21"/>
  <c r="D21" i="21"/>
  <c r="I21" i="21" s="1"/>
  <c r="R20" i="21"/>
  <c r="Q20" i="21"/>
  <c r="P20" i="21"/>
  <c r="O20" i="21"/>
  <c r="N20" i="21"/>
  <c r="M20" i="21"/>
  <c r="L20" i="21"/>
  <c r="K20" i="21"/>
  <c r="I20" i="21"/>
  <c r="H20" i="21"/>
  <c r="G20" i="21"/>
  <c r="F20" i="21"/>
  <c r="E20" i="21"/>
  <c r="J20" i="21" s="1"/>
  <c r="D20" i="21"/>
  <c r="R19" i="21"/>
  <c r="Q19" i="21"/>
  <c r="P19" i="21"/>
  <c r="O19" i="21"/>
  <c r="N19" i="21"/>
  <c r="J19" i="21"/>
  <c r="H19" i="21"/>
  <c r="M19" i="21" s="1"/>
  <c r="G19" i="21"/>
  <c r="L19" i="21" s="1"/>
  <c r="F19" i="21"/>
  <c r="K19" i="21" s="1"/>
  <c r="E19" i="21"/>
  <c r="D19" i="21"/>
  <c r="I19" i="21" s="1"/>
  <c r="R18" i="21"/>
  <c r="Q18" i="21"/>
  <c r="P18" i="21"/>
  <c r="O18" i="21"/>
  <c r="N18" i="21"/>
  <c r="M18" i="21"/>
  <c r="L18" i="21"/>
  <c r="K18" i="21"/>
  <c r="I18" i="21"/>
  <c r="H18" i="21"/>
  <c r="G18" i="21"/>
  <c r="F18" i="21"/>
  <c r="E18" i="21"/>
  <c r="J18" i="21" s="1"/>
  <c r="D18" i="21"/>
  <c r="R17" i="21"/>
  <c r="Q17" i="21"/>
  <c r="P17" i="21"/>
  <c r="O17" i="21"/>
  <c r="N17" i="21"/>
  <c r="J17" i="21"/>
  <c r="H17" i="21"/>
  <c r="M17" i="21" s="1"/>
  <c r="G17" i="21"/>
  <c r="L17" i="21" s="1"/>
  <c r="F17" i="21"/>
  <c r="K17" i="21" s="1"/>
  <c r="E17" i="21"/>
  <c r="D17" i="21"/>
  <c r="I17" i="21" s="1"/>
  <c r="R16" i="21"/>
  <c r="Q16" i="21"/>
  <c r="P16" i="21"/>
  <c r="O16" i="21"/>
  <c r="N16" i="21"/>
  <c r="M16" i="21"/>
  <c r="L16" i="21"/>
  <c r="K16" i="21"/>
  <c r="I16" i="21"/>
  <c r="H16" i="21"/>
  <c r="G16" i="21"/>
  <c r="F16" i="21"/>
  <c r="E16" i="21"/>
  <c r="J16" i="21" s="1"/>
  <c r="D16" i="21"/>
  <c r="R15" i="21"/>
  <c r="Q15" i="21"/>
  <c r="P15" i="21"/>
  <c r="O15" i="21"/>
  <c r="N15" i="21"/>
  <c r="J15" i="21"/>
  <c r="H15" i="21"/>
  <c r="M15" i="21" s="1"/>
  <c r="G15" i="21"/>
  <c r="L15" i="21" s="1"/>
  <c r="F15" i="21"/>
  <c r="K15" i="21" s="1"/>
  <c r="E15" i="21"/>
  <c r="D15" i="21"/>
  <c r="I15" i="21" s="1"/>
  <c r="R14" i="21"/>
  <c r="Q14" i="21"/>
  <c r="P14" i="21"/>
  <c r="O14" i="21"/>
  <c r="N14" i="21"/>
  <c r="M14" i="21"/>
  <c r="L14" i="21"/>
  <c r="K14" i="21"/>
  <c r="I14" i="21"/>
  <c r="H14" i="21"/>
  <c r="G14" i="21"/>
  <c r="F14" i="21"/>
  <c r="E14" i="21"/>
  <c r="J14" i="21" s="1"/>
  <c r="D14" i="21"/>
  <c r="R13" i="21"/>
  <c r="Q13" i="21"/>
  <c r="P13" i="21"/>
  <c r="O13" i="21"/>
  <c r="N13" i="21"/>
  <c r="J13" i="21"/>
  <c r="H13" i="21"/>
  <c r="M13" i="21" s="1"/>
  <c r="G13" i="21"/>
  <c r="L13" i="21" s="1"/>
  <c r="F13" i="21"/>
  <c r="K13" i="21" s="1"/>
  <c r="E13" i="21"/>
  <c r="D13" i="21"/>
  <c r="I13" i="21" s="1"/>
  <c r="R12" i="21"/>
  <c r="Q12" i="21"/>
  <c r="P12" i="21"/>
  <c r="O12" i="21"/>
  <c r="N12" i="21"/>
  <c r="M12" i="21"/>
  <c r="L12" i="21"/>
  <c r="K12" i="21"/>
  <c r="I12" i="21"/>
  <c r="H12" i="21"/>
  <c r="G12" i="21"/>
  <c r="F12" i="21"/>
  <c r="E12" i="21"/>
  <c r="J12" i="21" s="1"/>
  <c r="D12" i="21"/>
  <c r="R11" i="21"/>
  <c r="Q11" i="21"/>
  <c r="P11" i="21"/>
  <c r="O11" i="21"/>
  <c r="N11" i="21"/>
  <c r="J11" i="21"/>
  <c r="H11" i="21"/>
  <c r="M11" i="21" s="1"/>
  <c r="G11" i="21"/>
  <c r="L11" i="21" s="1"/>
  <c r="F11" i="21"/>
  <c r="K11" i="21" s="1"/>
  <c r="E11" i="21"/>
  <c r="D11" i="21"/>
  <c r="I11" i="21" s="1"/>
  <c r="R10" i="21"/>
  <c r="Q10" i="21"/>
  <c r="P10" i="21"/>
  <c r="O10" i="21"/>
  <c r="N10" i="21"/>
  <c r="M10" i="21"/>
  <c r="L10" i="21"/>
  <c r="K10" i="21"/>
  <c r="I10" i="21"/>
  <c r="H10" i="21"/>
  <c r="G10" i="21"/>
  <c r="F10" i="21"/>
  <c r="E10" i="21"/>
  <c r="J10" i="21" s="1"/>
  <c r="D10" i="21"/>
  <c r="R9" i="21"/>
  <c r="Q9" i="21"/>
  <c r="P9" i="21"/>
  <c r="O9" i="21"/>
  <c r="N9" i="21"/>
  <c r="J9" i="21"/>
  <c r="H9" i="21"/>
  <c r="M9" i="21" s="1"/>
  <c r="G9" i="21"/>
  <c r="L9" i="21" s="1"/>
  <c r="F9" i="21"/>
  <c r="K9" i="21" s="1"/>
  <c r="E9" i="21"/>
  <c r="D9" i="21"/>
  <c r="I9" i="21" s="1"/>
  <c r="R8" i="21"/>
  <c r="Q8" i="21"/>
  <c r="P8" i="21"/>
  <c r="O8" i="21"/>
  <c r="N8" i="21"/>
  <c r="M8" i="21"/>
  <c r="L8" i="21"/>
  <c r="K8" i="21"/>
  <c r="I8" i="21"/>
  <c r="H8" i="21"/>
  <c r="G8" i="21"/>
  <c r="F8" i="21"/>
  <c r="E8" i="21"/>
  <c r="J8" i="21" s="1"/>
  <c r="D8" i="21"/>
  <c r="R7" i="21"/>
  <c r="Q7" i="21"/>
  <c r="P7" i="21"/>
  <c r="O7" i="21"/>
  <c r="N7" i="21"/>
  <c r="J7" i="21"/>
  <c r="H7" i="21"/>
  <c r="M7" i="21" s="1"/>
  <c r="G7" i="21"/>
  <c r="L7" i="21" s="1"/>
  <c r="F7" i="21"/>
  <c r="K7" i="21" s="1"/>
  <c r="E7" i="21"/>
  <c r="D7" i="21"/>
  <c r="I7" i="21" s="1"/>
  <c r="R6" i="21"/>
  <c r="Q6" i="21"/>
  <c r="P6" i="21"/>
  <c r="O6" i="21"/>
  <c r="N6" i="21"/>
  <c r="M6" i="21"/>
  <c r="L6" i="21"/>
  <c r="K6" i="21"/>
  <c r="I6" i="21"/>
  <c r="H6" i="21"/>
  <c r="G6" i="21"/>
  <c r="F6" i="21"/>
  <c r="E6" i="21"/>
  <c r="J6" i="21" s="1"/>
  <c r="D6" i="21"/>
  <c r="R5" i="21"/>
  <c r="Q5" i="21"/>
  <c r="P5" i="21"/>
  <c r="O5" i="21"/>
  <c r="N5" i="21"/>
  <c r="J5" i="21"/>
  <c r="H5" i="21"/>
  <c r="M5" i="21" s="1"/>
  <c r="G5" i="21"/>
  <c r="L5" i="21" s="1"/>
  <c r="F5" i="21"/>
  <c r="K5" i="21" s="1"/>
  <c r="E5" i="21"/>
  <c r="D5" i="21"/>
  <c r="I5" i="21" s="1"/>
  <c r="R4" i="21"/>
  <c r="Q4" i="21"/>
  <c r="P4" i="21"/>
  <c r="O4" i="21"/>
  <c r="N4" i="21"/>
  <c r="M4" i="21"/>
  <c r="L4" i="21"/>
  <c r="K4" i="21"/>
  <c r="K72" i="21" s="1"/>
  <c r="I4" i="21"/>
  <c r="H4" i="21"/>
  <c r="G4" i="21"/>
  <c r="F4" i="21"/>
  <c r="E4" i="21"/>
  <c r="J4" i="21" s="1"/>
  <c r="J72" i="21" s="1"/>
  <c r="D4" i="21"/>
  <c r="F2" i="4"/>
  <c r="A2" i="4" s="1"/>
  <c r="G29" i="7"/>
  <c r="H14" i="7"/>
  <c r="F15" i="5"/>
  <c r="E31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8" i="15"/>
  <c r="E7" i="15"/>
  <c r="E6" i="15"/>
  <c r="G40" i="7"/>
  <c r="G38" i="7"/>
  <c r="G37" i="7"/>
  <c r="G36" i="7"/>
  <c r="G35" i="7"/>
  <c r="G34" i="7"/>
  <c r="G33" i="7"/>
  <c r="G32" i="7"/>
  <c r="G31" i="7"/>
  <c r="G30" i="7"/>
  <c r="I25" i="7"/>
  <c r="G25" i="7"/>
  <c r="H25" i="7" s="1"/>
  <c r="H23" i="7"/>
  <c r="H22" i="7"/>
  <c r="H21" i="7"/>
  <c r="H20" i="7"/>
  <c r="H19" i="7"/>
  <c r="H18" i="7"/>
  <c r="H17" i="7"/>
  <c r="H16" i="7"/>
  <c r="H15" i="7"/>
  <c r="E8" i="7"/>
  <c r="D8" i="7"/>
  <c r="C8" i="7"/>
  <c r="B8" i="7"/>
  <c r="E5" i="7"/>
  <c r="D5" i="7"/>
  <c r="C5" i="7"/>
  <c r="B5" i="7"/>
  <c r="A5" i="7"/>
  <c r="A8" i="7" s="1"/>
  <c r="B23" i="6"/>
  <c r="F2" i="6" s="1"/>
  <c r="F5" i="6" s="1"/>
  <c r="K2" i="6"/>
  <c r="J2" i="6"/>
  <c r="C106" i="5"/>
  <c r="C105" i="5"/>
  <c r="C104" i="5"/>
  <c r="C103" i="5"/>
  <c r="C102" i="5"/>
  <c r="C101" i="5"/>
  <c r="C100" i="5"/>
  <c r="C99" i="5"/>
  <c r="C98" i="5"/>
  <c r="C97" i="5"/>
  <c r="C93" i="5"/>
  <c r="C92" i="5"/>
  <c r="C91" i="5"/>
  <c r="C90" i="5"/>
  <c r="C89" i="5"/>
  <c r="C88" i="5"/>
  <c r="C87" i="5"/>
  <c r="C86" i="5"/>
  <c r="C85" i="5"/>
  <c r="C84" i="5"/>
  <c r="C94" i="5" s="1"/>
  <c r="F79" i="5"/>
  <c r="E79" i="5"/>
  <c r="D79" i="5"/>
  <c r="C7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51" i="5"/>
  <c r="E51" i="5"/>
  <c r="D51" i="5"/>
  <c r="C51" i="5"/>
  <c r="B51" i="5"/>
  <c r="F50" i="5"/>
  <c r="E50" i="5"/>
  <c r="D50" i="5"/>
  <c r="C50" i="5"/>
  <c r="B50" i="5"/>
  <c r="F49" i="5"/>
  <c r="E49" i="5"/>
  <c r="D49" i="5"/>
  <c r="C49" i="5"/>
  <c r="B49" i="5"/>
  <c r="F48" i="5"/>
  <c r="E48" i="5"/>
  <c r="D48" i="5"/>
  <c r="C48" i="5"/>
  <c r="B48" i="5"/>
  <c r="F47" i="5"/>
  <c r="E47" i="5"/>
  <c r="D47" i="5"/>
  <c r="C47" i="5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E69" i="5" s="1"/>
  <c r="D3" i="5"/>
  <c r="C3" i="5"/>
  <c r="B3" i="5"/>
  <c r="F2" i="5"/>
  <c r="E2" i="5"/>
  <c r="D2" i="5"/>
  <c r="C2" i="5"/>
  <c r="B2" i="5"/>
  <c r="B2" i="4"/>
  <c r="I69" i="3"/>
  <c r="I68" i="3"/>
  <c r="C68" i="3" s="1"/>
  <c r="I67" i="3"/>
  <c r="E67" i="3" s="1"/>
  <c r="B67" i="3"/>
  <c r="I66" i="3"/>
  <c r="C66" i="3" s="1"/>
  <c r="I65" i="3"/>
  <c r="F65" i="3" s="1"/>
  <c r="I64" i="3"/>
  <c r="F64" i="3" s="1"/>
  <c r="I63" i="3"/>
  <c r="B63" i="3" s="1"/>
  <c r="F63" i="3"/>
  <c r="D63" i="3"/>
  <c r="C63" i="3"/>
  <c r="I62" i="3"/>
  <c r="E62" i="3" s="1"/>
  <c r="I61" i="3"/>
  <c r="F61" i="3" s="1"/>
  <c r="E61" i="3"/>
  <c r="I60" i="3"/>
  <c r="F60" i="3" s="1"/>
  <c r="I59" i="3"/>
  <c r="F59" i="3" s="1"/>
  <c r="I58" i="3"/>
  <c r="B58" i="3" s="1"/>
  <c r="I57" i="3"/>
  <c r="E57" i="3" s="1"/>
  <c r="I56" i="3"/>
  <c r="D56" i="3" s="1"/>
  <c r="F56" i="3"/>
  <c r="E56" i="3"/>
  <c r="B56" i="3"/>
  <c r="I55" i="3"/>
  <c r="F55" i="3" s="1"/>
  <c r="D55" i="3"/>
  <c r="I54" i="3"/>
  <c r="F54" i="3" s="1"/>
  <c r="I53" i="3"/>
  <c r="B53" i="3" s="1"/>
  <c r="F53" i="3"/>
  <c r="D53" i="3"/>
  <c r="I52" i="3"/>
  <c r="E52" i="3" s="1"/>
  <c r="F52" i="3"/>
  <c r="B52" i="3"/>
  <c r="I51" i="3"/>
  <c r="F51" i="3" s="1"/>
  <c r="I50" i="3"/>
  <c r="F50" i="3" s="1"/>
  <c r="I49" i="3"/>
  <c r="F49" i="3" s="1"/>
  <c r="I48" i="3"/>
  <c r="B48" i="3" s="1"/>
  <c r="I47" i="3"/>
  <c r="E47" i="3" s="1"/>
  <c r="F47" i="3"/>
  <c r="I46" i="3"/>
  <c r="C46" i="3" s="1"/>
  <c r="I45" i="3"/>
  <c r="F45" i="3" s="1"/>
  <c r="B45" i="3"/>
  <c r="I44" i="3"/>
  <c r="F44" i="3" s="1"/>
  <c r="I43" i="3"/>
  <c r="B43" i="3" s="1"/>
  <c r="F43" i="3"/>
  <c r="D43" i="3"/>
  <c r="I42" i="3"/>
  <c r="E42" i="3" s="1"/>
  <c r="I41" i="3"/>
  <c r="D41" i="3" s="1"/>
  <c r="I40" i="3"/>
  <c r="F40" i="3" s="1"/>
  <c r="D40" i="3"/>
  <c r="B40" i="3"/>
  <c r="I39" i="3"/>
  <c r="F39" i="3" s="1"/>
  <c r="I38" i="3"/>
  <c r="B38" i="3" s="1"/>
  <c r="I37" i="3"/>
  <c r="E37" i="3" s="1"/>
  <c r="F37" i="3"/>
  <c r="I36" i="3"/>
  <c r="C36" i="3" s="1"/>
  <c r="I35" i="3"/>
  <c r="F35" i="3" s="1"/>
  <c r="I34" i="3"/>
  <c r="F34" i="3" s="1"/>
  <c r="I33" i="3"/>
  <c r="B33" i="3" s="1"/>
  <c r="F33" i="3"/>
  <c r="I32" i="3"/>
  <c r="E32" i="3" s="1"/>
  <c r="I31" i="3"/>
  <c r="F31" i="3" s="1"/>
  <c r="B31" i="3"/>
  <c r="I30" i="3"/>
  <c r="F30" i="3" s="1"/>
  <c r="I29" i="3"/>
  <c r="F29" i="3" s="1"/>
  <c r="I28" i="3"/>
  <c r="B28" i="3" s="1"/>
  <c r="F28" i="3"/>
  <c r="I27" i="3"/>
  <c r="D27" i="3" s="1"/>
  <c r="F27" i="3"/>
  <c r="I26" i="3"/>
  <c r="B26" i="3" s="1"/>
  <c r="F26" i="3"/>
  <c r="I25" i="3"/>
  <c r="F25" i="3" s="1"/>
  <c r="I24" i="3"/>
  <c r="F24" i="3" s="1"/>
  <c r="I23" i="3"/>
  <c r="B23" i="3" s="1"/>
  <c r="I22" i="3"/>
  <c r="D22" i="3" s="1"/>
  <c r="I21" i="3"/>
  <c r="E21" i="3" s="1"/>
  <c r="F21" i="3"/>
  <c r="I20" i="3"/>
  <c r="F20" i="3" s="1"/>
  <c r="I19" i="3"/>
  <c r="F19" i="3" s="1"/>
  <c r="I18" i="3"/>
  <c r="B18" i="3" s="1"/>
  <c r="I17" i="3"/>
  <c r="D17" i="3" s="1"/>
  <c r="F17" i="3"/>
  <c r="E17" i="3"/>
  <c r="I16" i="3"/>
  <c r="D16" i="3" s="1"/>
  <c r="E16" i="3"/>
  <c r="B16" i="3"/>
  <c r="I15" i="3"/>
  <c r="F15" i="3" s="1"/>
  <c r="I14" i="3"/>
  <c r="F14" i="3" s="1"/>
  <c r="I13" i="3"/>
  <c r="B13" i="3" s="1"/>
  <c r="F13" i="3"/>
  <c r="I12" i="3"/>
  <c r="D12" i="3" s="1"/>
  <c r="I11" i="3"/>
  <c r="B11" i="3" s="1"/>
  <c r="F11" i="3"/>
  <c r="I10" i="3"/>
  <c r="F10" i="3" s="1"/>
  <c r="I9" i="3"/>
  <c r="F9" i="3" s="1"/>
  <c r="I8" i="3"/>
  <c r="B8" i="3" s="1"/>
  <c r="F8" i="3"/>
  <c r="I7" i="3"/>
  <c r="D7" i="3" s="1"/>
  <c r="I6" i="3"/>
  <c r="D6" i="3" s="1"/>
  <c r="I5" i="3"/>
  <c r="F5" i="3" s="1"/>
  <c r="I4" i="3"/>
  <c r="F4" i="3" s="1"/>
  <c r="I3" i="3"/>
  <c r="B3" i="3" s="1"/>
  <c r="F3" i="3"/>
  <c r="I2" i="3"/>
  <c r="D2" i="3" s="1"/>
  <c r="EN168" i="2"/>
  <c r="EN167" i="2"/>
  <c r="EN166" i="2"/>
  <c r="EN165" i="2"/>
  <c r="EN164" i="2"/>
  <c r="EN163" i="2"/>
  <c r="EN162" i="2"/>
  <c r="EN161" i="2"/>
  <c r="EN160" i="2"/>
  <c r="EN159" i="2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R85" i="1"/>
  <c r="D46" i="3" l="1"/>
  <c r="C23" i="3"/>
  <c r="C33" i="3"/>
  <c r="E46" i="3"/>
  <c r="D8" i="3"/>
  <c r="D23" i="3"/>
  <c r="D28" i="3"/>
  <c r="D33" i="3"/>
  <c r="C43" i="3"/>
  <c r="F46" i="3"/>
  <c r="F68" i="3"/>
  <c r="B6" i="3"/>
  <c r="D36" i="3"/>
  <c r="E6" i="3"/>
  <c r="D11" i="3"/>
  <c r="E22" i="3"/>
  <c r="B27" i="3"/>
  <c r="E36" i="3"/>
  <c r="B41" i="3"/>
  <c r="D45" i="3"/>
  <c r="C61" i="3"/>
  <c r="C11" i="3"/>
  <c r="B61" i="3"/>
  <c r="F6" i="3"/>
  <c r="E11" i="3"/>
  <c r="F22" i="3"/>
  <c r="E27" i="3"/>
  <c r="F32" i="3"/>
  <c r="F36" i="3"/>
  <c r="E41" i="3"/>
  <c r="D61" i="3"/>
  <c r="F16" i="3"/>
  <c r="C21" i="3"/>
  <c r="F23" i="3"/>
  <c r="F41" i="3"/>
  <c r="D66" i="3"/>
  <c r="B21" i="3"/>
  <c r="D21" i="3"/>
  <c r="D38" i="3"/>
  <c r="C58" i="3"/>
  <c r="B62" i="3"/>
  <c r="E66" i="3"/>
  <c r="C8" i="3"/>
  <c r="B17" i="3"/>
  <c r="F38" i="3"/>
  <c r="F42" i="3"/>
  <c r="B46" i="3"/>
  <c r="B50" i="3"/>
  <c r="D58" i="3"/>
  <c r="F62" i="3"/>
  <c r="F66" i="3"/>
  <c r="D50" i="3"/>
  <c r="B55" i="3"/>
  <c r="I72" i="21"/>
  <c r="L72" i="21"/>
  <c r="M72" i="21"/>
  <c r="B69" i="5"/>
  <c r="G2" i="6"/>
  <c r="B51" i="3"/>
  <c r="C13" i="3"/>
  <c r="D26" i="3"/>
  <c r="B36" i="3"/>
  <c r="B60" i="3"/>
  <c r="B66" i="3"/>
  <c r="C26" i="3"/>
  <c r="C3" i="3"/>
  <c r="C51" i="3"/>
  <c r="C69" i="5"/>
  <c r="H2" i="6"/>
  <c r="C5" i="6" s="1"/>
  <c r="D3" i="3"/>
  <c r="D13" i="3"/>
  <c r="E26" i="3"/>
  <c r="C48" i="3"/>
  <c r="D51" i="3"/>
  <c r="D60" i="3"/>
  <c r="D69" i="5"/>
  <c r="I2" i="6"/>
  <c r="E7" i="3"/>
  <c r="D48" i="3"/>
  <c r="E51" i="3"/>
  <c r="B57" i="3"/>
  <c r="F7" i="3"/>
  <c r="F48" i="3"/>
  <c r="F57" i="3"/>
  <c r="C31" i="3"/>
  <c r="B85" i="5"/>
  <c r="E2" i="3"/>
  <c r="C6" i="3"/>
  <c r="E12" i="3"/>
  <c r="C16" i="3"/>
  <c r="D18" i="3"/>
  <c r="E31" i="3"/>
  <c r="B35" i="3"/>
  <c r="C41" i="3"/>
  <c r="C56" i="3"/>
  <c r="F58" i="3"/>
  <c r="B65" i="3"/>
  <c r="F67" i="3"/>
  <c r="E2" i="6"/>
  <c r="E5" i="6" s="1"/>
  <c r="C18" i="3"/>
  <c r="D31" i="3"/>
  <c r="D2" i="6"/>
  <c r="D5" i="6" s="1"/>
  <c r="F2" i="3"/>
  <c r="F12" i="3"/>
  <c r="F18" i="3"/>
  <c r="B22" i="3"/>
  <c r="C28" i="3"/>
  <c r="D35" i="3"/>
  <c r="C38" i="3"/>
  <c r="B47" i="3"/>
  <c r="C53" i="3"/>
  <c r="D65" i="3"/>
  <c r="F69" i="5"/>
  <c r="B92" i="5"/>
  <c r="B86" i="5"/>
  <c r="B87" i="5"/>
  <c r="B91" i="5"/>
  <c r="B88" i="5"/>
  <c r="B89" i="5"/>
  <c r="B90" i="5"/>
  <c r="B93" i="5"/>
  <c r="G79" i="5"/>
  <c r="D80" i="5" s="1"/>
  <c r="B84" i="5"/>
  <c r="D68" i="3"/>
  <c r="B5" i="3"/>
  <c r="B10" i="3"/>
  <c r="B15" i="3"/>
  <c r="B20" i="3"/>
  <c r="B25" i="3"/>
  <c r="B30" i="3"/>
  <c r="E3" i="3"/>
  <c r="C5" i="3"/>
  <c r="E8" i="3"/>
  <c r="C10" i="3"/>
  <c r="E13" i="3"/>
  <c r="C15" i="3"/>
  <c r="E18" i="3"/>
  <c r="C20" i="3"/>
  <c r="E23" i="3"/>
  <c r="C25" i="3"/>
  <c r="E28" i="3"/>
  <c r="C30" i="3"/>
  <c r="E33" i="3"/>
  <c r="C35" i="3"/>
  <c r="E38" i="3"/>
  <c r="C40" i="3"/>
  <c r="E43" i="3"/>
  <c r="C45" i="3"/>
  <c r="E48" i="3"/>
  <c r="C50" i="3"/>
  <c r="E53" i="3"/>
  <c r="C55" i="3"/>
  <c r="E58" i="3"/>
  <c r="C60" i="3"/>
  <c r="E63" i="3"/>
  <c r="C65" i="3"/>
  <c r="E68" i="3"/>
  <c r="B2" i="3"/>
  <c r="B7" i="3"/>
  <c r="B12" i="3"/>
  <c r="D15" i="3"/>
  <c r="D20" i="3"/>
  <c r="D25" i="3"/>
  <c r="B32" i="3"/>
  <c r="B42" i="3"/>
  <c r="C2" i="3"/>
  <c r="E5" i="3"/>
  <c r="C7" i="3"/>
  <c r="E10" i="3"/>
  <c r="C12" i="3"/>
  <c r="E15" i="3"/>
  <c r="C17" i="3"/>
  <c r="E20" i="3"/>
  <c r="C22" i="3"/>
  <c r="E25" i="3"/>
  <c r="C27" i="3"/>
  <c r="E30" i="3"/>
  <c r="C32" i="3"/>
  <c r="E35" i="3"/>
  <c r="C37" i="3"/>
  <c r="E40" i="3"/>
  <c r="C42" i="3"/>
  <c r="E45" i="3"/>
  <c r="C47" i="3"/>
  <c r="E50" i="3"/>
  <c r="C52" i="3"/>
  <c r="E55" i="3"/>
  <c r="C57" i="3"/>
  <c r="E60" i="3"/>
  <c r="C62" i="3"/>
  <c r="E65" i="3"/>
  <c r="C67" i="3"/>
  <c r="D5" i="3"/>
  <c r="D10" i="3"/>
  <c r="D30" i="3"/>
  <c r="B37" i="3"/>
  <c r="B4" i="3"/>
  <c r="B9" i="3"/>
  <c r="B14" i="3"/>
  <c r="B19" i="3"/>
  <c r="B24" i="3"/>
  <c r="B29" i="3"/>
  <c r="D32" i="3"/>
  <c r="B34" i="3"/>
  <c r="D37" i="3"/>
  <c r="B39" i="3"/>
  <c r="D42" i="3"/>
  <c r="B44" i="3"/>
  <c r="D47" i="3"/>
  <c r="B49" i="3"/>
  <c r="D52" i="3"/>
  <c r="B54" i="3"/>
  <c r="D57" i="3"/>
  <c r="B59" i="3"/>
  <c r="D62" i="3"/>
  <c r="B64" i="3"/>
  <c r="D67" i="3"/>
  <c r="C4" i="3"/>
  <c r="C9" i="3"/>
  <c r="C14" i="3"/>
  <c r="C19" i="3"/>
  <c r="C24" i="3"/>
  <c r="C29" i="3"/>
  <c r="C34" i="3"/>
  <c r="C39" i="3"/>
  <c r="C44" i="3"/>
  <c r="C49" i="3"/>
  <c r="C54" i="3"/>
  <c r="C59" i="3"/>
  <c r="C64" i="3"/>
  <c r="D9" i="3"/>
  <c r="D24" i="3"/>
  <c r="D29" i="3"/>
  <c r="D34" i="3"/>
  <c r="D39" i="3"/>
  <c r="D44" i="3"/>
  <c r="D49" i="3"/>
  <c r="D54" i="3"/>
  <c r="D59" i="3"/>
  <c r="D64" i="3"/>
  <c r="D4" i="3"/>
  <c r="D14" i="3"/>
  <c r="D19" i="3"/>
  <c r="E4" i="3"/>
  <c r="E9" i="3"/>
  <c r="E14" i="3"/>
  <c r="E19" i="3"/>
  <c r="E24" i="3"/>
  <c r="E29" i="3"/>
  <c r="E34" i="3"/>
  <c r="E39" i="3"/>
  <c r="E44" i="3"/>
  <c r="E49" i="3"/>
  <c r="E54" i="3"/>
  <c r="E59" i="3"/>
  <c r="E64" i="3"/>
  <c r="B68" i="3"/>
  <c r="F69" i="3" l="1"/>
  <c r="F80" i="5"/>
  <c r="E80" i="5"/>
  <c r="E69" i="3"/>
  <c r="D69" i="3"/>
  <c r="C80" i="5"/>
  <c r="B69" i="3"/>
  <c r="C69" i="3"/>
</calcChain>
</file>

<file path=xl/sharedStrings.xml><?xml version="1.0" encoding="utf-8"?>
<sst xmlns="http://schemas.openxmlformats.org/spreadsheetml/2006/main" count="2383" uniqueCount="1016">
  <si>
    <t>جدول (3): المدخلات والمخرجات عام 2017/2016 بالأسعار الأساسية وفقاً للأنشطة الاقتصادية</t>
  </si>
  <si>
    <t>Table No.(3):Input-Output Table for year 2016/2017 at Basic Prices according to Economic Activities</t>
  </si>
  <si>
    <t>القيمة بالألف جنيه</t>
  </si>
  <si>
    <t>Value at Thousand LE</t>
  </si>
  <si>
    <t>كود النشاط الاقتصادي</t>
  </si>
  <si>
    <t>المخرجات</t>
  </si>
  <si>
    <t>01</t>
  </si>
  <si>
    <t>03</t>
  </si>
  <si>
    <t>07--09</t>
  </si>
  <si>
    <t>36+37+38</t>
  </si>
  <si>
    <t>41-43</t>
  </si>
  <si>
    <t>45 - 47</t>
  </si>
  <si>
    <t>49-50-51-53</t>
  </si>
  <si>
    <t>55-56</t>
  </si>
  <si>
    <t>61-62-63</t>
  </si>
  <si>
    <t>86-87-88</t>
  </si>
  <si>
    <t>جملة الطلب الوسيط</t>
  </si>
  <si>
    <t>الانفاق الاستهلاكى النهائى
final consumption expenditure</t>
  </si>
  <si>
    <t xml:space="preserve">  التكوين الرأسمالي 
Capital Formation</t>
  </si>
  <si>
    <t>الصادرات
Exports</t>
  </si>
  <si>
    <t>جملة الطلب النهائي</t>
  </si>
  <si>
    <t>إجمالى الواردات</t>
  </si>
  <si>
    <t>إجمالي المخرجات بالأسعار الأساسية</t>
  </si>
  <si>
    <t xml:space="preserve">                             Outputs</t>
  </si>
  <si>
    <t>Code of ISIC.4</t>
  </si>
  <si>
    <t>أنشطة زراعة المحاصيل والإنتاج الحيواني والصيد والخدمات المتصلة</t>
  </si>
  <si>
    <t>صيد الأسماك وتربية المائيات</t>
  </si>
  <si>
    <t>استخراج النفط الخام والغاز الطبيعي</t>
  </si>
  <si>
    <t>تعدين ركازات الفلزات، الأنشطة الأخرى للتعدين واستغلال المحاجر، أنشطة خدمات دعم التعدين</t>
  </si>
  <si>
    <t>صُنع المنتجات الغذائية</t>
  </si>
  <si>
    <t>صُنع المشروبات</t>
  </si>
  <si>
    <t>صُنع منتجات التبغ</t>
  </si>
  <si>
    <t>صُنع المنسوجات</t>
  </si>
  <si>
    <t>صُنع الملبوسات</t>
  </si>
  <si>
    <t>صُنع المنتجات الجلدية والمنتجات ذات الصلة</t>
  </si>
  <si>
    <t>صُنع الخشب ومنتجات الخشب والفلين، باستثناء الأثاث؛ صُنع أصناف من القش ومواد الضفر</t>
  </si>
  <si>
    <t>صُنع الورق ومنتجات الورق</t>
  </si>
  <si>
    <t>الطباعة واستنساخ وسائط الإعلام المسجّلة</t>
  </si>
  <si>
    <t>صُنع فحم الكوك والمنتجات النفطية المكررة</t>
  </si>
  <si>
    <t>صُنع المواد الكيميائية والمنتجات الكيميائية</t>
  </si>
  <si>
    <t>صُنع المنتجات الصيدلانية الأساسية والمستحضرات الصيدلانية</t>
  </si>
  <si>
    <t>صُنع منتجات المطاط واللدائن</t>
  </si>
  <si>
    <t>صُنع منتجات المعادن اللافلزية الأخرى</t>
  </si>
  <si>
    <t>صُنع الفلّزات القاعدية</t>
  </si>
  <si>
    <t>صُنع منتجات المعادن المشكَّلة، باستثناء الآلات والمعدات</t>
  </si>
  <si>
    <t>صُنع الحواسيب والمنتجات الإلكترونية والبصرية</t>
  </si>
  <si>
    <t>صُنع المعدات الكهربائية</t>
  </si>
  <si>
    <t>صُنع الآلات والمعدات غير المصنّفة في موضع آخر</t>
  </si>
  <si>
    <t>صُنع المركبات ذات المحرّكات والمركبات المقطورة ونصف المقطورة</t>
  </si>
  <si>
    <t>صُنع معدات النقل الأخرى</t>
  </si>
  <si>
    <t>صُنع الأثاث</t>
  </si>
  <si>
    <t>الصناعات التحويلية الأخرى</t>
  </si>
  <si>
    <t>إصلاح وتركيب الآلات والمعدات</t>
  </si>
  <si>
    <t>توصيل الكهرباء والغاز والبخار وتكييف الهواء</t>
  </si>
  <si>
    <t>تجميع المياه ومعالجتها وتوصيلها وشبكات الصرف الصحى وأنشطة جمع النفايات ومعالجتها وتصريفها، واسترجاع المواد</t>
  </si>
  <si>
    <t>جملة الإنشاءات (التشييد والبناء)</t>
  </si>
  <si>
    <t>تجارة الجملة والتجزئة والإصلاح للمركبات ذات المحركات والدراجات النارية</t>
  </si>
  <si>
    <t>النقل والبريد وأنشطة الخدمات البريدية</t>
  </si>
  <si>
    <t>التخزين وأنشطة الدعم للنقل</t>
  </si>
  <si>
    <t>الاقامةو خدمات الأطعمة والمشروبات</t>
  </si>
  <si>
    <t>أنشطة النشر</t>
  </si>
  <si>
    <t>أنشطة إنتاج الأفلام والبرامج التليفزيونية والتسجيلات الصوتية ونشر الموسيقى</t>
  </si>
  <si>
    <t>أنشطة البرمجة والإذاعة</t>
  </si>
  <si>
    <t>الاتصالات-أنشطة البرمجة الحاسوبية والخبرة الاستشارية وما يتصل بها من أنشطة-أنشطة خدمات المعلومات</t>
  </si>
  <si>
    <t>أنشطة الخدمات المالية، فيما عدا تمويل التأمين وصناديق المعاشات</t>
  </si>
  <si>
    <t>تمويل التأمين وإعادة التأمين وصناديق المعاشات التقاعدية باستثناء الضمان الاجتماعي الإلزامي</t>
  </si>
  <si>
    <t>الأنشطة المساعدة لأنشطة الخدمات المالية وأنشطة التأمين</t>
  </si>
  <si>
    <t>الأنشطة العقارية</t>
  </si>
  <si>
    <t>الأنشطة القانونية وأنشطة المحاسبة</t>
  </si>
  <si>
    <t>أنشطة المكاتب الرئيسية، والأنشطة الاستشارية في مجال الإدارة</t>
  </si>
  <si>
    <t>الأنشطة المعمارية والهندسية، والاختبارات الفنية والتحليل</t>
  </si>
  <si>
    <t>البحث والتطوير في المجال العلمي</t>
  </si>
  <si>
    <t>أبحاث الإعلان والسوق</t>
  </si>
  <si>
    <t>الأنشطة المهنية والعلمية والتقنية الأخرى</t>
  </si>
  <si>
    <t>الأنشطة البيطرية</t>
  </si>
  <si>
    <t>الأنشطة الإيجارية</t>
  </si>
  <si>
    <t>أنشطة الاستخدام</t>
  </si>
  <si>
    <t>وكالات السفر ومشغّلو الجولات السياحية وخدمات الحجز والأنشطة المتصلة بها</t>
  </si>
  <si>
    <t>أنشطة الأمن والتحقيقات</t>
  </si>
  <si>
    <t>أنشطة تقديم الخدمات للمباني وتجميل المواقع</t>
  </si>
  <si>
    <t>الأنشطة الإدارية للمكاتب، وأنشطة الدعم للمكاتب وغير ذلك من أنشطة الدعم للأعمال</t>
  </si>
  <si>
    <t>الإدارة العامة والدفاع والضمان الاجتماعي</t>
  </si>
  <si>
    <t>التعليم</t>
  </si>
  <si>
    <t>الأنشطة في مجال صحة الإنسان-أنشطة الرعاية مع الإقامة-أنشطة العمل الاجتماعي، دون إقامة</t>
  </si>
  <si>
    <t>الأنشطة الإبداعية والفنون وأنشطة الترفيه</t>
  </si>
  <si>
    <t>أنشطة المكتبات والمحفوظات والمتاحف والأنشطة الثقافية الأخرى</t>
  </si>
  <si>
    <t>أنشطة ألعاب القمار والمراهنة</t>
  </si>
  <si>
    <t>الأنشطة الرياضية وأنشطة التسلية والترفيه</t>
  </si>
  <si>
    <t>أنشطة المنظمات ذات العضوية</t>
  </si>
  <si>
    <t>إصلاح أجهزة الحاسوب والسلع الشخصية والمنزلية</t>
  </si>
  <si>
    <t>أنشطة الخدمات الشخصية الأخرى</t>
  </si>
  <si>
    <t>الخدمات المنزلية</t>
  </si>
  <si>
    <t>الإنفاق الاستهلاكي النهائي للعائلات</t>
  </si>
  <si>
    <t>مشتريات المقيمين المباشرة في الخارج</t>
  </si>
  <si>
    <t>مشتريات غير المقيمين المباشرة في الداخل</t>
  </si>
  <si>
    <t>الإنفاق الإستهلاكي النهائي للحكومة (الحساب الختامي)</t>
  </si>
  <si>
    <t>الإنفاق الاستهلاكي النهائي للهيئات التي لاتهدف للربح</t>
  </si>
  <si>
    <t>إجمالى الإنفاق الاستهلاكي النهائي</t>
  </si>
  <si>
    <t>التكوين الرأسمالي الثابت</t>
  </si>
  <si>
    <t>التغير في المخزون</t>
  </si>
  <si>
    <t>إجمالى التكوين الرأسمالي</t>
  </si>
  <si>
    <t xml:space="preserve">سلعية </t>
  </si>
  <si>
    <t>خدمية</t>
  </si>
  <si>
    <t>إجمالى الصادرات</t>
  </si>
  <si>
    <t>المدخلات</t>
  </si>
  <si>
    <t>Crop and animal production, hunting and related service activities</t>
  </si>
  <si>
    <t>Fishing and aquaculture</t>
  </si>
  <si>
    <t>Extraction of crude petroleum and natural gas</t>
  </si>
  <si>
    <t>Mining of Metal Ores, Other mining and qurrying and 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</si>
  <si>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</si>
  <si>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</si>
  <si>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</si>
  <si>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</si>
  <si>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</si>
  <si>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</si>
  <si>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</si>
  <si>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</si>
  <si>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</si>
  <si>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</si>
  <si>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</si>
  <si>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</si>
  <si>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</si>
  <si>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</si>
  <si>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</si>
  <si>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</si>
  <si>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</si>
  <si>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</si>
  <si>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</si>
  <si>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</si>
  <si>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</si>
  <si>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</si>
  <si>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</si>
  <si>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</si>
  <si>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</si>
  <si>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supply-Waste collection, treatment and disposal activities; materials recovery</t>
  </si>
  <si>
    <t>Total of Construction</t>
  </si>
  <si>
    <t>Total of Wholesale and retail trade; repair of motor vehicles and motorcycles</t>
  </si>
  <si>
    <t>transport,Postal and courier activities</t>
  </si>
  <si>
    <t>Warehousing and support activities for transportation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</si>
  <si>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</si>
  <si>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</si>
  <si>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</si>
  <si>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</si>
  <si>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Telecommunications-Computer programming, consultancy and related activities-Information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</si>
  <si>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</si>
  <si>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</si>
  <si>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 and insurance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</si>
  <si>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</si>
  <si>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</si>
  <si>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</si>
  <si>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</si>
  <si>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</si>
  <si>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</si>
  <si>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</si>
  <si>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</si>
  <si>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</si>
  <si>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</si>
  <si>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</si>
  <si>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</si>
  <si>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</si>
  <si>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</si>
  <si>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Public administration and defence; compulsory social security</t>
  </si>
  <si>
    <t>Government Education</t>
  </si>
  <si>
    <t>Government Human health activities-Residential care activities-Social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</si>
  <si>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</si>
  <si>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</si>
  <si>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</si>
  <si>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Government 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</si>
  <si>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</si>
  <si>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</si>
  <si>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</si>
  <si>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</si>
  <si>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Total Intermediate Demand</t>
  </si>
  <si>
    <t>Household final consumption expenditure</t>
  </si>
  <si>
    <t>Direct purchases of residents abroad</t>
  </si>
  <si>
    <t>Direct purchases of non-residents indoors</t>
  </si>
  <si>
    <t>Government final consumption expenditures</t>
  </si>
  <si>
    <t>Final consumption expenditure N.P.I.S.H.s</t>
  </si>
  <si>
    <t>Total Final Consumption Expenditure</t>
  </si>
  <si>
    <t>Fixed capital formation</t>
  </si>
  <si>
    <t>Change in inventory</t>
  </si>
  <si>
    <t>Total Capital Formation</t>
  </si>
  <si>
    <t xml:space="preserve"> Goods</t>
  </si>
  <si>
    <t>Services</t>
  </si>
  <si>
    <t>Total Exports</t>
  </si>
  <si>
    <t>Total Final Demand</t>
  </si>
  <si>
    <t>Total Imports</t>
  </si>
  <si>
    <t xml:space="preserve">Total Output at Basic Prices </t>
  </si>
  <si>
    <t xml:space="preserve">   Inputs</t>
  </si>
  <si>
    <t>جملة المدخلات الأولية بالأسعار الأساسية</t>
  </si>
  <si>
    <t xml:space="preserve"> Total Primary Inputs at basic prices</t>
  </si>
  <si>
    <t>صافي الضرائب علي المنتجات</t>
  </si>
  <si>
    <t>Net taxes, Tariffs and subsidies</t>
  </si>
  <si>
    <t>جملة المدخلات الأولية بأسعار المشترين</t>
  </si>
  <si>
    <t xml:space="preserve"> Total Primary Inputs  at purchasing prices</t>
  </si>
  <si>
    <t>القيمة المضافة بالأسعار الأساسية</t>
  </si>
  <si>
    <t>Value added by basic Prices</t>
  </si>
  <si>
    <t>تعويضات العاملين</t>
  </si>
  <si>
    <t>Wages</t>
  </si>
  <si>
    <t>الضرائب علي الإنتاج</t>
  </si>
  <si>
    <t>Taxes on production</t>
  </si>
  <si>
    <t>الإعانات علي الإنتاج</t>
  </si>
  <si>
    <t>Subsidies on production</t>
  </si>
  <si>
    <t>فائض التشغيل الإجمالي</t>
  </si>
  <si>
    <t>Operating surplus</t>
  </si>
  <si>
    <t>الإهلاك</t>
  </si>
  <si>
    <t>Depreciation</t>
  </si>
  <si>
    <t>فائض التشغيل الصافي</t>
  </si>
  <si>
    <t>Net operating surplus</t>
  </si>
  <si>
    <t>إجمالي المدخلات</t>
  </si>
  <si>
    <t xml:space="preserve">Total Input </t>
  </si>
  <si>
    <t>3009.291</t>
  </si>
  <si>
    <t>FACTOR EMPLOYMENT 2016</t>
  </si>
  <si>
    <t>Social contribution SAM 2019 (5.50%)</t>
  </si>
  <si>
    <t>row/column</t>
  </si>
  <si>
    <t>amaiz</t>
  </si>
  <si>
    <t>asorg</t>
  </si>
  <si>
    <t>arice</t>
  </si>
  <si>
    <t>awhea</t>
  </si>
  <si>
    <t>aocer</t>
  </si>
  <si>
    <t>apuls</t>
  </si>
  <si>
    <t>agnut</t>
  </si>
  <si>
    <t>aoils</t>
  </si>
  <si>
    <t>aroot</t>
  </si>
  <si>
    <t>avege</t>
  </si>
  <si>
    <t>asugr</t>
  </si>
  <si>
    <t>acott</t>
  </si>
  <si>
    <t>afrui</t>
  </si>
  <si>
    <t>aocrp</t>
  </si>
  <si>
    <t>acatt</t>
  </si>
  <si>
    <t>amilk</t>
  </si>
  <si>
    <t>apoul</t>
  </si>
  <si>
    <t>asmlr</t>
  </si>
  <si>
    <t>aoliv</t>
  </si>
  <si>
    <t>afore</t>
  </si>
  <si>
    <t>afish</t>
  </si>
  <si>
    <t>acoil</t>
  </si>
  <si>
    <t>angas</t>
  </si>
  <si>
    <t>aomin</t>
  </si>
  <si>
    <t>ameat</t>
  </si>
  <si>
    <t>afsea</t>
  </si>
  <si>
    <t>adair</t>
  </si>
  <si>
    <t>afveg</t>
  </si>
  <si>
    <t>afoil</t>
  </si>
  <si>
    <t>ammll</t>
  </si>
  <si>
    <t>asmll</t>
  </si>
  <si>
    <t>armll</t>
  </si>
  <si>
    <t>awmll</t>
  </si>
  <si>
    <t>agmll</t>
  </si>
  <si>
    <t>asref</t>
  </si>
  <si>
    <t>afood</t>
  </si>
  <si>
    <t>afeed</t>
  </si>
  <si>
    <t>abeve</t>
  </si>
  <si>
    <t>aptob</t>
  </si>
  <si>
    <t>ayarn</t>
  </si>
  <si>
    <t>atext</t>
  </si>
  <si>
    <t>aclth</t>
  </si>
  <si>
    <t>aleat</t>
  </si>
  <si>
    <t>awood</t>
  </si>
  <si>
    <t>apapr</t>
  </si>
  <si>
    <t>apetr</t>
  </si>
  <si>
    <t>afert</t>
  </si>
  <si>
    <t>achem</t>
  </si>
  <si>
    <t>anmet</t>
  </si>
  <si>
    <t>ametl</t>
  </si>
  <si>
    <t>amach</t>
  </si>
  <si>
    <t>aequi</t>
  </si>
  <si>
    <t>avehi</t>
  </si>
  <si>
    <t>aoman</t>
  </si>
  <si>
    <t>aelec</t>
  </si>
  <si>
    <t>awatr</t>
  </si>
  <si>
    <t>acons</t>
  </si>
  <si>
    <t>atrad</t>
  </si>
  <si>
    <t>atran</t>
  </si>
  <si>
    <t>ahotl</t>
  </si>
  <si>
    <t>arest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</si>
  <si>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</si>
  <si>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</si>
  <si>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</si>
  <si>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</si>
  <si>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</si>
  <si>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</si>
  <si>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</si>
  <si>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</si>
  <si>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Maize</t>
  </si>
  <si>
    <t>Sorghum and millet</t>
  </si>
  <si>
    <t>Rice</t>
  </si>
  <si>
    <t>Wheat and barley</t>
  </si>
  <si>
    <t>Other cereals</t>
  </si>
  <si>
    <t>Pulses</t>
  </si>
  <si>
    <t>Groundnuts</t>
  </si>
  <si>
    <t>Other oilseeds</t>
  </si>
  <si>
    <t>Other roots</t>
  </si>
  <si>
    <t>Other vegetables</t>
  </si>
  <si>
    <t>Sugarcane</t>
  </si>
  <si>
    <t>Tobacco</t>
  </si>
  <si>
    <t>Cotton and fibres</t>
  </si>
  <si>
    <t>Other fruits</t>
  </si>
  <si>
    <t>Leaf tea</t>
  </si>
  <si>
    <t>Cocoa</t>
  </si>
  <si>
    <t>Other crops</t>
  </si>
  <si>
    <t>Cattle</t>
  </si>
  <si>
    <t>Raw milk</t>
  </si>
  <si>
    <t>Poultry</t>
  </si>
  <si>
    <t>Small ruminants</t>
  </si>
  <si>
    <t>Other livestock</t>
  </si>
  <si>
    <t>Forestry</t>
  </si>
  <si>
    <t>Capture fisheries</t>
  </si>
  <si>
    <t>Coal and lignite</t>
  </si>
  <si>
    <t>Crude oil</t>
  </si>
  <si>
    <t>Natural gas</t>
  </si>
  <si>
    <t>Other mining</t>
  </si>
  <si>
    <t>Meat processing</t>
  </si>
  <si>
    <t>Fish and seafood processing</t>
  </si>
  <si>
    <t>Dairy</t>
  </si>
  <si>
    <t>Fruit and vegetable processing</t>
  </si>
  <si>
    <t>Fats and oils</t>
  </si>
  <si>
    <t>Maize milling</t>
  </si>
  <si>
    <t>Sorghum and millet milling</t>
  </si>
  <si>
    <t>Rice milling</t>
  </si>
  <si>
    <t>Wheat and barley milling</t>
  </si>
  <si>
    <t>Other grain milling</t>
  </si>
  <si>
    <t>Sugar refining</t>
  </si>
  <si>
    <t>Other foods</t>
  </si>
  <si>
    <t>Animal feed</t>
  </si>
  <si>
    <t>Beverages</t>
  </si>
  <si>
    <t>Tobacco processing</t>
  </si>
  <si>
    <t>Cotton yarn</t>
  </si>
  <si>
    <t>Textiles</t>
  </si>
  <si>
    <t>Clothing</t>
  </si>
  <si>
    <t>Leather and footwear</t>
  </si>
  <si>
    <t>Wood products</t>
  </si>
  <si>
    <t>Paper products and publishing</t>
  </si>
  <si>
    <t>Petroleum products</t>
  </si>
  <si>
    <t>Fertilizers and herbicides</t>
  </si>
  <si>
    <t>Other chemicals</t>
  </si>
  <si>
    <t>Non-metal minerals</t>
  </si>
  <si>
    <t>Metals and metal products</t>
  </si>
  <si>
    <t>Machinery and other equipment</t>
  </si>
  <si>
    <t>Electrical equipment</t>
  </si>
  <si>
    <t>Vehicles and transport equipment</t>
  </si>
  <si>
    <t>Electricity, gas and steam</t>
  </si>
  <si>
    <t>Water supply and sewage</t>
  </si>
  <si>
    <t>Construction</t>
  </si>
  <si>
    <t>Wholesale and retail trade</t>
  </si>
  <si>
    <t>Transportation and storage</t>
  </si>
  <si>
    <t>Accommodation</t>
  </si>
  <si>
    <t>Restaurants and food services</t>
  </si>
  <si>
    <t>Information and communication</t>
  </si>
  <si>
    <t>Finance and insurance</t>
  </si>
  <si>
    <t>Business services</t>
  </si>
  <si>
    <t>Public administration</t>
  </si>
  <si>
    <t>Education</t>
  </si>
  <si>
    <t>Health and social work</t>
  </si>
  <si>
    <t>Other services</t>
  </si>
  <si>
    <t>trc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</si>
  <si>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</si>
  <si>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</si>
  <si>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</si>
  <si>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</si>
  <si>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</si>
  <si>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</si>
  <si>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</si>
  <si>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</si>
  <si>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</si>
  <si>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</si>
  <si>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</si>
  <si>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fcap-m</t>
  </si>
  <si>
    <t>fcap-n</t>
  </si>
  <si>
    <t>ent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</si>
  <si>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</si>
  <si>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</si>
  <si>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</si>
  <si>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</si>
  <si>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</si>
  <si>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</si>
  <si>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</si>
  <si>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</si>
  <si>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</si>
  <si>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</si>
  <si>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gov</t>
  </si>
  <si>
    <t>dtax</t>
  </si>
  <si>
    <t>ftax</t>
  </si>
  <si>
    <t>mtax</t>
  </si>
  <si>
    <t>stax</t>
  </si>
  <si>
    <t>ssub</t>
  </si>
  <si>
    <t>s-i</t>
  </si>
  <si>
    <t>dstk</t>
  </si>
  <si>
    <t>row</t>
  </si>
  <si>
    <t>total</t>
  </si>
  <si>
    <t>cmaiz</t>
  </si>
  <si>
    <t>csorg</t>
  </si>
  <si>
    <t>crice</t>
  </si>
  <si>
    <t>cwhea</t>
  </si>
  <si>
    <t>cocer</t>
  </si>
  <si>
    <t>cpuls</t>
  </si>
  <si>
    <t>cgnut</t>
  </si>
  <si>
    <t>coils</t>
  </si>
  <si>
    <t>croot</t>
  </si>
  <si>
    <t>cvege</t>
  </si>
  <si>
    <t>csugr</t>
  </si>
  <si>
    <t>ctoba</t>
  </si>
  <si>
    <t>ccott</t>
  </si>
  <si>
    <t>cfrui</t>
  </si>
  <si>
    <t>cteal</t>
  </si>
  <si>
    <t>ccoco</t>
  </si>
  <si>
    <t>cocrp</t>
  </si>
  <si>
    <t>ccatt</t>
  </si>
  <si>
    <t>cmilk</t>
  </si>
  <si>
    <t>cpoul</t>
  </si>
  <si>
    <t>csmlr</t>
  </si>
  <si>
    <t>coliv</t>
  </si>
  <si>
    <t>cfore</t>
  </si>
  <si>
    <t>cfish</t>
  </si>
  <si>
    <t>ccoal</t>
  </si>
  <si>
    <t>ccoil</t>
  </si>
  <si>
    <t>cngas</t>
  </si>
  <si>
    <t>comin</t>
  </si>
  <si>
    <t>cmeat</t>
  </si>
  <si>
    <t>cfsea</t>
  </si>
  <si>
    <t>cdair</t>
  </si>
  <si>
    <t>cfveg</t>
  </si>
  <si>
    <t>cfoil</t>
  </si>
  <si>
    <t>cmmll</t>
  </si>
  <si>
    <t>csmll</t>
  </si>
  <si>
    <t>crmll</t>
  </si>
  <si>
    <t>cwmll</t>
  </si>
  <si>
    <t>cgmll</t>
  </si>
  <si>
    <t>csref</t>
  </si>
  <si>
    <t>cfood</t>
  </si>
  <si>
    <t>cfeed</t>
  </si>
  <si>
    <t>cbeve</t>
  </si>
  <si>
    <t>cptob</t>
  </si>
  <si>
    <t>cyarn</t>
  </si>
  <si>
    <t>ctext</t>
  </si>
  <si>
    <t>cclth</t>
  </si>
  <si>
    <t>cleat</t>
  </si>
  <si>
    <t>cwood</t>
  </si>
  <si>
    <t>cpapr</t>
  </si>
  <si>
    <t>cpetr</t>
  </si>
  <si>
    <t>cfert</t>
  </si>
  <si>
    <t>cchem</t>
  </si>
  <si>
    <t>cnmet</t>
  </si>
  <si>
    <t>cmetl</t>
  </si>
  <si>
    <t>cmach</t>
  </si>
  <si>
    <t>cequi</t>
  </si>
  <si>
    <t>cvehi</t>
  </si>
  <si>
    <t>coman</t>
  </si>
  <si>
    <t>celec</t>
  </si>
  <si>
    <t>cwatr</t>
  </si>
  <si>
    <t>ccons</t>
  </si>
  <si>
    <t>ctrad</t>
  </si>
  <si>
    <t>ctran</t>
  </si>
  <si>
    <t>chotl</t>
  </si>
  <si>
    <t>crest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</si>
  <si>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</si>
  <si>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</si>
  <si>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</si>
  <si>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</si>
  <si>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</si>
  <si>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</si>
  <si>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</si>
  <si>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</si>
  <si>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scc</t>
  </si>
  <si>
    <t>scc rate</t>
  </si>
  <si>
    <t xml:space="preserve">income </t>
  </si>
  <si>
    <t>IO Sector</t>
  </si>
  <si>
    <t>Q1</t>
  </si>
  <si>
    <t>Q2</t>
  </si>
  <si>
    <t>Q3</t>
  </si>
  <si>
    <t>Q4</t>
  </si>
  <si>
    <t>Q5</t>
  </si>
  <si>
    <t>HH (IOT)</t>
  </si>
  <si>
    <t>NPISH (IOT)</t>
  </si>
  <si>
    <t>CC (IOT)</t>
  </si>
  <si>
    <t>sh_Q1</t>
  </si>
  <si>
    <t>sh_Q2</t>
  </si>
  <si>
    <t>sh_Q3</t>
  </si>
  <si>
    <t>sh_Q4</t>
  </si>
  <si>
    <t>sh_Q5</t>
  </si>
  <si>
    <t>SAM Source &amp; Mapping</t>
  </si>
  <si>
    <t>Sum of 23 SAM rows: cmaiz+csorg+crice+cwhea+cocer+cpuls+cgnut+coils+croot+cvege+csugr+ctoba+ccott+cfrui+cteal+ccoco+cocrp+ccatt+cmilk+cpoul+csmlr+coliv+cfore</t>
  </si>
  <si>
    <t>SAM row: cfish (Capture fisheries)</t>
  </si>
  <si>
    <t>Sum of 2 SAM rows: ccoil+cngas (ccoil=0; all value from cngas)</t>
  </si>
  <si>
    <t>Mining of Metal Ores, Other mining and quarrying and Mining support service activities</t>
  </si>
  <si>
    <t>Sum of 2 SAM rows: ccoal+comin (both zero — equal split fallback applied)</t>
  </si>
  <si>
    <t>Sum of 13 SAM rows: cmeat+cfsea+cdair+cfveg+cfoil+cmmll+csmll+crmll+cwmll+cgmll+csref+cfood+cfeed (cfeed=0)</t>
  </si>
  <si>
    <t>SAM row: cbeve (Beverages)</t>
  </si>
  <si>
    <t>SAM row: cptob (Tobacco processing). Note: ctoba=raw leaf tobacco -&gt; mapped to IO 1</t>
  </si>
  <si>
    <t>Sum of 2 SAM rows: cyarn+ctext (cyarn=0; all value from ctext)</t>
  </si>
  <si>
    <t>SAM row: cclth (Clothing)</t>
  </si>
  <si>
    <t>SAM row: cleat (Leather and footwear)</t>
  </si>
  <si>
    <t>SAM row: cwood (Wood products)</t>
  </si>
  <si>
    <t>SAM row: cpapr (Paper products and publishing) — shared with IO 13 (Printing). First split by IO output share, then shares computed from split portion.</t>
  </si>
  <si>
    <t>SAM row: cpapr (Paper products and publishing) — shared with IO 12 (Paper). IO 13 receives the exact remainder after IO 12's share.</t>
  </si>
  <si>
    <t>SAM row: cpetr (Petroleum products)</t>
  </si>
  <si>
    <t>SAM row: cchem (Other chemicals) — shared with IO 16 (Pharma) and IO 17 (Rubber &amp; plastics). Split by IO output shares.</t>
  </si>
  <si>
    <t>SAM row: cchem (Other chemicals) — shared with IO 15 (Chemicals) and IO 17 (Rubber &amp; plastics). Split by IO output shares.</t>
  </si>
  <si>
    <t>SAM row: cchem (Other chemicals) — shared with IO 15 (Chemicals) and IO 16 (Pharma). IO 17 receives exact remainder.</t>
  </si>
  <si>
    <t>SAM row: cnmet (Non-metal minerals)</t>
  </si>
  <si>
    <t>SAM row: cmetl (Metals and metal products) — shared with IO 20 (Fabricated metals). Split by IO output shares.</t>
  </si>
  <si>
    <t>SAM row: cmetl (Metals and metal products) — shared with IO 19 (Basic metals). IO 20 receives exact remainder.</t>
  </si>
  <si>
    <t>SAM row: cmach (Machinery and other equipment) — shared with IO 23 (Machinery n.e.c.). Split by IO output shares.</t>
  </si>
  <si>
    <t>SAM row: cequi (Electrical equipment)</t>
  </si>
  <si>
    <t>SAM row: cmach (Machinery and other equipment) — shared with IO 21 (Computers). IO 23 receives exact remainder.</t>
  </si>
  <si>
    <t>SAM row: cvehi (Vehicles and transport equipment) — shared with IO 25 (Other transport). Split by IO output shares.</t>
  </si>
  <si>
    <t>SAM row: cvehi (Vehicles and transport equipment) — shared with IO 24 (Motor vehicles). IO 25 receives exact remainder.</t>
  </si>
  <si>
    <t>SAM row: coman (Other manufacturing) — shared with IO 27 (Other mfg) and IO 28 (Repair). Split by IO output shares.</t>
  </si>
  <si>
    <t>SAM row: coman (Other manufacturing) — shared with IO 26 (Furniture) and IO 28 (Repair). Split by IO output shares.</t>
  </si>
  <si>
    <t>SAM row: coman (Other manufacturing) — shared with IO 26 (Furniture) and IO 27 (Other mfg). IO 28 receives exact remainder.</t>
  </si>
  <si>
    <t>SAM row: celec (Electricity, gas and steam)</t>
  </si>
  <si>
    <t>SAM row: cwatr (Water supply and sewage)</t>
  </si>
  <si>
    <t>SAM row: ccons (Construction)</t>
  </si>
  <si>
    <t>SAM row: ctrad (Wholesale and retail trade)</t>
  </si>
  <si>
    <t>Transport, Postal and courier activities</t>
  </si>
  <si>
    <t>SAM row: ctran (Transportation and storage) — shared with IO 34 (Warehousing). Split by IO output shares.</t>
  </si>
  <si>
    <t>SAM row: ctran (Transportation and storage) — shared with IO 33 (Transport). IO 34 receives exact remainder.</t>
  </si>
  <si>
    <t>Sum of 2 SAM rows: crest+chotl (chotl=0; all value from crest — Restaurants and food services)</t>
  </si>
  <si>
    <t>SAM row: ccomm (Information and communication) — shared with IO 37/38/39. Split by IO output shares.</t>
  </si>
  <si>
    <t>SAM row: ccomm (Information and communication) — shared with IO 36/38/39. Split by IO output shares.</t>
  </si>
  <si>
    <t>SAM row: ccomm (Information and communication) — shared with IO 36/37/39. Split by IO output shares.</t>
  </si>
  <si>
    <t>SAM row: ccomm (Information and communication) — shared with IO 36/37/38. IO 39 receives exact remainder.</t>
  </si>
  <si>
    <t>SAM row: cfsrv (Finance and insurance) — shared with IO 41 (Insurance) and IO 42 (Auxiliary). Split by IO output shares.</t>
  </si>
  <si>
    <t>SAM row: cfsrv (Finance and insurance) — shared with IO 40 (Finance) and IO 42 (Auxiliary). Split by IO output shares.</t>
  </si>
  <si>
    <t>SAM row: cfsrv (Finance and insurance) — shared with IO 40 (Finance) and IO 41 (Insurance). IO 42 receives exact remainder.</t>
  </si>
  <si>
    <t>SAM row: creal (Real estate activities)</t>
  </si>
  <si>
    <t>SAM row: cbsrv (Business services) — shared across IO 44-56 (13 sectors). Split by IO output shares. Denom = sum of output for IO 44-56 = 134497173.</t>
  </si>
  <si>
    <t>SAM row: cbsrv (Business services) — shared across IO 44-56.</t>
  </si>
  <si>
    <t>SAM row: cbsrv (Business services) — shared across IO 44-56. IO 56 receives exact remainder after IO 44-55.</t>
  </si>
  <si>
    <t>SAM row: cpadm (Public administration)</t>
  </si>
  <si>
    <t>SAM row: ceduc (Education)</t>
  </si>
  <si>
    <t>SAM row: cheal (Health and social work)</t>
  </si>
  <si>
    <t>SAM row: cosrv (Other services) — shared across IO 60-67 (8 sectors). Split by IO output shares. Denom = sum of output for IO 60-67 = 106059047.</t>
  </si>
  <si>
    <t>SAM row: cosrv (Other services) — shared across IO 60-67.</t>
  </si>
  <si>
    <t>SAM row: cosrv (Other services) — shared across IO 60-67. IO 67 receives exact remainder after IO 60-66.</t>
  </si>
  <si>
    <t>TOTAL</t>
  </si>
  <si>
    <t>Row totals = cc exactly. Column totals reflect IOT base year scaled by SAM distributional shares.</t>
  </si>
  <si>
    <t>DIRECT — 1-to-1 from single SAM row</t>
  </si>
  <si>
    <t>AGGREGATE — sum of multiple SAM rows</t>
  </si>
  <si>
    <t>DISAGGREGATE — one SAM row split across multiple IO sectors by IO output share</t>
  </si>
  <si>
    <t>Grey columns — quintile shares (sh) derived from SAM split; applied to IOT cc</t>
  </si>
  <si>
    <t>METHOD: IFPRI SAM 2019 quintile shares applied to 2016/2017 CAPMAS IOT cc. Row totals = cc. Column totals reflect Egypt IOT base year scaled by SAM distributional shares.</t>
  </si>
  <si>
    <t>Flag: IO 4 (Mining) shows equal shares because both SAM rows (ccoal, comin) are zero — so there was no distributional information to borrow from the SAM.</t>
  </si>
  <si>
    <t>hhd-1</t>
  </si>
  <si>
    <t>hhd-2</t>
  </si>
  <si>
    <t>hhd-3</t>
  </si>
  <si>
    <t>hhd-4</t>
  </si>
  <si>
    <t>hhd-5</t>
  </si>
  <si>
    <t>METHOD: 2016 population/ 5</t>
  </si>
  <si>
    <t>Compensation (IO)</t>
  </si>
  <si>
    <t xml:space="preserve">METHOD: IFPRI SAM 2019 quintile compensation hh shares applied to 2016/2017 CAPMAS IOT compensation per sector. </t>
  </si>
  <si>
    <t>Total</t>
  </si>
  <si>
    <t>SAM 2018/2019</t>
  </si>
  <si>
    <t>IOT 2016/2017</t>
  </si>
  <si>
    <t>Compensation</t>
  </si>
  <si>
    <t xml:space="preserve">METHOD: IFPRI SAM 2019 profit shares </t>
  </si>
  <si>
    <t>Billions</t>
  </si>
  <si>
    <t>SAM 2019</t>
  </si>
  <si>
    <t>Thousands</t>
  </si>
  <si>
    <t>income</t>
  </si>
  <si>
    <t>Breisinger Source &amp; Method</t>
  </si>
  <si>
    <t>Average of all crop &amp; livestock commodities in Breisinger</t>
  </si>
  <si>
    <t>Direct: Breisinger 'Fish'</t>
  </si>
  <si>
    <t>Proxy: Natural gas (crude oil has no HH elasticity in Breisinger)</t>
  </si>
  <si>
    <t>Average: Coal + metal ores; households rarely consume mining outputs directly</t>
  </si>
  <si>
    <t>Average of all food processing commodities in Breisinger</t>
  </si>
  <si>
    <t>Direct: Breisinger 'Beverages'</t>
  </si>
  <si>
    <t>Direct: Breisinger 'Tobacco products'</t>
  </si>
  <si>
    <t>Average: Yarn+textiles and knitted fabrics</t>
  </si>
  <si>
    <t>Proxy: Knitted fabrics (closest to wearing apparel)</t>
  </si>
  <si>
    <t>Direct: Breisinger 'Leather and footwear'</t>
  </si>
  <si>
    <t>Manufacture of wood and of products of wood and cork, except furniture</t>
  </si>
  <si>
    <t>Direct: Breisinger 'Wood products'</t>
  </si>
  <si>
    <t>Direct: Breisinger 'Paper products'</t>
  </si>
  <si>
    <t>Average of all petroleum product types in Breisinger</t>
  </si>
  <si>
    <t>Direct: Breisinger 'Basic chemicals'</t>
  </si>
  <si>
    <t>Proxy: Basic chemicals (no separate pharma in Breisinger)</t>
  </si>
  <si>
    <t>Proxy: Basic chemicals (no separate rubber/plastics in Breisinger)</t>
  </si>
  <si>
    <t>Proxy: Glass products (closest non-metallic mineral)</t>
  </si>
  <si>
    <t>Direct: Breisinger 'Basic metals'</t>
  </si>
  <si>
    <t>Proxy: Basic metals (no separate fabricated metals in Breisinger)</t>
  </si>
  <si>
    <t>Proxy: Radio/TV/comms equipment</t>
  </si>
  <si>
    <t>Direct: Breisinger 'Electrical machinery'</t>
  </si>
  <si>
    <t>Average: Radio/TV + Electrical (no separate machinery n.e.c. in Breisinger)</t>
  </si>
  <si>
    <t>Direct: Breisinger 'Transport equipment'</t>
  </si>
  <si>
    <t>Direct: Breisinger 'Furniture'</t>
  </si>
  <si>
    <t>Proxy: Furniture (no separate other manufacturing in Breisinger)</t>
  </si>
  <si>
    <t>Proxy: Average of machinery types (repair services)</t>
  </si>
  <si>
    <t>Direct: Breisinger 'Electricity transmission'</t>
  </si>
  <si>
    <t>Water collection, treatment and supply</t>
  </si>
  <si>
    <t>Direct: Breisinger 'Water distribution'</t>
  </si>
  <si>
    <t>Direct: Breisinger 'Construction services'</t>
  </si>
  <si>
    <t>Total of Wholesale and retail trade</t>
  </si>
  <si>
    <t>Direct: Breisinger 'Wholesale retail trade'</t>
  </si>
  <si>
    <t>Direct: Breisinger 'Transport services'</t>
  </si>
  <si>
    <t>Proxy: Transport services (warehousing not separate in Breisinger)</t>
  </si>
  <si>
    <t>Proxy: Lodging (closest to food &amp; beverage services)</t>
  </si>
  <si>
    <t>Proxy: Other services (publishing not separate in Breisinger)</t>
  </si>
  <si>
    <t>Motion picture, video and television programme production</t>
  </si>
  <si>
    <t>Proxy: Other services</t>
  </si>
  <si>
    <t>Telecommunications-Computer programming-Information service activities</t>
  </si>
  <si>
    <t>Direct: Breisinger 'Telecommunications'</t>
  </si>
  <si>
    <t>Direct: Breisinger 'Financial intermediation'</t>
  </si>
  <si>
    <t>Insurance, reinsurance and pension funding</t>
  </si>
  <si>
    <t>Proxy: Financial intermediation</t>
  </si>
  <si>
    <t>Direct: Breisinger 'Real estate services'</t>
  </si>
  <si>
    <t>Direct: Breisinger 'Business services'</t>
  </si>
  <si>
    <t>Proxy: Business services</t>
  </si>
  <si>
    <t>Proxy: Business services (rental)</t>
  </si>
  <si>
    <t>Proxy: Lodging (travel agency/tourism)</t>
  </si>
  <si>
    <t>Direct: Breisinger 'Public administration'</t>
  </si>
  <si>
    <t>Direct: Breisinger 'Education services'</t>
  </si>
  <si>
    <t>Government Human health activities-Residential care-Social work</t>
  </si>
  <si>
    <t>Direct: Breisinger 'Health and social services'</t>
  </si>
  <si>
    <t>Color Code:</t>
  </si>
  <si>
    <t>DIRECT or AVERAGE — elasticity taken directly from Breisinger (2018)</t>
  </si>
  <si>
    <t>PROXY — closest Breisinger commodity used; review before finalising</t>
  </si>
  <si>
    <t>METHOD: applied IFPRI SAM 2019 scc to CAPMAS IO 2016/2017</t>
  </si>
  <si>
    <t>Julia Index</t>
  </si>
  <si>
    <t>Category</t>
  </si>
  <si>
    <t>βᵖ Value</t>
  </si>
  <si>
    <t>Crop and animal production, hunting</t>
  </si>
  <si>
    <t>Agriculture</t>
  </si>
  <si>
    <t>Energy &amp; Water</t>
  </si>
  <si>
    <t>Mining of metal ores, other mining</t>
  </si>
  <si>
    <t>Mining &amp; Quarrying</t>
  </si>
  <si>
    <t>Manufacturing</t>
  </si>
  <si>
    <t>Manufacture of leather products</t>
  </si>
  <si>
    <t>Manufacture of wood products</t>
  </si>
  <si>
    <t>Manufacture of paper products</t>
  </si>
  <si>
    <t>Printing and reproduction</t>
  </si>
  <si>
    <t>Manufacture of chemicals</t>
  </si>
  <si>
    <t>Manufacture of pharmaceuticals</t>
  </si>
  <si>
    <t>Manufacture of rubber and plastics</t>
  </si>
  <si>
    <t>Manufacture of non-metallic mineral products</t>
  </si>
  <si>
    <t>Manufacture of fabricated metal products</t>
  </si>
  <si>
    <t>Manufacture of computers, electronics</t>
  </si>
  <si>
    <t>Manufacture of machinery and equipment</t>
  </si>
  <si>
    <t>Manufacture of motor vehicles</t>
  </si>
  <si>
    <t>Repair and installation of machinery</t>
  </si>
  <si>
    <t>Water collection, treatment and supply; sewerage; waste</t>
  </si>
  <si>
    <t>Arts/Entertainment/Other Services</t>
  </si>
  <si>
    <t>Transport, postal and courier activities</t>
  </si>
  <si>
    <t>Transport</t>
  </si>
  <si>
    <t>Warehousing and support for transportation</t>
  </si>
  <si>
    <t>Accommodation and food service activities</t>
  </si>
  <si>
    <t>Accommodation &amp; Restaurants</t>
  </si>
  <si>
    <t>IT &amp; Communications</t>
  </si>
  <si>
    <t>Motion picture, TV production, music publishing</t>
  </si>
  <si>
    <t>Programming and broadcasting</t>
  </si>
  <si>
    <t>Telecommunications, IT and information services</t>
  </si>
  <si>
    <t>Financial service activities</t>
  </si>
  <si>
    <t>Insurance and pension funding</t>
  </si>
  <si>
    <t>Auxiliary financial and insurance activities</t>
  </si>
  <si>
    <t>Real Estate</t>
  </si>
  <si>
    <t>Activities of head offices; management consultancy</t>
  </si>
  <si>
    <t>Architectural and engineering activities</t>
  </si>
  <si>
    <t>Human Health</t>
  </si>
  <si>
    <t>Travel agency and tour operator activities</t>
  </si>
  <si>
    <t>Office administrative and support activities</t>
  </si>
  <si>
    <t>Public administration and defence</t>
  </si>
  <si>
    <t>Human health and social work activities</t>
  </si>
  <si>
    <t>Creative arts and entertainment activities</t>
  </si>
  <si>
    <t>Libraries, archives, museums</t>
  </si>
  <si>
    <t>Sports activities and amusement</t>
  </si>
  <si>
    <t>Activities of membership organisations</t>
  </si>
  <si>
    <t>Repair of computers and personal goods</t>
  </si>
  <si>
    <t>Activities of households as employers</t>
  </si>
  <si>
    <t>Proxy</t>
  </si>
  <si>
    <t xml:space="preserve">Sector Name </t>
  </si>
  <si>
    <t>Source: Breisinger, Mukashov, Raouf &amp; Wiebelt (2018), Table 2.3, Column [8] — Identical Armington transformation &amp; substitution elasticities σq (GTAP-based).</t>
  </si>
  <si>
    <t>Julia
Index</t>
  </si>
  <si>
    <t>Breisinger
Sector(s)</t>
  </si>
  <si>
    <t>σq
(Breisinger,
positive)</t>
  </si>
  <si>
    <t>η^x = η^M
(DESTEEM,
negative)</t>
  </si>
  <si>
    <t>Mapping Notes</t>
  </si>
  <si>
    <t>Crop and animal production, hunting and related services</t>
  </si>
  <si>
    <t>1–13 (crops), 13 (live animals)</t>
  </si>
  <si>
    <t>Weighted avg across Breisinger crop/animal sub-sectors (range 1.30–5.05); staple crops dominate output so avg ≈ 2.50</t>
  </si>
  <si>
    <t>14 (Fish)</t>
  </si>
  <si>
    <t>Direct match</t>
  </si>
  <si>
    <t>16 (Crude oil, 5.20) + 17 (Gas, 17.20)</t>
  </si>
  <si>
    <t>19 (2.00) + 20 (3.30) + 21 (3.65) + 22 (2.60) + 23 (2.70) + 24 (2.00)</t>
  </si>
  <si>
    <t>25 (1.15)</t>
  </si>
  <si>
    <t>26 (1.15)</t>
  </si>
  <si>
    <t>28 (Knitted fabrics/apparel, 3.70)</t>
  </si>
  <si>
    <t>Manufacture of leather products and footwear</t>
  </si>
  <si>
    <t>29 (Leather/footwear, 4.05)</t>
  </si>
  <si>
    <t>Manufacture of wood and wood products</t>
  </si>
  <si>
    <t>30 (Wood products, 3.40)</t>
  </si>
  <si>
    <t>31 (Paper products, 3.40)</t>
  </si>
  <si>
    <t>Services proxy</t>
  </si>
  <si>
    <t>32–38 (Petroleum products: LPG, gasoline, solar, mazot, 2.10 each)</t>
  </si>
  <si>
    <t>40 (Basic chemicals, 3.30)</t>
  </si>
  <si>
    <t>40 (Chemicals proxy, 3.30)</t>
  </si>
  <si>
    <t>39 (Glass, 3.30)</t>
  </si>
  <si>
    <t>41 (Basic metals, 4.20)</t>
  </si>
  <si>
    <t>41 (Basic metals proxy, 4.20)</t>
  </si>
  <si>
    <t>Manufacture of computers, electronics and optical products</t>
  </si>
  <si>
    <t>42 (Radio/TV/communication equipment, 4.05)</t>
  </si>
  <si>
    <t>43 (Electrical machinery, 4.05)</t>
  </si>
  <si>
    <t>43 (Electrical/general machinery proxy, 4.05)</t>
  </si>
  <si>
    <t>General machinery proxied by electrical machinery</t>
  </si>
  <si>
    <t>Manufacture of motor vehicles and trailers</t>
  </si>
  <si>
    <t>44 (Transport equipment, 2.80)</t>
  </si>
  <si>
    <t>Services default</t>
  </si>
  <si>
    <t>Wholesale and retail trade; repair of motor vehicles</t>
  </si>
  <si>
    <t>Transport and postal services</t>
  </si>
  <si>
    <t>Storage and transport support activities</t>
  </si>
  <si>
    <t>Film, TV, sound recording and music publishing</t>
  </si>
  <si>
    <t>Telecommunications and IT services</t>
  </si>
  <si>
    <t>Financial services (excl. insurance and pension funds)</t>
  </si>
  <si>
    <t>Management consulting</t>
  </si>
  <si>
    <t>Architecture, engineering and technical analysis</t>
  </si>
  <si>
    <t>Travel agencies and tour operators</t>
  </si>
  <si>
    <t>Office administrative and business support services</t>
  </si>
  <si>
    <t>Public administration and defence; social security</t>
  </si>
  <si>
    <t>Sports and amusement and recreation activities</t>
  </si>
  <si>
    <t>Average of crude oil and natural gas; gas very high due to commodity homogeneity (consider using 5.20 alone if instability occurs).</t>
  </si>
  <si>
    <t>Direct: 'Tobacco products'</t>
  </si>
  <si>
    <t>Direct: 'Beverages'</t>
  </si>
  <si>
    <t>15 (Coal, 3.05) + 18 (Metal ores, 0.90)</t>
  </si>
  <si>
    <t>Average: Coal + metal ores</t>
  </si>
  <si>
    <t>27 (Yarn/textile, 3.75) + 28 (Knitted fabrics, 3.7)</t>
  </si>
  <si>
    <t>Direct: 'Leather and footwear'</t>
  </si>
  <si>
    <t>Direct: 'Wood products'</t>
  </si>
  <si>
    <t>Direct: 'Paper products'</t>
  </si>
  <si>
    <t>Proxy: 'Other Services'</t>
  </si>
  <si>
    <t>Direct: 2.1 for all petroleum products</t>
  </si>
  <si>
    <t>Direct: 'Basic chemicals'</t>
  </si>
  <si>
    <t>Direct: 'Basic metals'</t>
  </si>
  <si>
    <t>Proxy: Basic metals (no separate fabricated metals)</t>
  </si>
  <si>
    <t>Proxy: Basic chemicals (no separate rubber/plastics)</t>
  </si>
  <si>
    <t>Proxy: Basic chemicals (no separate pharma)</t>
  </si>
  <si>
    <t>Direct: 'Electrical machinery'</t>
  </si>
  <si>
    <t>Direct: 'Transport equipment'</t>
  </si>
  <si>
    <t>Direct: 'Furniture'</t>
  </si>
  <si>
    <t>45 (Furniture, 3.75)</t>
  </si>
  <si>
    <t>Direct: 'Water distribution'</t>
  </si>
  <si>
    <t>47 (Water distribution, 2.8)</t>
  </si>
  <si>
    <t>48 (Consruction Services, 1.9)</t>
  </si>
  <si>
    <t>Direct: 'Construction services'</t>
  </si>
  <si>
    <t>49 (Wholesale and retail trade services, 1.9)</t>
  </si>
  <si>
    <t>50 (Transport services, 1.9)</t>
  </si>
  <si>
    <t>Direct: 'Transport services'</t>
  </si>
  <si>
    <t>Direct: 'Wholesale retail trade'</t>
  </si>
  <si>
    <t>Proxy: Transport services (no seperate warehousing)</t>
  </si>
  <si>
    <t>51 (Lodging, 1.9)</t>
  </si>
  <si>
    <t xml:space="preserve">Proxy: Other services </t>
  </si>
  <si>
    <t>59 (Other Services, 1.9)</t>
  </si>
  <si>
    <t>52 (Telecommunications, 1.9)</t>
  </si>
  <si>
    <t>53 (Financial intermediation, 1.9)</t>
  </si>
  <si>
    <t>Direct: 'Real estate services'</t>
  </si>
  <si>
    <t>Direct: 'Business services'</t>
  </si>
  <si>
    <t>Direct: 'Telecommunications'</t>
  </si>
  <si>
    <t>Direct: 'Financial intermediation'</t>
  </si>
  <si>
    <t>54 (Real estate, 1.9)</t>
  </si>
  <si>
    <t>55 (Business, 1.9)</t>
  </si>
  <si>
    <t>Direct: 'Public administration'</t>
  </si>
  <si>
    <t>Direct: 'Education services'</t>
  </si>
  <si>
    <t>Direct: 'Health and social services'</t>
  </si>
  <si>
    <t>54 (Public admin, 1.9)</t>
  </si>
  <si>
    <t>57 (Education, 1.9)</t>
  </si>
  <si>
    <t>58 (Health, 1.9)</t>
  </si>
  <si>
    <t>Egypt Subsistence Shares —  Rwanda formula applied to Egypt quintile incomes</t>
  </si>
  <si>
    <t>Rwanda reference: f1=$133→ω=−6.19 (83.9% subsistence)  |  f5=$899→ω=−4.05 (75.3%)  |  u5=$2,993→ω=−2.02 (50.4%)  |  National avg=$582→ω=−3.64 (72.5%)</t>
  </si>
  <si>
    <t>1. Frisch Calculation</t>
  </si>
  <si>
    <t>Step / Variable</t>
  </si>
  <si>
    <t>Q1
$610/cap</t>
  </si>
  <si>
    <t>Q2
$883/cap</t>
  </si>
  <si>
    <t>Q3
$1,122/cap</t>
  </si>
  <si>
    <t>Q4
$1,550/cap</t>
  </si>
  <si>
    <t>Q5
$3,705/cap</t>
  </si>
  <si>
    <t>Formula / Notes</t>
  </si>
  <si>
    <t>1. Per-capita consumption (USD)</t>
  </si>
  <si>
    <t>IFPRI SAM 2019 CQ ÷ POPQ (20,329k each) ÷ 17 EGP/USD</t>
  </si>
  <si>
    <t>2. Frisch parameter ω = −36 · y^(−0.36)</t>
  </si>
  <si>
    <t>3. Aggregate subsistence share γ = 1 + 1/ω</t>
  </si>
  <si>
    <t>4. Discretionary share = 1 − γ</t>
  </si>
  <si>
    <t>2. Sector Gamas</t>
  </si>
  <si>
    <t>Egypt Sector × Quintile Subsistence Shares  |  γ_Egypt[j,h] = γ_agg[h] × (Rwanda_sector_j / Rwanda_avg)  |  Sector pattern from Rwanda, level from Frisch</t>
  </si>
  <si>
    <t xml:space="preserve"> (1) Frisch gives aggregate subsistence share per quintile — Q1=72%, Q5=47%. (2) Rwanda sector pattern distributes this aggregate across sectors — cereals highest, services lowest. Combined: γ[j,h] = γ_agg[h] × (Rwanda_cat_j / 74.3%)</t>
  </si>
  <si>
    <t>Sector category</t>
  </si>
  <si>
    <t>Rwanda γ
(nat. avg)</t>
  </si>
  <si>
    <t>Q1
72% agg</t>
  </si>
  <si>
    <t>Q2
68% agg</t>
  </si>
  <si>
    <t>Q3
65% agg</t>
  </si>
  <si>
    <t>Q4
61% agg</t>
  </si>
  <si>
    <t>Q5
47% agg</t>
  </si>
  <si>
    <t>Interpretation</t>
  </si>
  <si>
    <t>Cereals &amp; roots</t>
  </si>
  <si>
    <t>Staple food — highest subsistence. Q1=84%, Q5=55%</t>
  </si>
  <si>
    <t>Vegetables &amp; pulses</t>
  </si>
  <si>
    <t>Basic food — high necessity below cereals</t>
  </si>
  <si>
    <t>Fish, meat &amp; eggs</t>
  </si>
  <si>
    <t>Protein — high necessity, some substitution</t>
  </si>
  <si>
    <t>Dairy &amp; fats/oils</t>
  </si>
  <si>
    <t>Basic food inputs — similar to vegetables</t>
  </si>
  <si>
    <t>Other food</t>
  </si>
  <si>
    <t>Most discretionary food category</t>
  </si>
  <si>
    <t>Clothing &amp; textiles</t>
  </si>
  <si>
    <t>Basic clothing necessity</t>
  </si>
  <si>
    <t>Utilities (elec/water)</t>
  </si>
  <si>
    <t>Core necessity. Used for SHOCKED sector 14</t>
  </si>
  <si>
    <t>Housing &amp; real estate</t>
  </si>
  <si>
    <t>Shelter — high necessity all groups</t>
  </si>
  <si>
    <t>Educ, health &amp; public</t>
  </si>
  <si>
    <t>Basic services — high necessity</t>
  </si>
  <si>
    <t>Industrial goods — more discretionary</t>
  </si>
  <si>
    <t>Services (residual)</t>
  </si>
  <si>
    <t>Most discretionary — lowest gamma</t>
  </si>
  <si>
    <t>TOTAL aggregate</t>
  </si>
  <si>
    <t>Weighted average — equals Frisch γ_agg exactly</t>
  </si>
  <si>
    <t xml:space="preserve">Egypt IO Sector → Rwanda Category Mapping  </t>
  </si>
  <si>
    <t>#</t>
  </si>
  <si>
    <t>Egypt IO Sector Name</t>
  </si>
  <si>
    <t>Rwanda Category</t>
  </si>
  <si>
    <t>Q1 γ</t>
  </si>
  <si>
    <t>Q2 γ</t>
  </si>
  <si>
    <t>Q3 γ</t>
  </si>
  <si>
    <t>Q4 γ</t>
  </si>
  <si>
    <t>Q5 γ</t>
  </si>
  <si>
    <t>Mapping justification</t>
  </si>
  <si>
    <t>Crop &amp; animal production</t>
  </si>
  <si>
    <t>Staple crops — direct match; highest necessity</t>
  </si>
  <si>
    <t>Direct match — fish is primary protein source</t>
  </si>
  <si>
    <t>Extraction of crude petroleum/gas</t>
  </si>
  <si>
    <t>Energy extraction — utility necessity proxy</t>
  </si>
  <si>
    <t>Mining (metal ores &amp; other)</t>
  </si>
  <si>
    <t>Industrial — manufacturing proxy</t>
  </si>
  <si>
    <t>Food processing — dairy/oils proxy</t>
  </si>
  <si>
    <t>Less essential — other food proxy</t>
  </si>
  <si>
    <t>Manufacture of tobacco</t>
  </si>
  <si>
    <t>Low necessity — other food proxy</t>
  </si>
  <si>
    <t>Manufacturing proxy</t>
  </si>
  <si>
    <t>Printing &amp; reproduction</t>
  </si>
  <si>
    <t>Energy product — utility proxy; SHOCKED SECTOR</t>
  </si>
  <si>
    <t>Pharmaceuticals</t>
  </si>
  <si>
    <t>Health product — direct match</t>
  </si>
  <si>
    <t>Rubber and plastics</t>
  </si>
  <si>
    <t>Non-metallic minerals</t>
  </si>
  <si>
    <t>Basic metals</t>
  </si>
  <si>
    <t>Fabricated metal products</t>
  </si>
  <si>
    <t>Computers &amp; electronics</t>
  </si>
  <si>
    <t>Low necessity — services proxy</t>
  </si>
  <si>
    <t>Machinery &amp; equipment n.e.c.</t>
  </si>
  <si>
    <t>Motor vehicles &amp; trailers</t>
  </si>
  <si>
    <t>Luxury — lowest gamma category</t>
  </si>
  <si>
    <t>Other transport equipment</t>
  </si>
  <si>
    <t>Furniture</t>
  </si>
  <si>
    <t>Home furnishing — housing proxy</t>
  </si>
  <si>
    <t>Repair &amp; installation</t>
  </si>
  <si>
    <t>Electricity, gas &amp; steam supply</t>
  </si>
  <si>
    <t>Direct match — core necessity</t>
  </si>
  <si>
    <t>Water collection &amp; treatment</t>
  </si>
  <si>
    <t>Direct match — most essential utility</t>
  </si>
  <si>
    <t>Wholesale &amp; retail trade</t>
  </si>
  <si>
    <t>Transport services</t>
  </si>
  <si>
    <t>Trade/transport direct match</t>
  </si>
  <si>
    <t>Storage &amp; transport support</t>
  </si>
  <si>
    <t>Accommodation &amp; food services</t>
  </si>
  <si>
    <t>Hotels &amp; restaurants direct match</t>
  </si>
  <si>
    <t>Publishing</t>
  </si>
  <si>
    <t>Film, TV, sound recording</t>
  </si>
  <si>
    <t>Programming &amp; broadcasting</t>
  </si>
  <si>
    <t>Telecommunications &amp; IT</t>
  </si>
  <si>
    <t>Financial services</t>
  </si>
  <si>
    <t>Insurance &amp; pension funding</t>
  </si>
  <si>
    <t>Auxiliary financial activities</t>
  </si>
  <si>
    <t>Legal &amp; accounting</t>
  </si>
  <si>
    <t>Professional services proxy</t>
  </si>
  <si>
    <t>Architecture &amp; engineering</t>
  </si>
  <si>
    <t>Scientific R&amp;D</t>
  </si>
  <si>
    <t>Advertising &amp; market research</t>
  </si>
  <si>
    <t>Other professional services</t>
  </si>
  <si>
    <t>Rental &amp; leasing</t>
  </si>
  <si>
    <t>Travel agencies &amp; tour operators</t>
  </si>
  <si>
    <t>Tourism proxy</t>
  </si>
  <si>
    <t>Security &amp; investigation</t>
  </si>
  <si>
    <t>Building &amp; landscape services</t>
  </si>
  <si>
    <t>Office administrative services</t>
  </si>
  <si>
    <t>Public administration &amp; defence</t>
  </si>
  <si>
    <t>Human health &amp; social work</t>
  </si>
  <si>
    <t>Creative arts &amp; entertainment</t>
  </si>
  <si>
    <t>Libraries, archives &amp; museums</t>
  </si>
  <si>
    <t>Cultural/educational match</t>
  </si>
  <si>
    <t>Gambling &amp; betting</t>
  </si>
  <si>
    <t>Sports &amp; recreation</t>
  </si>
  <si>
    <t>Membership organisations</t>
  </si>
  <si>
    <t>Repair of household goods</t>
  </si>
  <si>
    <t>Other personal services</t>
  </si>
  <si>
    <t>Activities of households</t>
  </si>
  <si>
    <t>Basic necessities proxy</t>
  </si>
  <si>
    <t>Bold category = DIRECT Rwanda match  |  Green γ≥70% (Q1) or ≥45% (Q5)  |  Amber = most discretionary  |  Red = shocked sector 14</t>
  </si>
  <si>
    <t xml:space="preserve">3. Mapping </t>
  </si>
  <si>
    <t>Julia Code</t>
  </si>
  <si>
    <t>Egypt IO → Eldeep &amp; Zaki (2023) Trade Elasticities  |  σM ∈ [0.9, 2.4]  ·  σX ∈ [1.5, 3.0]  |  η = −σ  (negative in DESTEEM-Egypt)</t>
  </si>
  <si>
    <t>EZ Category</t>
  </si>
  <si>
    <t>σM
(import
subs.)</t>
  </si>
  <si>
    <t>η^M
(= −σM)</t>
  </si>
  <si>
    <t>σX
(export
transf.)</t>
  </si>
  <si>
    <t>η^X
(= −σX)</t>
  </si>
  <si>
    <t>Assignment justification</t>
  </si>
  <si>
    <t>Low: heterogeneous local products, limited import substitution for staples</t>
  </si>
  <si>
    <t>Low-moderate: local preferences for fresh fish limit substitution</t>
  </si>
  <si>
    <t>Mining/energy</t>
  </si>
  <si>
    <t>Moderate: commodity market but capacity-constrained production</t>
  </si>
  <si>
    <t>Moderate: mineral commodities, some homogeneity</t>
  </si>
  <si>
    <t>Food processing</t>
  </si>
  <si>
    <t>Moderate: processed food, some product differentiation</t>
  </si>
  <si>
    <t>Moderate: branded products limit substitution</t>
  </si>
  <si>
    <t>Low-moderate: brand loyalty limits substitution</t>
  </si>
  <si>
    <t>Textiles/apparel</t>
  </si>
  <si>
    <t>High: relatively homogeneous, strong import competition</t>
  </si>
  <si>
    <t>High: global value chains, strong substitution</t>
  </si>
  <si>
    <t>High: competitive global market</t>
  </si>
  <si>
    <t>Light manufacturing</t>
  </si>
  <si>
    <t>High: homogeneous intermediate good</t>
  </si>
  <si>
    <t>High: commodity-like paper products</t>
  </si>
  <si>
    <t>Low: locally produced, limited tradability</t>
  </si>
  <si>
    <t>Energy products</t>
  </si>
  <si>
    <t>Heavy manufacturing</t>
  </si>
  <si>
    <t>High: competitive global chemical markets</t>
  </si>
  <si>
    <t>Moderate-high: product differentiation limits substitution</t>
  </si>
  <si>
    <t>High: relatively homogeneous intermediate goods</t>
  </si>
  <si>
    <t>Moderate: bulky goods, transport costs limit tradability</t>
  </si>
  <si>
    <t>High: commodity metals, near-perfect substitutes globally</t>
  </si>
  <si>
    <t>High: standardised industrial products</t>
  </si>
  <si>
    <t>Highest: global electronics market, highly homogeneous</t>
  </si>
  <si>
    <t>High: global electrical equipment markets</t>
  </si>
  <si>
    <t>High: competitive machinery markets</t>
  </si>
  <si>
    <t>High: global auto market but import barriers in Egypt</t>
  </si>
  <si>
    <t>High: global transport equipment market</t>
  </si>
  <si>
    <t>Moderate: local tastes matter, some differentiation</t>
  </si>
  <si>
    <t>High: residual manufacturing, generally tradeable</t>
  </si>
  <si>
    <t>Low: local service, largely non-tradeable</t>
  </si>
  <si>
    <t>Utilities</t>
  </si>
  <si>
    <t>Low: network good, very limited international trade</t>
  </si>
  <si>
    <t>Low: local network good, non-tradeable</t>
  </si>
  <si>
    <t>Low: construction is local, non-tradeable</t>
  </si>
  <si>
    <t>Low: trade services are local</t>
  </si>
  <si>
    <t>Low-moderate: some international transport tradeable</t>
  </si>
  <si>
    <t>Low: local logistics services</t>
  </si>
  <si>
    <t>Low-moderate: tourism-linked, some tradability</t>
  </si>
  <si>
    <t>Low: local content</t>
  </si>
  <si>
    <t>Low: cultural goods, local preferences</t>
  </si>
  <si>
    <t>Low: local broadcast services</t>
  </si>
  <si>
    <t>Low-moderate: some cross-border IT services</t>
  </si>
  <si>
    <t>Low: locally regulated financial sector</t>
  </si>
  <si>
    <t>Low: locally regulated</t>
  </si>
  <si>
    <t>Low: locally provided</t>
  </si>
  <si>
    <t>Low: immobile asset, non-tradeable</t>
  </si>
  <si>
    <t>Low: professional services, local regulation</t>
  </si>
  <si>
    <t>Low-moderate: some cross-border consulting</t>
  </si>
  <si>
    <t>Low-moderate: project-based, some international</t>
  </si>
  <si>
    <t>Low: public-good nature limits tradability</t>
  </si>
  <si>
    <t>Low: local market focus</t>
  </si>
  <si>
    <t>Low: locally delivered</t>
  </si>
  <si>
    <t>Low: local service</t>
  </si>
  <si>
    <t>Low: local labour market</t>
  </si>
  <si>
    <t>Low-moderate: tourism services</t>
  </si>
  <si>
    <t>Low: public sector, non-tradeable</t>
  </si>
  <si>
    <t>Low: public good, local delivery</t>
  </si>
  <si>
    <t>Low: local healthcare delivery</t>
  </si>
  <si>
    <t>Low-moderate: cultural goods</t>
  </si>
  <si>
    <t>Low: public service</t>
  </si>
  <si>
    <t>Low-moderate: some tourism link</t>
  </si>
  <si>
    <t>Low: local</t>
  </si>
  <si>
    <t>Low: non-market, non-tradeable</t>
  </si>
  <si>
    <t>Egypt IO Sector</t>
  </si>
  <si>
    <t>EZ η^M
(import)</t>
  </si>
  <si>
    <t>EZ η^X
(export)</t>
  </si>
  <si>
    <t>Griffin 2016
(uniform −2.5)</t>
  </si>
  <si>
    <t>Cockburn 2018
(uniform −2.0)</t>
  </si>
  <si>
    <t>Source</t>
  </si>
  <si>
    <t>Eldeep, C. &amp; Zaki, C. (2023). 'On the unfinished business of stabilization programs: a CGE model of Egypt'. Middle East Development Journal, 15(1), 66–100. DOI: 10.1080/17938120.2023.2200727
The paper reports ranges for trade elasticities calibrated to Egypt's SAM 2014/15 (sourced from Lofgren 2001 and Annabi et al. 2006): import substitution σM ∈ [0.9, 2.4]; export transformation σX ∈ [1.5, 3.0]. Sector-specific values within these ranges are assigned below.</t>
  </si>
  <si>
    <t>Values are assigned within reported ranges based on sector tradability:
• Agriculture (0.9–1.0): local tastes and perishability limit substitution
• Mining/energy (1.2–1.8): commodity goods, some homogeneity, capacity constraints
• Food processing (1.0–1.2): branded products, moderate differentiation
• Textiles/apparel (1.8–2.0): global value chains, high substitution
• Heavy manufacturing (1.8–2.4): standardised industrial goods, competitive markets
• Energy products / sector 14 (1.5): SHOCKED SECTOR — moderate, Egypt is price-taker
• Services and utilities (0.9–1.0): largely non-tradeable, network goods</t>
  </si>
  <si>
    <t>Three additional benchmarks used in sensitivity analysis:
• Breisinger et al. (2018): GTAP sector-specific σq ∈ [0.90, 11.20] — original specification
• Griffin et al. (2016, World Bank): uniform Armington = 2.5 for all sectors (Egypt-specific)
• Cockburn et al. (2018): uniform trade elasticity = 2.0 for Egypt (citing Maskus &amp; Konan 1997)
• Current baseline: uniform η = −0.7 (conservative)</t>
  </si>
  <si>
    <t>• Calibrated to Egyptian SAM 2014/15 — closest to DESTEEM-Egypt base year
• Separate import (σM) and export (σX) elasticities 
• All values within 0.9–3.0 (eliminates Breisinger's extreme oil/gas elasticity (11.20) which was causing unrealistic shock amplification)</t>
  </si>
  <si>
    <t>Breisinger et al. (2018)</t>
  </si>
  <si>
    <t xml:space="preserve">Petroleum refining </t>
  </si>
  <si>
    <t>Petroleum refining</t>
  </si>
  <si>
    <t>Moderate: refined products are tradeable but Egypt is a price-taker.</t>
  </si>
  <si>
    <t>Rwanda Code
(uniform −0.7)</t>
  </si>
  <si>
    <t>COLOR Code:</t>
  </si>
  <si>
    <t>STEP 5 — Egypt subsistence shares =  gamma_agg(Q) x ρ(sector,Q) / norm(Q)</t>
  </si>
  <si>
    <t>Egypt IO sector</t>
  </si>
  <si>
    <t>Rwanda category</t>
  </si>
  <si>
    <t>ρ Q1</t>
  </si>
  <si>
    <t>ρ Q2</t>
  </si>
  <si>
    <t>ρ Q3</t>
  </si>
  <si>
    <t>ρ Q4</t>
  </si>
  <si>
    <t>ρ Q5</t>
  </si>
  <si>
    <t>SHARE Q1</t>
  </si>
  <si>
    <t>SHARE Q2</t>
  </si>
  <si>
    <t>SHARE Q3</t>
  </si>
  <si>
    <t>SHARE Q4</t>
  </si>
  <si>
    <t>SHARE Q5</t>
  </si>
  <si>
    <t>Rwanda Q1</t>
  </si>
  <si>
    <t>Rwanda Q2</t>
  </si>
  <si>
    <t>Rwanda Q3</t>
  </si>
  <si>
    <t>Rwanda Q4</t>
  </si>
  <si>
    <t>Rwanda Q5</t>
  </si>
  <si>
    <t>housing</t>
  </si>
  <si>
    <t>CHECK: consumption-weighted avg of shares (must equal gamma_agg in sheet 3 row 9)</t>
  </si>
  <si>
    <t>Lluch gamma_agg target (sheet 3 row 9)</t>
  </si>
  <si>
    <t>TOTAL Population (2016)</t>
  </si>
  <si>
    <r>
      <t>Source: World Bank. (2025). Population, total (SP.POP.TOTL). World Development Indicators.</t>
    </r>
    <r>
      <rPr>
        <sz val="12"/>
        <color theme="4"/>
        <rFont val="Calibri (Body)"/>
      </rPr>
      <t> https://data.worldbank.org/indicator/SP.POP.TOTL</t>
    </r>
    <r>
      <rPr>
        <sz val="12"/>
        <color theme="1"/>
        <rFont val="Calibri"/>
        <family val="2"/>
        <scheme val="minor"/>
      </rPr>
      <t xml:space="preserve">										</t>
    </r>
  </si>
  <si>
    <t>METHOD: check Egypt_Subsistence_Workbook</t>
  </si>
  <si>
    <t xml:space="preserve">Calculations: </t>
  </si>
  <si>
    <t>METHOD: Q1 and Q5 from Breisinger et al. (2018) Table 2.3. Urban/rural weighted average: 43% urban + 57% rural (from Table 2.4). Q2, Q3, Q4 by linear interpolation between Q1 and Q5. All elasticities are own-price, negative sign = normal demand response.</t>
  </si>
  <si>
    <t>Source: Breisinger, C., Mukashov, A., Raouf, M., &amp; Wiebelt, M. (2018). Phasing out energy subsidies as part of Egypt’s economic reform program: Impacts and policy implications (Vol. 7). Intl Food Policy Res Inst.</t>
  </si>
  <si>
    <t>IO</t>
  </si>
  <si>
    <t>These elasticities are used for sensitivity analysis only, they are not the trade elasticities fed into the model.</t>
  </si>
  <si>
    <t>Source: Armas, A., Armas, J. C., Lu, M. Y., MacDonald, M. M., Sander, N., Son, J., ... &amp; Yang, S. (2026). Unpacking Macroeconomic Impacts of Climate Events and Policy Implications in the Philippines. International Monetary Fund.</t>
  </si>
  <si>
    <t>Trade Elasticity Comparison — Four Sources  |  Use for 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</si>
</sst>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;\-0\ "/>
    <numFmt numFmtId="165" formatCode="00"/>
    <numFmt numFmtId="166" formatCode="_-* #,##0.00_-;_-* #,##0.00\-;_-* &quot;-&quot;??_-;_-@_-"/>
    <numFmt numFmtId="167" formatCode="#,##0.00000"/>
    <numFmt numFmtId="168" formatCode="#,##0.0"/>
    <numFmt numFmtId="169" formatCode="0.000"/>
    <numFmt numFmtId="170" formatCode="0.0%"/>
  </numFmts>
  <fonts count="8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 Light"/>
      <family val="1"/>
      <scheme val="major"/>
    </font>
    <font>
      <b/>
      <sz val="22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charset val="178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b/>
      <sz val="12"/>
      <color theme="1"/>
      <name val="Calibri Light"/>
      <family val="1"/>
      <scheme val="maj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b/>
      <i/>
      <sz val="9"/>
      <name val="Arial"/>
      <family val="2"/>
    </font>
    <font>
      <sz val="10"/>
      <color theme="1"/>
      <name val="Arial"/>
      <family val="2"/>
    </font>
    <font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10"/>
      <color rgb="FF000000"/>
      <name val="Arial"/>
      <family val="2"/>
    </font>
    <font>
      <i/>
      <sz val="9"/>
      <name val="Arial"/>
      <family val="2"/>
    </font>
    <font>
      <b/>
      <sz val="16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1"/>
      <color rgb="FFFFFFFF"/>
      <name val="Arial"/>
      <family val="2"/>
    </font>
    <font>
      <sz val="9"/>
      <name val="Courier New"/>
      <family val="1"/>
    </font>
    <font>
      <sz val="11"/>
      <color rgb="FF000000"/>
      <name val="Calibri"/>
      <family val="2"/>
    </font>
    <font>
      <sz val="11"/>
      <color rgb="FF000000"/>
      <name val="Aptos"/>
    </font>
    <font>
      <sz val="8"/>
      <name val="Calibri"/>
      <family val="2"/>
      <scheme val="minor"/>
    </font>
    <font>
      <i/>
      <sz val="9"/>
      <color rgb="FF2E5FA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sz val="9"/>
      <color rgb="FF1A1A1A"/>
      <name val="Calibri"/>
      <family val="2"/>
      <scheme val="minor"/>
    </font>
    <font>
      <b/>
      <sz val="10"/>
      <color rgb="FFB71C1C"/>
      <name val="Calibri"/>
      <family val="2"/>
      <scheme val="minor"/>
    </font>
    <font>
      <b/>
      <sz val="10"/>
      <color rgb="FFE65100"/>
      <name val="Calibri"/>
      <family val="2"/>
      <scheme val="minor"/>
    </font>
    <font>
      <b/>
      <sz val="10"/>
      <color rgb="FF1B5E20"/>
      <name val="Calibri"/>
      <family val="2"/>
      <scheme val="minor"/>
    </font>
    <font>
      <i/>
      <sz val="9"/>
      <color rgb="FF55555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B5E20"/>
      <name val="Calibri"/>
      <family val="2"/>
      <scheme val="minor"/>
    </font>
    <font>
      <sz val="10"/>
      <color rgb="FFE65100"/>
      <name val="Calibri"/>
      <family val="2"/>
      <scheme val="minor"/>
    </font>
    <font>
      <b/>
      <sz val="10"/>
      <color rgb="FF1A1A1A"/>
      <name val="Calibri"/>
      <family val="2"/>
      <scheme val="minor"/>
    </font>
    <font>
      <b/>
      <sz val="9"/>
      <color rgb="FF1A1A1A"/>
      <name val="Calibri"/>
      <family val="2"/>
      <scheme val="minor"/>
    </font>
    <font>
      <b/>
      <sz val="9"/>
      <color rgb="FF1F3A6E"/>
      <name val="Calibri"/>
      <family val="2"/>
      <scheme val="minor"/>
    </font>
    <font>
      <sz val="9"/>
      <color rgb="FF1B5E20"/>
      <name val="Calibri"/>
      <family val="2"/>
      <scheme val="minor"/>
    </font>
    <font>
      <sz val="9"/>
      <color rgb="FFE65100"/>
      <name val="Calibri"/>
      <family val="2"/>
      <scheme val="minor"/>
    </font>
    <font>
      <b/>
      <sz val="9"/>
      <color rgb="FFB71C1C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9"/>
      <color rgb="FFB71C1C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2"/>
      <color rgb="FF0563C1"/>
      <name val="Calibri"/>
      <family val="2"/>
      <scheme val="minor"/>
    </font>
    <font>
      <sz val="12"/>
      <color theme="4"/>
      <name val="Calibri (Body)"/>
    </font>
    <font>
      <sz val="11"/>
      <color rgb="FF222222"/>
      <name val="Arial"/>
      <family val="2"/>
    </font>
    <font>
      <i/>
      <sz val="11"/>
      <color rgb="FFFF0000"/>
      <name val="Calibri"/>
      <family val="2"/>
      <scheme val="minor"/>
    </font>
    <font>
      <i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1F4E7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rgb="FF1A1A1A"/>
      <name val="Calibri"/>
      <family val="2"/>
      <scheme val="minor"/>
    </font>
    <font>
      <sz val="8"/>
      <color rgb="FF1F3A6E"/>
      <name val="Calibri"/>
      <family val="2"/>
      <scheme val="minor"/>
    </font>
    <font>
      <sz val="8"/>
      <color rgb="FFE651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1B5E20"/>
      <name val="Calibri"/>
      <family val="2"/>
      <scheme val="minor"/>
    </font>
    <font>
      <b/>
      <sz val="8"/>
      <color rgb="FFB71C1C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theme="7" tint="0.79998168889431442"/>
        <bgColor rgb="FFDDEBF7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DDEBF7"/>
        <bgColor rgb="FF000000"/>
      </patternFill>
    </fill>
    <fill>
      <patternFill patternType="solid">
        <fgColor rgb="FFDEEBF8"/>
        <bgColor indexed="64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E0F2F1"/>
      </patternFill>
    </fill>
    <fill>
      <patternFill patternType="solid">
        <fgColor rgb="FFE0F7FA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E8EAF6"/>
      </patternFill>
    </fill>
    <fill>
      <patternFill patternType="solid">
        <fgColor rgb="FFECEFF1"/>
      </patternFill>
    </fill>
    <fill>
      <patternFill patternType="solid">
        <fgColor rgb="FFFAFAFA"/>
      </patternFill>
    </fill>
    <fill>
      <patternFill patternType="solid">
        <fgColor rgb="FFD6DCEA"/>
      </patternFill>
    </fill>
    <fill>
      <patternFill patternType="solid">
        <fgColor rgb="FFFFEBEE"/>
      </patternFill>
    </fill>
    <fill>
      <patternFill patternType="solid">
        <fgColor rgb="FFEBF3FB"/>
      </patternFill>
    </fill>
    <fill>
      <patternFill patternType="solid">
        <fgColor rgb="FF1F3A6E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F549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AAAAA"/>
      </bottom>
      <diagonal/>
    </border>
  </borders>
  <cellStyleXfs count="8">
    <xf numFmtId="0" fontId="0" fillId="0" borderId="0"/>
    <xf numFmtId="166" fontId="3" fillId="0" borderId="0" applyFont="0" applyFill="0" applyBorder="0" applyAlignment="0" applyProtection="0"/>
    <xf numFmtId="0" fontId="3" fillId="0" borderId="0"/>
    <xf numFmtId="0" fontId="12" fillId="0" borderId="0"/>
    <xf numFmtId="0" fontId="19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7" fillId="0" borderId="0" applyNumberFormat="0" applyFill="0" applyBorder="0" applyAlignment="0" applyProtection="0"/>
  </cellStyleXfs>
  <cellXfs count="562">
    <xf numFmtId="0" fontId="0" fillId="0" borderId="0" xfId="0"/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 readingOrder="1"/>
    </xf>
    <xf numFmtId="164" fontId="7" fillId="4" borderId="1" xfId="2" applyNumberFormat="1" applyFont="1" applyFill="1" applyBorder="1" applyAlignment="1">
      <alignment horizontal="center" vertical="center" wrapText="1" readingOrder="1"/>
    </xf>
    <xf numFmtId="0" fontId="8" fillId="0" borderId="0" xfId="2" applyFont="1" applyAlignment="1">
      <alignment vertical="center"/>
    </xf>
    <xf numFmtId="0" fontId="8" fillId="0" borderId="1" xfId="2" applyFont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center" vertical="center" wrapText="1" readingOrder="1"/>
    </xf>
    <xf numFmtId="0" fontId="10" fillId="0" borderId="1" xfId="2" applyFont="1" applyBorder="1" applyAlignment="1">
      <alignment horizontal="center" vertical="center" wrapText="1"/>
    </xf>
    <xf numFmtId="164" fontId="7" fillId="6" borderId="1" xfId="2" applyNumberFormat="1" applyFont="1" applyFill="1" applyBorder="1" applyAlignment="1">
      <alignment horizontal="center" vertical="center" wrapText="1" readingOrder="1"/>
    </xf>
    <xf numFmtId="0" fontId="9" fillId="0" borderId="1" xfId="2" applyFont="1" applyBorder="1" applyAlignment="1">
      <alignment horizontal="center" vertical="center" wrapText="1"/>
    </xf>
    <xf numFmtId="1" fontId="7" fillId="0" borderId="5" xfId="2" applyNumberFormat="1" applyFont="1" applyBorder="1" applyAlignment="1">
      <alignment horizontal="right" vertical="center" wrapText="1" indent="1" readingOrder="1"/>
    </xf>
    <xf numFmtId="164" fontId="8" fillId="5" borderId="1" xfId="2" applyNumberFormat="1" applyFont="1" applyFill="1" applyBorder="1" applyAlignment="1">
      <alignment horizontal="center" vertical="center" wrapText="1" readingOrder="1"/>
    </xf>
    <xf numFmtId="1" fontId="11" fillId="0" borderId="1" xfId="2" applyNumberFormat="1" applyFont="1" applyBorder="1" applyAlignment="1">
      <alignment horizontal="center" vertical="center" wrapText="1" readingOrder="1"/>
    </xf>
    <xf numFmtId="1" fontId="9" fillId="5" borderId="5" xfId="2" applyNumberFormat="1" applyFont="1" applyFill="1" applyBorder="1" applyAlignment="1">
      <alignment horizontal="left" vertical="center" wrapText="1" readingOrder="1"/>
    </xf>
    <xf numFmtId="164" fontId="11" fillId="0" borderId="1" xfId="2" applyNumberFormat="1" applyFont="1" applyBorder="1" applyAlignment="1">
      <alignment horizontal="center" vertical="center" wrapText="1"/>
    </xf>
    <xf numFmtId="1" fontId="9" fillId="0" borderId="1" xfId="2" applyNumberFormat="1" applyFont="1" applyBorder="1" applyAlignment="1">
      <alignment horizontal="right" vertical="center" wrapText="1" indent="1"/>
    </xf>
    <xf numFmtId="2" fontId="13" fillId="0" borderId="1" xfId="3" applyNumberFormat="1" applyFont="1" applyBorder="1" applyAlignment="1">
      <alignment horizontal="center" vertical="center"/>
    </xf>
    <xf numFmtId="1" fontId="13" fillId="4" borderId="1" xfId="3" applyNumberFormat="1" applyFont="1" applyFill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/>
    </xf>
    <xf numFmtId="1" fontId="13" fillId="6" borderId="1" xfId="3" applyNumberFormat="1" applyFont="1" applyFill="1" applyBorder="1" applyAlignment="1">
      <alignment horizontal="center" vertical="center"/>
    </xf>
    <xf numFmtId="1" fontId="9" fillId="0" borderId="1" xfId="2" quotePrefix="1" applyNumberFormat="1" applyFont="1" applyBorder="1" applyAlignment="1">
      <alignment horizontal="left" vertical="center" wrapText="1" indent="1"/>
    </xf>
    <xf numFmtId="1" fontId="5" fillId="0" borderId="0" xfId="2" applyNumberFormat="1" applyFont="1" applyAlignment="1">
      <alignment vertical="center"/>
    </xf>
    <xf numFmtId="1" fontId="12" fillId="0" borderId="0" xfId="3" applyNumberFormat="1" applyAlignment="1">
      <alignment vertical="center"/>
    </xf>
    <xf numFmtId="0" fontId="12" fillId="0" borderId="0" xfId="3" applyAlignment="1">
      <alignment vertical="center"/>
    </xf>
    <xf numFmtId="0" fontId="14" fillId="0" borderId="1" xfId="2" applyFont="1" applyBorder="1" applyAlignment="1">
      <alignment horizontal="right" vertical="center" wrapText="1" indent="1"/>
    </xf>
    <xf numFmtId="0" fontId="15" fillId="0" borderId="0" xfId="3" applyFont="1" applyAlignment="1">
      <alignment vertical="center"/>
    </xf>
    <xf numFmtId="1" fontId="11" fillId="0" borderId="1" xfId="2" applyNumberFormat="1" applyFont="1" applyBorder="1" applyAlignment="1">
      <alignment horizontal="right" vertical="center" wrapText="1" indent="1"/>
    </xf>
    <xf numFmtId="164" fontId="9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right" vertical="center" wrapText="1" indent="1" readingOrder="2"/>
    </xf>
    <xf numFmtId="164" fontId="9" fillId="0" borderId="1" xfId="2" applyNumberFormat="1" applyFont="1" applyBorder="1" applyAlignment="1">
      <alignment horizontal="left" vertical="center" wrapText="1" indent="1" readingOrder="1"/>
    </xf>
    <xf numFmtId="165" fontId="9" fillId="0" borderId="1" xfId="2" applyNumberFormat="1" applyFont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left" vertical="center" wrapText="1" indent="1" readingOrder="1"/>
    </xf>
    <xf numFmtId="164" fontId="11" fillId="0" borderId="1" xfId="2" applyNumberFormat="1" applyFont="1" applyBorder="1" applyAlignment="1">
      <alignment horizontal="right" vertical="center" wrapText="1" indent="1" readingOrder="2"/>
    </xf>
    <xf numFmtId="0" fontId="16" fillId="0" borderId="0" xfId="2" applyFont="1" applyAlignment="1">
      <alignment vertical="center"/>
    </xf>
    <xf numFmtId="0" fontId="3" fillId="0" borderId="0" xfId="2" applyAlignment="1">
      <alignment vertical="center"/>
    </xf>
    <xf numFmtId="164" fontId="7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right" vertical="center" wrapText="1" indent="1"/>
    </xf>
    <xf numFmtId="0" fontId="7" fillId="0" borderId="1" xfId="2" applyFont="1" applyBorder="1" applyAlignment="1">
      <alignment horizontal="left" vertical="center" wrapText="1" indent="1"/>
    </xf>
    <xf numFmtId="0" fontId="11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right" vertical="center" wrapText="1" indent="1"/>
    </xf>
    <xf numFmtId="0" fontId="18" fillId="0" borderId="0" xfId="2" applyFont="1" applyAlignment="1">
      <alignment vertical="center"/>
    </xf>
    <xf numFmtId="1" fontId="13" fillId="0" borderId="0" xfId="3" applyNumberFormat="1" applyFont="1" applyAlignment="1">
      <alignment horizontal="center" vertical="center"/>
    </xf>
    <xf numFmtId="1" fontId="13" fillId="0" borderId="0" xfId="3" applyNumberFormat="1" applyFont="1" applyAlignment="1">
      <alignment horizontal="right" vertical="center" indent="1"/>
    </xf>
    <xf numFmtId="2" fontId="13" fillId="0" borderId="0" xfId="3" applyNumberFormat="1" applyFont="1" applyAlignment="1">
      <alignment horizontal="center" vertical="center"/>
    </xf>
    <xf numFmtId="1" fontId="11" fillId="0" borderId="0" xfId="2" applyNumberFormat="1" applyFont="1" applyAlignment="1">
      <alignment horizontal="left" vertical="center" wrapText="1" inden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vertical="center"/>
    </xf>
    <xf numFmtId="0" fontId="20" fillId="0" borderId="0" xfId="2" applyFont="1" applyAlignment="1">
      <alignment vertical="center"/>
    </xf>
    <xf numFmtId="0" fontId="2" fillId="0" borderId="0" xfId="2" applyFont="1" applyAlignment="1">
      <alignment vertical="center" wrapText="1"/>
    </xf>
    <xf numFmtId="0" fontId="21" fillId="0" borderId="0" xfId="2" applyFont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2" fillId="7" borderId="0" xfId="2" applyFont="1" applyFill="1" applyAlignment="1">
      <alignment horizontal="center" vertical="center" wrapText="1"/>
    </xf>
    <xf numFmtId="0" fontId="3" fillId="0" borderId="0" xfId="2" applyAlignment="1">
      <alignment horizontal="center"/>
    </xf>
    <xf numFmtId="164" fontId="9" fillId="7" borderId="1" xfId="2" applyNumberFormat="1" applyFont="1" applyFill="1" applyBorder="1" applyAlignment="1">
      <alignment horizontal="center" vertical="center" wrapText="1"/>
    </xf>
    <xf numFmtId="164" fontId="9" fillId="7" borderId="1" xfId="2" applyNumberFormat="1" applyFont="1" applyFill="1" applyBorder="1" applyAlignment="1">
      <alignment horizontal="right" vertical="center" wrapText="1" indent="1" readingOrder="2"/>
    </xf>
    <xf numFmtId="2" fontId="13" fillId="7" borderId="1" xfId="3" applyNumberFormat="1" applyFont="1" applyFill="1" applyBorder="1" applyAlignment="1">
      <alignment horizontal="center" vertical="center"/>
    </xf>
    <xf numFmtId="1" fontId="13" fillId="7" borderId="1" xfId="3" applyNumberFormat="1" applyFont="1" applyFill="1" applyBorder="1" applyAlignment="1">
      <alignment horizontal="center" vertical="center"/>
    </xf>
    <xf numFmtId="164" fontId="7" fillId="7" borderId="1" xfId="2" applyNumberFormat="1" applyFont="1" applyFill="1" applyBorder="1" applyAlignment="1">
      <alignment horizontal="left" vertical="center" wrapText="1" indent="1" readingOrder="1"/>
    </xf>
    <xf numFmtId="0" fontId="12" fillId="7" borderId="0" xfId="3" applyFill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3" fontId="3" fillId="0" borderId="0" xfId="2" applyNumberFormat="1"/>
    <xf numFmtId="3" fontId="3" fillId="0" borderId="0" xfId="2" quotePrefix="1" applyNumberFormat="1"/>
    <xf numFmtId="0" fontId="3" fillId="0" borderId="0" xfId="2" applyAlignment="1">
      <alignment wrapText="1"/>
    </xf>
    <xf numFmtId="0" fontId="3" fillId="0" borderId="0" xfId="2"/>
    <xf numFmtId="0" fontId="3" fillId="0" borderId="0" xfId="2" quotePrefix="1"/>
    <xf numFmtId="167" fontId="3" fillId="0" borderId="0" xfId="2" applyNumberFormat="1"/>
    <xf numFmtId="168" fontId="3" fillId="0" borderId="0" xfId="2" applyNumberFormat="1"/>
    <xf numFmtId="3" fontId="3" fillId="8" borderId="0" xfId="2" applyNumberFormat="1" applyFill="1"/>
    <xf numFmtId="168" fontId="3" fillId="9" borderId="0" xfId="2" applyNumberFormat="1" applyFill="1"/>
    <xf numFmtId="3" fontId="3" fillId="9" borderId="0" xfId="2" applyNumberFormat="1" applyFill="1"/>
    <xf numFmtId="168" fontId="3" fillId="10" borderId="0" xfId="2" applyNumberFormat="1" applyFill="1"/>
    <xf numFmtId="3" fontId="3" fillId="11" borderId="0" xfId="2" applyNumberFormat="1" applyFill="1"/>
    <xf numFmtId="9" fontId="0" fillId="0" borderId="0" xfId="5" applyFont="1"/>
    <xf numFmtId="3" fontId="3" fillId="10" borderId="0" xfId="2" applyNumberFormat="1" applyFill="1"/>
    <xf numFmtId="3" fontId="3" fillId="12" borderId="0" xfId="2" applyNumberFormat="1" applyFill="1"/>
    <xf numFmtId="2" fontId="3" fillId="0" borderId="0" xfId="2" applyNumberFormat="1"/>
    <xf numFmtId="3" fontId="3" fillId="13" borderId="0" xfId="2" applyNumberFormat="1" applyFill="1"/>
    <xf numFmtId="3" fontId="3" fillId="3" borderId="0" xfId="2" applyNumberFormat="1" applyFill="1"/>
    <xf numFmtId="0" fontId="23" fillId="14" borderId="1" xfId="2" applyFont="1" applyFill="1" applyBorder="1" applyAlignment="1">
      <alignment horizontal="center" wrapText="1"/>
    </xf>
    <xf numFmtId="0" fontId="24" fillId="15" borderId="1" xfId="2" applyFont="1" applyFill="1" applyBorder="1"/>
    <xf numFmtId="3" fontId="24" fillId="15" borderId="1" xfId="2" applyNumberFormat="1" applyFont="1" applyFill="1" applyBorder="1" applyAlignment="1">
      <alignment horizontal="right"/>
    </xf>
    <xf numFmtId="3" fontId="24" fillId="15" borderId="1" xfId="2" applyNumberFormat="1" applyFont="1" applyFill="1" applyBorder="1" applyAlignment="1">
      <alignment horizontal="center"/>
    </xf>
    <xf numFmtId="10" fontId="25" fillId="2" borderId="1" xfId="2" applyNumberFormat="1" applyFont="1" applyFill="1" applyBorder="1" applyAlignment="1">
      <alignment horizontal="right"/>
    </xf>
    <xf numFmtId="0" fontId="24" fillId="15" borderId="1" xfId="2" applyFont="1" applyFill="1" applyBorder="1" applyAlignment="1">
      <alignment vertical="top" wrapText="1"/>
    </xf>
    <xf numFmtId="0" fontId="24" fillId="16" borderId="1" xfId="2" applyFont="1" applyFill="1" applyBorder="1"/>
    <xf numFmtId="3" fontId="24" fillId="16" borderId="1" xfId="2" applyNumberFormat="1" applyFont="1" applyFill="1" applyBorder="1" applyAlignment="1">
      <alignment horizontal="right"/>
    </xf>
    <xf numFmtId="3" fontId="24" fillId="16" borderId="1" xfId="2" applyNumberFormat="1" applyFont="1" applyFill="1" applyBorder="1" applyAlignment="1">
      <alignment horizontal="center"/>
    </xf>
    <xf numFmtId="0" fontId="24" fillId="16" borderId="1" xfId="2" applyFont="1" applyFill="1" applyBorder="1" applyAlignment="1">
      <alignment vertical="top" wrapText="1"/>
    </xf>
    <xf numFmtId="0" fontId="24" fillId="17" borderId="1" xfId="2" applyFont="1" applyFill="1" applyBorder="1"/>
    <xf numFmtId="3" fontId="24" fillId="17" borderId="1" xfId="2" applyNumberFormat="1" applyFont="1" applyFill="1" applyBorder="1" applyAlignment="1">
      <alignment horizontal="right"/>
    </xf>
    <xf numFmtId="3" fontId="24" fillId="17" borderId="1" xfId="2" applyNumberFormat="1" applyFont="1" applyFill="1" applyBorder="1" applyAlignment="1">
      <alignment horizontal="center"/>
    </xf>
    <xf numFmtId="0" fontId="24" fillId="17" borderId="1" xfId="2" applyFont="1" applyFill="1" applyBorder="1" applyAlignment="1">
      <alignment vertical="top" wrapText="1"/>
    </xf>
    <xf numFmtId="10" fontId="25" fillId="3" borderId="1" xfId="2" applyNumberFormat="1" applyFont="1" applyFill="1" applyBorder="1" applyAlignment="1">
      <alignment horizontal="right"/>
    </xf>
    <xf numFmtId="0" fontId="14" fillId="18" borderId="1" xfId="2" applyFont="1" applyFill="1" applyBorder="1"/>
    <xf numFmtId="3" fontId="14" fillId="18" borderId="1" xfId="2" applyNumberFormat="1" applyFont="1" applyFill="1" applyBorder="1" applyAlignment="1">
      <alignment horizontal="right"/>
    </xf>
    <xf numFmtId="3" fontId="14" fillId="18" borderId="1" xfId="2" applyNumberFormat="1" applyFont="1" applyFill="1" applyBorder="1" applyAlignment="1">
      <alignment horizontal="center"/>
    </xf>
    <xf numFmtId="0" fontId="3" fillId="18" borderId="1" xfId="2" applyFill="1" applyBorder="1"/>
    <xf numFmtId="0" fontId="26" fillId="18" borderId="1" xfId="2" applyFont="1" applyFill="1" applyBorder="1"/>
    <xf numFmtId="3" fontId="3" fillId="0" borderId="0" xfId="2" applyNumberFormat="1" applyAlignment="1">
      <alignment horizontal="center"/>
    </xf>
    <xf numFmtId="0" fontId="14" fillId="0" borderId="0" xfId="2" applyFont="1"/>
    <xf numFmtId="3" fontId="24" fillId="16" borderId="1" xfId="2" applyNumberFormat="1" applyFont="1" applyFill="1" applyBorder="1" applyAlignment="1">
      <alignment horizontal="right" wrapText="1"/>
    </xf>
    <xf numFmtId="3" fontId="24" fillId="15" borderId="1" xfId="2" applyNumberFormat="1" applyFont="1" applyFill="1" applyBorder="1" applyAlignment="1">
      <alignment horizontal="right" wrapText="1"/>
    </xf>
    <xf numFmtId="3" fontId="24" fillId="17" borderId="1" xfId="2" applyNumberFormat="1" applyFont="1" applyFill="1" applyBorder="1" applyAlignment="1">
      <alignment horizontal="right" wrapText="1"/>
    </xf>
    <xf numFmtId="10" fontId="27" fillId="2" borderId="1" xfId="2" applyNumberFormat="1" applyFont="1" applyFill="1" applyBorder="1" applyAlignment="1">
      <alignment horizontal="right" wrapText="1"/>
    </xf>
    <xf numFmtId="0" fontId="3" fillId="0" borderId="0" xfId="2" applyAlignment="1">
      <alignment horizontal="center" wrapText="1"/>
    </xf>
    <xf numFmtId="0" fontId="28" fillId="0" borderId="0" xfId="2" applyFont="1"/>
    <xf numFmtId="0" fontId="1" fillId="0" borderId="0" xfId="2" applyFont="1"/>
    <xf numFmtId="2" fontId="1" fillId="7" borderId="0" xfId="2" applyNumberFormat="1" applyFont="1" applyFill="1" applyAlignment="1">
      <alignment horizontal="center" vertical="center"/>
    </xf>
    <xf numFmtId="2" fontId="1" fillId="0" borderId="0" xfId="2" applyNumberFormat="1" applyFont="1" applyAlignment="1">
      <alignment horizontal="center" vertical="center"/>
    </xf>
    <xf numFmtId="2" fontId="1" fillId="0" borderId="0" xfId="2" applyNumberFormat="1" applyFont="1"/>
    <xf numFmtId="0" fontId="29" fillId="0" borderId="0" xfId="2" applyFont="1"/>
    <xf numFmtId="0" fontId="2" fillId="7" borderId="1" xfId="2" applyFont="1" applyFill="1" applyBorder="1" applyAlignment="1">
      <alignment horizontal="center" wrapText="1"/>
    </xf>
    <xf numFmtId="0" fontId="1" fillId="7" borderId="0" xfId="2" applyFont="1" applyFill="1"/>
    <xf numFmtId="0" fontId="1" fillId="0" borderId="1" xfId="3" applyFont="1" applyBorder="1"/>
    <xf numFmtId="2" fontId="2" fillId="0" borderId="1" xfId="3" applyNumberFormat="1" applyFont="1" applyBorder="1" applyAlignment="1">
      <alignment horizontal="center" vertical="center"/>
    </xf>
    <xf numFmtId="9" fontId="1" fillId="19" borderId="1" xfId="5" applyFont="1" applyFill="1" applyBorder="1" applyAlignment="1">
      <alignment horizontal="center"/>
    </xf>
    <xf numFmtId="0" fontId="1" fillId="0" borderId="0" xfId="3" applyFont="1"/>
    <xf numFmtId="1" fontId="2" fillId="0" borderId="1" xfId="3" applyNumberFormat="1" applyFont="1" applyBorder="1" applyAlignment="1">
      <alignment horizontal="center" vertical="center"/>
    </xf>
    <xf numFmtId="1" fontId="2" fillId="5" borderId="1" xfId="3" applyNumberFormat="1" applyFont="1" applyFill="1" applyBorder="1" applyAlignment="1">
      <alignment horizontal="center" vertical="center"/>
    </xf>
    <xf numFmtId="0" fontId="1" fillId="5" borderId="1" xfId="3" applyFont="1" applyFill="1" applyBorder="1"/>
    <xf numFmtId="0" fontId="1" fillId="3" borderId="1" xfId="3" applyFont="1" applyFill="1" applyBorder="1"/>
    <xf numFmtId="1" fontId="2" fillId="3" borderId="1" xfId="3" applyNumberFormat="1" applyFont="1" applyFill="1" applyBorder="1" applyAlignment="1">
      <alignment horizontal="center" vertical="center"/>
    </xf>
    <xf numFmtId="0" fontId="30" fillId="18" borderId="1" xfId="2" applyFont="1" applyFill="1" applyBorder="1"/>
    <xf numFmtId="3" fontId="30" fillId="18" borderId="1" xfId="2" applyNumberFormat="1" applyFont="1" applyFill="1" applyBorder="1" applyAlignment="1">
      <alignment horizontal="right"/>
    </xf>
    <xf numFmtId="1" fontId="2" fillId="4" borderId="1" xfId="3" applyNumberFormat="1" applyFont="1" applyFill="1" applyBorder="1" applyAlignment="1">
      <alignment horizontal="center" vertical="center"/>
    </xf>
    <xf numFmtId="3" fontId="1" fillId="0" borderId="0" xfId="2" applyNumberFormat="1" applyFont="1"/>
    <xf numFmtId="3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9" fontId="1" fillId="0" borderId="0" xfId="5" applyFont="1"/>
    <xf numFmtId="9" fontId="1" fillId="20" borderId="0" xfId="5" applyFont="1" applyFill="1" applyAlignment="1">
      <alignment horizontal="center" vertical="center"/>
    </xf>
    <xf numFmtId="9" fontId="1" fillId="0" borderId="0" xfId="5" applyFont="1" applyAlignment="1">
      <alignment horizontal="center" vertical="center"/>
    </xf>
    <xf numFmtId="9" fontId="1" fillId="0" borderId="0" xfId="5" applyFont="1" applyFill="1" applyBorder="1"/>
    <xf numFmtId="2" fontId="1" fillId="3" borderId="0" xfId="2" applyNumberFormat="1" applyFont="1" applyFill="1" applyAlignment="1">
      <alignment horizontal="left"/>
    </xf>
    <xf numFmtId="0" fontId="1" fillId="3" borderId="0" xfId="2" applyFont="1" applyFill="1"/>
    <xf numFmtId="0" fontId="2" fillId="3" borderId="0" xfId="2" applyFont="1" applyFill="1" applyAlignment="1">
      <alignment horizontal="center"/>
    </xf>
    <xf numFmtId="2" fontId="1" fillId="0" borderId="0" xfId="2" applyNumberFormat="1" applyFont="1" applyAlignment="1">
      <alignment horizontal="right"/>
    </xf>
    <xf numFmtId="3" fontId="1" fillId="9" borderId="0" xfId="2" applyNumberFormat="1" applyFont="1" applyFill="1"/>
    <xf numFmtId="2" fontId="1" fillId="0" borderId="0" xfId="2" quotePrefix="1" applyNumberFormat="1" applyFont="1" applyAlignment="1">
      <alignment horizontal="right"/>
    </xf>
    <xf numFmtId="9" fontId="1" fillId="0" borderId="0" xfId="5" quotePrefix="1" applyFont="1"/>
    <xf numFmtId="0" fontId="1" fillId="0" borderId="0" xfId="2" applyFont="1" applyAlignment="1">
      <alignment horizontal="right"/>
    </xf>
    <xf numFmtId="1" fontId="2" fillId="4" borderId="2" xfId="3" applyNumberFormat="1" applyFont="1" applyFill="1" applyBorder="1" applyAlignment="1">
      <alignment vertical="center"/>
    </xf>
    <xf numFmtId="0" fontId="32" fillId="0" borderId="0" xfId="2" applyFont="1"/>
    <xf numFmtId="2" fontId="33" fillId="0" borderId="0" xfId="2" applyNumberFormat="1" applyFont="1" applyAlignment="1">
      <alignment horizontal="center" vertical="center" wrapText="1" shrinkToFit="1"/>
    </xf>
    <xf numFmtId="0" fontId="33" fillId="0" borderId="0" xfId="2" applyFont="1" applyAlignment="1">
      <alignment horizontal="center" vertical="center" wrapText="1" shrinkToFit="1"/>
    </xf>
    <xf numFmtId="0" fontId="33" fillId="3" borderId="0" xfId="2" applyFont="1" applyFill="1" applyAlignment="1">
      <alignment horizontal="center" vertical="center" wrapText="1" shrinkToFit="1"/>
    </xf>
    <xf numFmtId="0" fontId="33" fillId="4" borderId="0" xfId="2" applyFont="1" applyFill="1" applyAlignment="1">
      <alignment horizontal="center" vertical="center" wrapText="1" shrinkToFit="1"/>
    </xf>
    <xf numFmtId="2" fontId="2" fillId="0" borderId="0" xfId="3" applyNumberFormat="1" applyFont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1" fontId="2" fillId="3" borderId="0" xfId="3" applyNumberFormat="1" applyFont="1" applyFill="1" applyAlignment="1">
      <alignment horizontal="center" vertical="center"/>
    </xf>
    <xf numFmtId="1" fontId="2" fillId="4" borderId="0" xfId="3" applyNumberFormat="1" applyFont="1" applyFill="1" applyAlignment="1">
      <alignment horizontal="center" vertical="center"/>
    </xf>
    <xf numFmtId="3" fontId="1" fillId="7" borderId="0" xfId="2" quotePrefix="1" applyNumberFormat="1" applyFont="1" applyFill="1"/>
    <xf numFmtId="3" fontId="1" fillId="0" borderId="0" xfId="2" quotePrefix="1" applyNumberFormat="1" applyFont="1"/>
    <xf numFmtId="10" fontId="1" fillId="0" borderId="0" xfId="2" quotePrefix="1" applyNumberFormat="1" applyFont="1"/>
    <xf numFmtId="10" fontId="1" fillId="0" borderId="0" xfId="2" applyNumberFormat="1" applyFont="1"/>
    <xf numFmtId="9" fontId="1" fillId="0" borderId="0" xfId="2" applyNumberFormat="1" applyFont="1"/>
    <xf numFmtId="0" fontId="29" fillId="0" borderId="0" xfId="2" applyFont="1" applyAlignment="1">
      <alignment horizontal="left"/>
    </xf>
    <xf numFmtId="2" fontId="29" fillId="0" borderId="0" xfId="2" applyNumberFormat="1" applyFont="1"/>
    <xf numFmtId="0" fontId="1" fillId="7" borderId="0" xfId="2" applyFont="1" applyFill="1" applyAlignment="1">
      <alignment horizontal="left"/>
    </xf>
    <xf numFmtId="10" fontId="1" fillId="0" borderId="0" xfId="5" applyNumberFormat="1" applyFont="1"/>
    <xf numFmtId="3" fontId="1" fillId="11" borderId="0" xfId="2" applyNumberFormat="1" applyFont="1" applyFill="1"/>
    <xf numFmtId="0" fontId="1" fillId="0" borderId="0" xfId="2" applyFont="1" applyAlignment="1">
      <alignment horizontal="left"/>
    </xf>
    <xf numFmtId="0" fontId="1" fillId="21" borderId="0" xfId="2" applyFont="1" applyFill="1"/>
    <xf numFmtId="0" fontId="14" fillId="16" borderId="1" xfId="2" applyFont="1" applyFill="1" applyBorder="1" applyAlignment="1">
      <alignment horizontal="center"/>
    </xf>
    <xf numFmtId="169" fontId="34" fillId="16" borderId="1" xfId="2" applyNumberFormat="1" applyFont="1" applyFill="1" applyBorder="1" applyAlignment="1">
      <alignment horizontal="right"/>
    </xf>
    <xf numFmtId="0" fontId="35" fillId="16" borderId="1" xfId="2" applyFont="1" applyFill="1" applyBorder="1" applyAlignment="1">
      <alignment vertical="top" wrapText="1"/>
    </xf>
    <xf numFmtId="0" fontId="14" fillId="17" borderId="1" xfId="2" applyFont="1" applyFill="1" applyBorder="1" applyAlignment="1">
      <alignment horizontal="center"/>
    </xf>
    <xf numFmtId="169" fontId="34" fillId="17" borderId="1" xfId="2" applyNumberFormat="1" applyFont="1" applyFill="1" applyBorder="1" applyAlignment="1">
      <alignment horizontal="right"/>
    </xf>
    <xf numFmtId="0" fontId="35" fillId="17" borderId="1" xfId="2" applyFont="1" applyFill="1" applyBorder="1" applyAlignment="1">
      <alignment vertical="top" wrapText="1"/>
    </xf>
    <xf numFmtId="0" fontId="14" fillId="0" borderId="0" xfId="2" applyFont="1" applyAlignment="1">
      <alignment wrapText="1"/>
    </xf>
    <xf numFmtId="0" fontId="24" fillId="16" borderId="1" xfId="2" applyFont="1" applyFill="1" applyBorder="1" applyAlignment="1">
      <alignment wrapText="1"/>
    </xf>
    <xf numFmtId="0" fontId="24" fillId="17" borderId="1" xfId="2" applyFont="1" applyFill="1" applyBorder="1" applyAlignment="1">
      <alignment wrapText="1"/>
    </xf>
    <xf numFmtId="0" fontId="24" fillId="0" borderId="1" xfId="2" applyFont="1" applyBorder="1" applyAlignment="1">
      <alignment wrapText="1"/>
    </xf>
    <xf numFmtId="0" fontId="0" fillId="0" borderId="0" xfId="0" applyAlignment="1">
      <alignment horizontal="left"/>
    </xf>
    <xf numFmtId="1" fontId="22" fillId="0" borderId="0" xfId="2" applyNumberFormat="1" applyFont="1" applyAlignment="1">
      <alignment vertical="center"/>
    </xf>
    <xf numFmtId="0" fontId="22" fillId="0" borderId="0" xfId="2" applyFont="1" applyAlignment="1">
      <alignment vertical="center"/>
    </xf>
    <xf numFmtId="1" fontId="37" fillId="0" borderId="0" xfId="2" applyNumberFormat="1" applyFont="1" applyAlignment="1">
      <alignment vertical="center"/>
    </xf>
    <xf numFmtId="9" fontId="5" fillId="0" borderId="0" xfId="2" applyNumberFormat="1" applyFont="1" applyAlignment="1">
      <alignment vertical="center"/>
    </xf>
    <xf numFmtId="0" fontId="36" fillId="0" borderId="0" xfId="2" applyFont="1" applyAlignment="1">
      <alignment vertical="center"/>
    </xf>
    <xf numFmtId="49" fontId="36" fillId="0" borderId="0" xfId="2" applyNumberFormat="1" applyFont="1" applyAlignment="1">
      <alignment vertical="center"/>
    </xf>
    <xf numFmtId="49" fontId="22" fillId="0" borderId="0" xfId="6" applyNumberFormat="1" applyFont="1" applyAlignment="1">
      <alignment vertical="center"/>
    </xf>
    <xf numFmtId="0" fontId="38" fillId="22" borderId="6" xfId="2" applyFont="1" applyFill="1" applyBorder="1" applyAlignment="1">
      <alignment horizontal="center" vertical="center" wrapText="1"/>
    </xf>
    <xf numFmtId="0" fontId="24" fillId="23" borderId="6" xfId="2" applyFont="1" applyFill="1" applyBorder="1" applyAlignment="1">
      <alignment vertical="center"/>
    </xf>
    <xf numFmtId="0" fontId="24" fillId="23" borderId="6" xfId="2" applyFont="1" applyFill="1" applyBorder="1" applyAlignment="1">
      <alignment vertical="center" wrapText="1"/>
    </xf>
    <xf numFmtId="0" fontId="14" fillId="23" borderId="6" xfId="2" applyFont="1" applyFill="1" applyBorder="1" applyAlignment="1">
      <alignment horizontal="center" vertical="center"/>
    </xf>
    <xf numFmtId="0" fontId="24" fillId="24" borderId="6" xfId="2" applyFont="1" applyFill="1" applyBorder="1" applyAlignment="1">
      <alignment vertical="center"/>
    </xf>
    <xf numFmtId="0" fontId="24" fillId="24" borderId="6" xfId="2" applyFont="1" applyFill="1" applyBorder="1" applyAlignment="1">
      <alignment vertical="center" wrapText="1"/>
    </xf>
    <xf numFmtId="0" fontId="14" fillId="24" borderId="6" xfId="2" applyFont="1" applyFill="1" applyBorder="1" applyAlignment="1">
      <alignment horizontal="center" vertical="center"/>
    </xf>
    <xf numFmtId="0" fontId="24" fillId="25" borderId="6" xfId="2" applyFont="1" applyFill="1" applyBorder="1" applyAlignment="1">
      <alignment vertical="center"/>
    </xf>
    <xf numFmtId="0" fontId="24" fillId="25" borderId="6" xfId="2" applyFont="1" applyFill="1" applyBorder="1" applyAlignment="1">
      <alignment vertical="center" wrapText="1"/>
    </xf>
    <xf numFmtId="0" fontId="14" fillId="25" borderId="6" xfId="2" applyFont="1" applyFill="1" applyBorder="1" applyAlignment="1">
      <alignment horizontal="center" vertical="center"/>
    </xf>
    <xf numFmtId="0" fontId="24" fillId="26" borderId="6" xfId="2" applyFont="1" applyFill="1" applyBorder="1" applyAlignment="1">
      <alignment vertical="center"/>
    </xf>
    <xf numFmtId="0" fontId="24" fillId="26" borderId="6" xfId="2" applyFont="1" applyFill="1" applyBorder="1" applyAlignment="1">
      <alignment vertical="center" wrapText="1"/>
    </xf>
    <xf numFmtId="0" fontId="14" fillId="26" borderId="6" xfId="2" applyFont="1" applyFill="1" applyBorder="1" applyAlignment="1">
      <alignment horizontal="center" vertical="center"/>
    </xf>
    <xf numFmtId="0" fontId="24" fillId="27" borderId="6" xfId="2" applyFont="1" applyFill="1" applyBorder="1" applyAlignment="1">
      <alignment vertical="center"/>
    </xf>
    <xf numFmtId="0" fontId="24" fillId="27" borderId="6" xfId="2" applyFont="1" applyFill="1" applyBorder="1" applyAlignment="1">
      <alignment vertical="center" wrapText="1"/>
    </xf>
    <xf numFmtId="0" fontId="14" fillId="27" borderId="6" xfId="2" applyFont="1" applyFill="1" applyBorder="1" applyAlignment="1">
      <alignment horizontal="center" vertical="center"/>
    </xf>
    <xf numFmtId="0" fontId="24" fillId="28" borderId="6" xfId="2" applyFont="1" applyFill="1" applyBorder="1" applyAlignment="1">
      <alignment vertical="center"/>
    </xf>
    <xf numFmtId="0" fontId="24" fillId="28" borderId="6" xfId="2" applyFont="1" applyFill="1" applyBorder="1" applyAlignment="1">
      <alignment vertical="center" wrapText="1"/>
    </xf>
    <xf numFmtId="0" fontId="14" fillId="28" borderId="6" xfId="2" applyFont="1" applyFill="1" applyBorder="1" applyAlignment="1">
      <alignment horizontal="center" vertical="center"/>
    </xf>
    <xf numFmtId="0" fontId="24" fillId="29" borderId="6" xfId="2" applyFont="1" applyFill="1" applyBorder="1" applyAlignment="1">
      <alignment vertical="center"/>
    </xf>
    <xf numFmtId="0" fontId="24" fillId="29" borderId="6" xfId="2" applyFont="1" applyFill="1" applyBorder="1" applyAlignment="1">
      <alignment vertical="center" wrapText="1"/>
    </xf>
    <xf numFmtId="0" fontId="14" fillId="29" borderId="6" xfId="2" applyFont="1" applyFill="1" applyBorder="1" applyAlignment="1">
      <alignment horizontal="center" vertical="center"/>
    </xf>
    <xf numFmtId="0" fontId="24" fillId="30" borderId="6" xfId="2" applyFont="1" applyFill="1" applyBorder="1" applyAlignment="1">
      <alignment vertical="center"/>
    </xf>
    <xf numFmtId="0" fontId="24" fillId="30" borderId="6" xfId="2" applyFont="1" applyFill="1" applyBorder="1" applyAlignment="1">
      <alignment vertical="center" wrapText="1"/>
    </xf>
    <xf numFmtId="0" fontId="14" fillId="30" borderId="6" xfId="2" applyFont="1" applyFill="1" applyBorder="1" applyAlignment="1">
      <alignment horizontal="center" vertical="center"/>
    </xf>
    <xf numFmtId="0" fontId="24" fillId="31" borderId="6" xfId="2" applyFont="1" applyFill="1" applyBorder="1" applyAlignment="1">
      <alignment vertical="center"/>
    </xf>
    <xf numFmtId="0" fontId="24" fillId="31" borderId="6" xfId="2" applyFont="1" applyFill="1" applyBorder="1" applyAlignment="1">
      <alignment vertical="center" wrapText="1"/>
    </xf>
    <xf numFmtId="0" fontId="14" fillId="31" borderId="6" xfId="2" applyFont="1" applyFill="1" applyBorder="1" applyAlignment="1">
      <alignment horizontal="center" vertical="center"/>
    </xf>
    <xf numFmtId="0" fontId="24" fillId="32" borderId="6" xfId="2" applyFont="1" applyFill="1" applyBorder="1" applyAlignment="1">
      <alignment vertical="center"/>
    </xf>
    <xf numFmtId="0" fontId="24" fillId="32" borderId="6" xfId="2" applyFont="1" applyFill="1" applyBorder="1" applyAlignment="1">
      <alignment vertical="center" wrapText="1"/>
    </xf>
    <xf numFmtId="0" fontId="14" fillId="32" borderId="6" xfId="2" applyFont="1" applyFill="1" applyBorder="1" applyAlignment="1">
      <alignment horizontal="center" vertical="center"/>
    </xf>
    <xf numFmtId="0" fontId="24" fillId="33" borderId="6" xfId="2" applyFont="1" applyFill="1" applyBorder="1" applyAlignment="1">
      <alignment vertical="center"/>
    </xf>
    <xf numFmtId="0" fontId="24" fillId="33" borderId="6" xfId="2" applyFont="1" applyFill="1" applyBorder="1" applyAlignment="1">
      <alignment vertical="center" wrapText="1"/>
    </xf>
    <xf numFmtId="0" fontId="14" fillId="33" borderId="6" xfId="2" applyFont="1" applyFill="1" applyBorder="1" applyAlignment="1">
      <alignment horizontal="center" vertical="center"/>
    </xf>
    <xf numFmtId="0" fontId="23" fillId="22" borderId="6" xfId="2" applyFont="1" applyFill="1" applyBorder="1" applyAlignment="1">
      <alignment vertical="center" wrapText="1"/>
    </xf>
    <xf numFmtId="0" fontId="23" fillId="22" borderId="6" xfId="2" applyFont="1" applyFill="1" applyBorder="1" applyAlignment="1">
      <alignment horizontal="center" vertical="center" wrapText="1"/>
    </xf>
    <xf numFmtId="0" fontId="24" fillId="23" borderId="6" xfId="2" applyFont="1" applyFill="1" applyBorder="1" applyAlignment="1">
      <alignment horizontal="center" vertical="center" wrapText="1"/>
    </xf>
    <xf numFmtId="0" fontId="24" fillId="25" borderId="6" xfId="2" applyFont="1" applyFill="1" applyBorder="1" applyAlignment="1">
      <alignment horizontal="center" vertical="center" wrapText="1"/>
    </xf>
    <xf numFmtId="0" fontId="24" fillId="29" borderId="6" xfId="2" applyFont="1" applyFill="1" applyBorder="1" applyAlignment="1">
      <alignment horizontal="center" vertical="center" wrapText="1"/>
    </xf>
    <xf numFmtId="0" fontId="24" fillId="26" borderId="6" xfId="2" applyFont="1" applyFill="1" applyBorder="1" applyAlignment="1">
      <alignment horizontal="center" vertical="center" wrapText="1"/>
    </xf>
    <xf numFmtId="0" fontId="24" fillId="27" borderId="6" xfId="2" applyFont="1" applyFill="1" applyBorder="1" applyAlignment="1">
      <alignment horizontal="center" vertical="center" wrapText="1"/>
    </xf>
    <xf numFmtId="0" fontId="24" fillId="24" borderId="6" xfId="2" applyFont="1" applyFill="1" applyBorder="1" applyAlignment="1">
      <alignment horizontal="center" vertical="center" wrapText="1"/>
    </xf>
    <xf numFmtId="0" fontId="24" fillId="32" borderId="6" xfId="2" applyFont="1" applyFill="1" applyBorder="1" applyAlignment="1">
      <alignment horizontal="center" vertical="center" wrapText="1"/>
    </xf>
    <xf numFmtId="0" fontId="24" fillId="31" borderId="6" xfId="2" applyFont="1" applyFill="1" applyBorder="1" applyAlignment="1">
      <alignment horizontal="center" vertical="center" wrapText="1"/>
    </xf>
    <xf numFmtId="0" fontId="24" fillId="28" borderId="6" xfId="2" applyFont="1" applyFill="1" applyBorder="1" applyAlignment="1">
      <alignment horizontal="center" vertical="center" wrapText="1"/>
    </xf>
    <xf numFmtId="0" fontId="24" fillId="30" borderId="6" xfId="2" applyFont="1" applyFill="1" applyBorder="1" applyAlignment="1">
      <alignment horizontal="center" vertical="center" wrapText="1"/>
    </xf>
    <xf numFmtId="0" fontId="24" fillId="33" borderId="6" xfId="2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0" fontId="39" fillId="0" borderId="0" xfId="2" applyFont="1"/>
    <xf numFmtId="0" fontId="38" fillId="22" borderId="6" xfId="0" applyFont="1" applyFill="1" applyBorder="1" applyAlignment="1">
      <alignment horizontal="left" vertical="center" wrapText="1"/>
    </xf>
    <xf numFmtId="0" fontId="24" fillId="23" borderId="6" xfId="0" applyFont="1" applyFill="1" applyBorder="1" applyAlignment="1">
      <alignment horizontal="left" vertical="center"/>
    </xf>
    <xf numFmtId="0" fontId="24" fillId="24" borderId="6" xfId="0" applyFont="1" applyFill="1" applyBorder="1" applyAlignment="1">
      <alignment horizontal="left" vertical="center"/>
    </xf>
    <xf numFmtId="0" fontId="24" fillId="25" borderId="6" xfId="0" applyFont="1" applyFill="1" applyBorder="1" applyAlignment="1">
      <alignment horizontal="left" vertical="center"/>
    </xf>
    <xf numFmtId="0" fontId="24" fillId="26" borderId="6" xfId="0" applyFont="1" applyFill="1" applyBorder="1" applyAlignment="1">
      <alignment horizontal="left" vertical="center"/>
    </xf>
    <xf numFmtId="0" fontId="24" fillId="27" borderId="6" xfId="0" applyFont="1" applyFill="1" applyBorder="1" applyAlignment="1">
      <alignment horizontal="left" vertical="center"/>
    </xf>
    <xf numFmtId="0" fontId="24" fillId="28" borderId="6" xfId="0" applyFont="1" applyFill="1" applyBorder="1" applyAlignment="1">
      <alignment horizontal="left" vertical="center"/>
    </xf>
    <xf numFmtId="0" fontId="24" fillId="29" borderId="6" xfId="0" applyFont="1" applyFill="1" applyBorder="1" applyAlignment="1">
      <alignment horizontal="left" vertical="center"/>
    </xf>
    <xf numFmtId="0" fontId="24" fillId="30" borderId="6" xfId="0" applyFont="1" applyFill="1" applyBorder="1" applyAlignment="1">
      <alignment horizontal="left" vertical="center"/>
    </xf>
    <xf numFmtId="0" fontId="24" fillId="31" borderId="6" xfId="0" applyFont="1" applyFill="1" applyBorder="1" applyAlignment="1">
      <alignment horizontal="left" vertical="center"/>
    </xf>
    <xf numFmtId="0" fontId="24" fillId="32" borderId="6" xfId="0" applyFont="1" applyFill="1" applyBorder="1" applyAlignment="1">
      <alignment horizontal="left" vertical="center"/>
    </xf>
    <xf numFmtId="0" fontId="24" fillId="33" borderId="6" xfId="0" applyFont="1" applyFill="1" applyBorder="1" applyAlignment="1">
      <alignment horizontal="left" vertical="center"/>
    </xf>
    <xf numFmtId="0" fontId="24" fillId="34" borderId="6" xfId="2" applyFont="1" applyFill="1" applyBorder="1" applyAlignment="1">
      <alignment horizontal="left" vertical="center" wrapText="1"/>
    </xf>
    <xf numFmtId="0" fontId="24" fillId="34" borderId="6" xfId="2" applyFont="1" applyFill="1" applyBorder="1" applyAlignment="1">
      <alignment vertical="center" wrapText="1"/>
    </xf>
    <xf numFmtId="0" fontId="23" fillId="14" borderId="6" xfId="2" applyFont="1" applyFill="1" applyBorder="1" applyAlignment="1">
      <alignment horizontal="center" vertical="center" wrapText="1"/>
    </xf>
    <xf numFmtId="0" fontId="24" fillId="35" borderId="6" xfId="2" applyFont="1" applyFill="1" applyBorder="1" applyAlignment="1">
      <alignment horizontal="center" vertical="center" wrapText="1"/>
    </xf>
    <xf numFmtId="0" fontId="24" fillId="35" borderId="6" xfId="2" applyFont="1" applyFill="1" applyBorder="1" applyAlignment="1">
      <alignment horizontal="left" vertical="center" wrapText="1"/>
    </xf>
    <xf numFmtId="0" fontId="24" fillId="36" borderId="6" xfId="2" applyFont="1" applyFill="1" applyBorder="1" applyAlignment="1">
      <alignment horizontal="center" vertical="center" wrapText="1"/>
    </xf>
    <xf numFmtId="0" fontId="24" fillId="36" borderId="6" xfId="2" applyFont="1" applyFill="1" applyBorder="1" applyAlignment="1">
      <alignment horizontal="left" vertical="center" wrapText="1"/>
    </xf>
    <xf numFmtId="0" fontId="35" fillId="16" borderId="1" xfId="2" applyFont="1" applyFill="1" applyBorder="1" applyAlignment="1">
      <alignment horizontal="left" vertical="center" wrapText="1"/>
    </xf>
    <xf numFmtId="0" fontId="24" fillId="37" borderId="1" xfId="0" applyFont="1" applyFill="1" applyBorder="1"/>
    <xf numFmtId="0" fontId="35" fillId="16" borderId="1" xfId="2" applyFont="1" applyFill="1" applyBorder="1" applyAlignment="1">
      <alignment vertical="center" wrapText="1"/>
    </xf>
    <xf numFmtId="0" fontId="14" fillId="38" borderId="1" xfId="2" applyFont="1" applyFill="1" applyBorder="1" applyAlignment="1">
      <alignment horizontal="center"/>
    </xf>
    <xf numFmtId="0" fontId="24" fillId="38" borderId="1" xfId="2" applyFont="1" applyFill="1" applyBorder="1"/>
    <xf numFmtId="169" fontId="34" fillId="38" borderId="1" xfId="2" applyNumberFormat="1" applyFont="1" applyFill="1" applyBorder="1" applyAlignment="1">
      <alignment horizontal="right"/>
    </xf>
    <xf numFmtId="0" fontId="35" fillId="38" borderId="1" xfId="2" applyFont="1" applyFill="1" applyBorder="1" applyAlignment="1">
      <alignment vertical="top" wrapText="1"/>
    </xf>
    <xf numFmtId="0" fontId="44" fillId="7" borderId="9" xfId="2" applyFont="1" applyFill="1" applyBorder="1" applyAlignment="1">
      <alignment horizontal="center" vertical="center" wrapText="1"/>
    </xf>
    <xf numFmtId="0" fontId="45" fillId="19" borderId="9" xfId="2" applyFont="1" applyFill="1" applyBorder="1" applyAlignment="1">
      <alignment horizontal="left" vertical="center" wrapText="1"/>
    </xf>
    <xf numFmtId="3" fontId="45" fillId="19" borderId="9" xfId="2" applyNumberFormat="1" applyFont="1" applyFill="1" applyBorder="1" applyAlignment="1">
      <alignment horizontal="center" vertical="center"/>
    </xf>
    <xf numFmtId="0" fontId="46" fillId="19" borderId="9" xfId="2" applyFont="1" applyFill="1" applyBorder="1" applyAlignment="1">
      <alignment horizontal="left" vertical="center" wrapText="1"/>
    </xf>
    <xf numFmtId="2" fontId="45" fillId="19" borderId="9" xfId="2" applyNumberFormat="1" applyFont="1" applyFill="1" applyBorder="1" applyAlignment="1">
      <alignment horizontal="center" vertical="center"/>
    </xf>
    <xf numFmtId="170" fontId="47" fillId="19" borderId="9" xfId="2" applyNumberFormat="1" applyFont="1" applyFill="1" applyBorder="1" applyAlignment="1">
      <alignment horizontal="center" vertical="center"/>
    </xf>
    <xf numFmtId="170" fontId="48" fillId="19" borderId="9" xfId="2" applyNumberFormat="1" applyFont="1" applyFill="1" applyBorder="1" applyAlignment="1">
      <alignment horizontal="center" vertical="center"/>
    </xf>
    <xf numFmtId="170" fontId="49" fillId="19" borderId="9" xfId="2" applyNumberFormat="1" applyFont="1" applyFill="1" applyBorder="1" applyAlignment="1">
      <alignment horizontal="center" vertical="center"/>
    </xf>
    <xf numFmtId="170" fontId="45" fillId="19" borderId="9" xfId="2" applyNumberFormat="1" applyFont="1" applyFill="1" applyBorder="1" applyAlignment="1">
      <alignment horizontal="center" vertical="center"/>
    </xf>
    <xf numFmtId="0" fontId="45" fillId="39" borderId="9" xfId="2" applyFont="1" applyFill="1" applyBorder="1" applyAlignment="1">
      <alignment horizontal="left" vertical="center"/>
    </xf>
    <xf numFmtId="170" fontId="51" fillId="39" borderId="9" xfId="2" applyNumberFormat="1" applyFont="1" applyFill="1" applyBorder="1" applyAlignment="1">
      <alignment horizontal="center" vertical="center"/>
    </xf>
    <xf numFmtId="170" fontId="52" fillId="39" borderId="9" xfId="2" applyNumberFormat="1" applyFont="1" applyFill="1" applyBorder="1" applyAlignment="1">
      <alignment horizontal="center" vertical="center"/>
    </xf>
    <xf numFmtId="170" fontId="45" fillId="39" borderId="9" xfId="2" applyNumberFormat="1" applyFont="1" applyFill="1" applyBorder="1" applyAlignment="1">
      <alignment horizontal="center" vertical="center"/>
    </xf>
    <xf numFmtId="0" fontId="46" fillId="39" borderId="9" xfId="2" applyFont="1" applyFill="1" applyBorder="1" applyAlignment="1">
      <alignment horizontal="left" vertical="center" wrapText="1"/>
    </xf>
    <xf numFmtId="0" fontId="45" fillId="40" borderId="9" xfId="2" applyFont="1" applyFill="1" applyBorder="1" applyAlignment="1">
      <alignment horizontal="left" vertical="center"/>
    </xf>
    <xf numFmtId="170" fontId="51" fillId="40" borderId="9" xfId="2" applyNumberFormat="1" applyFont="1" applyFill="1" applyBorder="1" applyAlignment="1">
      <alignment horizontal="center" vertical="center"/>
    </xf>
    <xf numFmtId="170" fontId="52" fillId="40" borderId="9" xfId="2" applyNumberFormat="1" applyFont="1" applyFill="1" applyBorder="1" applyAlignment="1">
      <alignment horizontal="center" vertical="center"/>
    </xf>
    <xf numFmtId="170" fontId="45" fillId="40" borderId="9" xfId="2" applyNumberFormat="1" applyFont="1" applyFill="1" applyBorder="1" applyAlignment="1">
      <alignment horizontal="center" vertical="center"/>
    </xf>
    <xf numFmtId="0" fontId="46" fillId="40" borderId="9" xfId="2" applyFont="1" applyFill="1" applyBorder="1" applyAlignment="1">
      <alignment horizontal="left" vertical="center" wrapText="1"/>
    </xf>
    <xf numFmtId="0" fontId="45" fillId="41" borderId="9" xfId="2" applyFont="1" applyFill="1" applyBorder="1" applyAlignment="1">
      <alignment horizontal="left" vertical="center"/>
    </xf>
    <xf numFmtId="170" fontId="51" fillId="41" borderId="9" xfId="2" applyNumberFormat="1" applyFont="1" applyFill="1" applyBorder="1" applyAlignment="1">
      <alignment horizontal="center" vertical="center"/>
    </xf>
    <xf numFmtId="170" fontId="45" fillId="41" borderId="9" xfId="2" applyNumberFormat="1" applyFont="1" applyFill="1" applyBorder="1" applyAlignment="1">
      <alignment horizontal="center" vertical="center"/>
    </xf>
    <xf numFmtId="0" fontId="46" fillId="41" borderId="9" xfId="2" applyFont="1" applyFill="1" applyBorder="1" applyAlignment="1">
      <alignment horizontal="left" vertical="center" wrapText="1"/>
    </xf>
    <xf numFmtId="0" fontId="45" fillId="42" borderId="9" xfId="2" applyFont="1" applyFill="1" applyBorder="1" applyAlignment="1">
      <alignment horizontal="left" vertical="center"/>
    </xf>
    <xf numFmtId="170" fontId="51" fillId="42" borderId="9" xfId="2" applyNumberFormat="1" applyFont="1" applyFill="1" applyBorder="1" applyAlignment="1">
      <alignment horizontal="center" vertical="center"/>
    </xf>
    <xf numFmtId="170" fontId="52" fillId="42" borderId="9" xfId="2" applyNumberFormat="1" applyFont="1" applyFill="1" applyBorder="1" applyAlignment="1">
      <alignment horizontal="center" vertical="center"/>
    </xf>
    <xf numFmtId="170" fontId="45" fillId="42" borderId="9" xfId="2" applyNumberFormat="1" applyFont="1" applyFill="1" applyBorder="1" applyAlignment="1">
      <alignment horizontal="center" vertical="center"/>
    </xf>
    <xf numFmtId="0" fontId="46" fillId="42" borderId="9" xfId="2" applyFont="1" applyFill="1" applyBorder="1" applyAlignment="1">
      <alignment horizontal="left" vertical="center" wrapText="1"/>
    </xf>
    <xf numFmtId="0" fontId="45" fillId="43" borderId="9" xfId="2" applyFont="1" applyFill="1" applyBorder="1" applyAlignment="1">
      <alignment horizontal="left" vertical="center"/>
    </xf>
    <xf numFmtId="170" fontId="51" fillId="43" borderId="9" xfId="2" applyNumberFormat="1" applyFont="1" applyFill="1" applyBorder="1" applyAlignment="1">
      <alignment horizontal="center" vertical="center"/>
    </xf>
    <xf numFmtId="170" fontId="45" fillId="43" borderId="9" xfId="2" applyNumberFormat="1" applyFont="1" applyFill="1" applyBorder="1" applyAlignment="1">
      <alignment horizontal="center" vertical="center"/>
    </xf>
    <xf numFmtId="170" fontId="53" fillId="43" borderId="9" xfId="2" applyNumberFormat="1" applyFont="1" applyFill="1" applyBorder="1" applyAlignment="1">
      <alignment horizontal="center" vertical="center"/>
    </xf>
    <xf numFmtId="0" fontId="46" fillId="43" borderId="9" xfId="2" applyFont="1" applyFill="1" applyBorder="1" applyAlignment="1">
      <alignment horizontal="left" vertical="center" wrapText="1"/>
    </xf>
    <xf numFmtId="0" fontId="45" fillId="44" borderId="9" xfId="2" applyFont="1" applyFill="1" applyBorder="1" applyAlignment="1">
      <alignment horizontal="left" vertical="center"/>
    </xf>
    <xf numFmtId="170" fontId="51" fillId="44" borderId="9" xfId="2" applyNumberFormat="1" applyFont="1" applyFill="1" applyBorder="1" applyAlignment="1">
      <alignment horizontal="center" vertical="center"/>
    </xf>
    <xf numFmtId="170" fontId="45" fillId="44" borderId="9" xfId="2" applyNumberFormat="1" applyFont="1" applyFill="1" applyBorder="1" applyAlignment="1">
      <alignment horizontal="center" vertical="center"/>
    </xf>
    <xf numFmtId="0" fontId="46" fillId="44" borderId="9" xfId="2" applyFont="1" applyFill="1" applyBorder="1" applyAlignment="1">
      <alignment horizontal="left" vertical="center" wrapText="1"/>
    </xf>
    <xf numFmtId="0" fontId="45" fillId="45" borderId="9" xfId="2" applyFont="1" applyFill="1" applyBorder="1" applyAlignment="1">
      <alignment horizontal="left" vertical="center"/>
    </xf>
    <xf numFmtId="170" fontId="51" fillId="45" borderId="9" xfId="2" applyNumberFormat="1" applyFont="1" applyFill="1" applyBorder="1" applyAlignment="1">
      <alignment horizontal="center" vertical="center"/>
    </xf>
    <xf numFmtId="170" fontId="45" fillId="45" borderId="9" xfId="2" applyNumberFormat="1" applyFont="1" applyFill="1" applyBorder="1" applyAlignment="1">
      <alignment horizontal="center" vertical="center"/>
    </xf>
    <xf numFmtId="0" fontId="46" fillId="45" borderId="9" xfId="2" applyFont="1" applyFill="1" applyBorder="1" applyAlignment="1">
      <alignment horizontal="left" vertical="center" wrapText="1"/>
    </xf>
    <xf numFmtId="0" fontId="45" fillId="46" borderId="9" xfId="2" applyFont="1" applyFill="1" applyBorder="1" applyAlignment="1">
      <alignment horizontal="left" vertical="center"/>
    </xf>
    <xf numFmtId="170" fontId="51" fillId="46" borderId="9" xfId="2" applyNumberFormat="1" applyFont="1" applyFill="1" applyBorder="1" applyAlignment="1">
      <alignment horizontal="center" vertical="center"/>
    </xf>
    <xf numFmtId="170" fontId="52" fillId="46" borderId="9" xfId="2" applyNumberFormat="1" applyFont="1" applyFill="1" applyBorder="1" applyAlignment="1">
      <alignment horizontal="center" vertical="center"/>
    </xf>
    <xf numFmtId="170" fontId="45" fillId="46" borderId="9" xfId="2" applyNumberFormat="1" applyFont="1" applyFill="1" applyBorder="1" applyAlignment="1">
      <alignment horizontal="center" vertical="center"/>
    </xf>
    <xf numFmtId="0" fontId="46" fillId="46" borderId="9" xfId="2" applyFont="1" applyFill="1" applyBorder="1" applyAlignment="1">
      <alignment horizontal="left" vertical="center" wrapText="1"/>
    </xf>
    <xf numFmtId="0" fontId="45" fillId="47" borderId="9" xfId="2" applyFont="1" applyFill="1" applyBorder="1" applyAlignment="1">
      <alignment horizontal="left" vertical="center"/>
    </xf>
    <xf numFmtId="170" fontId="51" fillId="47" borderId="9" xfId="2" applyNumberFormat="1" applyFont="1" applyFill="1" applyBorder="1" applyAlignment="1">
      <alignment horizontal="center" vertical="center"/>
    </xf>
    <xf numFmtId="170" fontId="45" fillId="47" borderId="9" xfId="2" applyNumberFormat="1" applyFont="1" applyFill="1" applyBorder="1" applyAlignment="1">
      <alignment horizontal="center" vertical="center"/>
    </xf>
    <xf numFmtId="0" fontId="46" fillId="47" borderId="9" xfId="2" applyFont="1" applyFill="1" applyBorder="1" applyAlignment="1">
      <alignment horizontal="left" vertical="center" wrapText="1"/>
    </xf>
    <xf numFmtId="0" fontId="45" fillId="48" borderId="9" xfId="2" applyFont="1" applyFill="1" applyBorder="1" applyAlignment="1">
      <alignment horizontal="left" vertical="center"/>
    </xf>
    <xf numFmtId="170" fontId="51" fillId="48" borderId="9" xfId="2" applyNumberFormat="1" applyFont="1" applyFill="1" applyBorder="1" applyAlignment="1">
      <alignment horizontal="center" vertical="center"/>
    </xf>
    <xf numFmtId="170" fontId="45" fillId="48" borderId="9" xfId="2" applyNumberFormat="1" applyFont="1" applyFill="1" applyBorder="1" applyAlignment="1">
      <alignment horizontal="center" vertical="center"/>
    </xf>
    <xf numFmtId="0" fontId="46" fillId="48" borderId="9" xfId="2" applyFont="1" applyFill="1" applyBorder="1" applyAlignment="1">
      <alignment horizontal="left" vertical="center" wrapText="1"/>
    </xf>
    <xf numFmtId="0" fontId="45" fillId="49" borderId="9" xfId="2" applyFont="1" applyFill="1" applyBorder="1" applyAlignment="1">
      <alignment horizontal="left" vertical="center"/>
    </xf>
    <xf numFmtId="170" fontId="51" fillId="49" borderId="9" xfId="2" applyNumberFormat="1" applyFont="1" applyFill="1" applyBorder="1" applyAlignment="1">
      <alignment horizontal="center" vertical="center"/>
    </xf>
    <xf numFmtId="170" fontId="45" fillId="49" borderId="9" xfId="2" applyNumberFormat="1" applyFont="1" applyFill="1" applyBorder="1" applyAlignment="1">
      <alignment horizontal="center" vertical="center"/>
    </xf>
    <xf numFmtId="0" fontId="46" fillId="49" borderId="9" xfId="2" applyFont="1" applyFill="1" applyBorder="1" applyAlignment="1">
      <alignment horizontal="left" vertical="center" wrapText="1"/>
    </xf>
    <xf numFmtId="0" fontId="54" fillId="50" borderId="9" xfId="2" applyFont="1" applyFill="1" applyBorder="1" applyAlignment="1">
      <alignment horizontal="left" vertical="center"/>
    </xf>
    <xf numFmtId="170" fontId="13" fillId="50" borderId="9" xfId="2" applyNumberFormat="1" applyFont="1" applyFill="1" applyBorder="1" applyAlignment="1">
      <alignment horizontal="center" vertical="center"/>
    </xf>
    <xf numFmtId="170" fontId="54" fillId="50" borderId="9" xfId="2" applyNumberFormat="1" applyFont="1" applyFill="1" applyBorder="1" applyAlignment="1">
      <alignment horizontal="center" vertical="center"/>
    </xf>
    <xf numFmtId="0" fontId="55" fillId="50" borderId="9" xfId="2" applyFont="1" applyFill="1" applyBorder="1" applyAlignment="1">
      <alignment horizontal="left" vertical="center" wrapText="1"/>
    </xf>
    <xf numFmtId="0" fontId="46" fillId="39" borderId="9" xfId="2" applyFont="1" applyFill="1" applyBorder="1" applyAlignment="1">
      <alignment horizontal="center" vertical="center"/>
    </xf>
    <xf numFmtId="0" fontId="46" fillId="39" borderId="9" xfId="2" applyFont="1" applyFill="1" applyBorder="1" applyAlignment="1">
      <alignment horizontal="left" vertical="center"/>
    </xf>
    <xf numFmtId="0" fontId="56" fillId="39" borderId="9" xfId="2" applyFont="1" applyFill="1" applyBorder="1" applyAlignment="1">
      <alignment horizontal="left" vertical="center"/>
    </xf>
    <xf numFmtId="170" fontId="57" fillId="39" borderId="9" xfId="2" applyNumberFormat="1" applyFont="1" applyFill="1" applyBorder="1" applyAlignment="1">
      <alignment horizontal="center" vertical="center"/>
    </xf>
    <xf numFmtId="170" fontId="46" fillId="39" borderId="9" xfId="2" applyNumberFormat="1" applyFont="1" applyFill="1" applyBorder="1" applyAlignment="1">
      <alignment horizontal="center" vertical="center"/>
    </xf>
    <xf numFmtId="0" fontId="46" fillId="41" borderId="9" xfId="2" applyFont="1" applyFill="1" applyBorder="1" applyAlignment="1">
      <alignment horizontal="center" vertical="center"/>
    </xf>
    <xf numFmtId="0" fontId="46" fillId="41" borderId="9" xfId="2" applyFont="1" applyFill="1" applyBorder="1" applyAlignment="1">
      <alignment horizontal="left" vertical="center"/>
    </xf>
    <xf numFmtId="0" fontId="56" fillId="41" borderId="9" xfId="2" applyFont="1" applyFill="1" applyBorder="1" applyAlignment="1">
      <alignment horizontal="left" vertical="center"/>
    </xf>
    <xf numFmtId="170" fontId="57" fillId="41" borderId="9" xfId="2" applyNumberFormat="1" applyFont="1" applyFill="1" applyBorder="1" applyAlignment="1">
      <alignment horizontal="center" vertical="center"/>
    </xf>
    <xf numFmtId="170" fontId="46" fillId="41" borderId="9" xfId="2" applyNumberFormat="1" applyFont="1" applyFill="1" applyBorder="1" applyAlignment="1">
      <alignment horizontal="center" vertical="center"/>
    </xf>
    <xf numFmtId="0" fontId="46" fillId="45" borderId="9" xfId="2" applyFont="1" applyFill="1" applyBorder="1" applyAlignment="1">
      <alignment horizontal="center" vertical="center"/>
    </xf>
    <xf numFmtId="0" fontId="46" fillId="45" borderId="9" xfId="2" applyFont="1" applyFill="1" applyBorder="1" applyAlignment="1">
      <alignment horizontal="left" vertical="center"/>
    </xf>
    <xf numFmtId="170" fontId="57" fillId="45" borderId="9" xfId="2" applyNumberFormat="1" applyFont="1" applyFill="1" applyBorder="1" applyAlignment="1">
      <alignment horizontal="center" vertical="center"/>
    </xf>
    <xf numFmtId="170" fontId="46" fillId="45" borderId="9" xfId="2" applyNumberFormat="1" applyFont="1" applyFill="1" applyBorder="1" applyAlignment="1">
      <alignment horizontal="center" vertical="center"/>
    </xf>
    <xf numFmtId="0" fontId="46" fillId="48" borderId="9" xfId="2" applyFont="1" applyFill="1" applyBorder="1" applyAlignment="1">
      <alignment horizontal="center" vertical="center"/>
    </xf>
    <xf numFmtId="0" fontId="46" fillId="48" borderId="9" xfId="2" applyFont="1" applyFill="1" applyBorder="1" applyAlignment="1">
      <alignment horizontal="left" vertical="center"/>
    </xf>
    <xf numFmtId="170" fontId="46" fillId="48" borderId="9" xfId="2" applyNumberFormat="1" applyFont="1" applyFill="1" applyBorder="1" applyAlignment="1">
      <alignment horizontal="center" vertical="center"/>
    </xf>
    <xf numFmtId="0" fontId="46" fillId="42" borderId="9" xfId="2" applyFont="1" applyFill="1" applyBorder="1" applyAlignment="1">
      <alignment horizontal="center" vertical="center"/>
    </xf>
    <xf numFmtId="0" fontId="46" fillId="42" borderId="9" xfId="2" applyFont="1" applyFill="1" applyBorder="1" applyAlignment="1">
      <alignment horizontal="left" vertical="center"/>
    </xf>
    <xf numFmtId="0" fontId="56" fillId="42" borderId="9" xfId="2" applyFont="1" applyFill="1" applyBorder="1" applyAlignment="1">
      <alignment horizontal="left" vertical="center"/>
    </xf>
    <xf numFmtId="170" fontId="57" fillId="42" borderId="9" xfId="2" applyNumberFormat="1" applyFont="1" applyFill="1" applyBorder="1" applyAlignment="1">
      <alignment horizontal="center" vertical="center"/>
    </xf>
    <xf numFmtId="170" fontId="46" fillId="42" borderId="9" xfId="2" applyNumberFormat="1" applyFont="1" applyFill="1" applyBorder="1" applyAlignment="1">
      <alignment horizontal="center" vertical="center"/>
    </xf>
    <xf numFmtId="0" fontId="46" fillId="43" borderId="9" xfId="2" applyFont="1" applyFill="1" applyBorder="1" applyAlignment="1">
      <alignment horizontal="center" vertical="center"/>
    </xf>
    <xf numFmtId="0" fontId="46" fillId="43" borderId="9" xfId="2" applyFont="1" applyFill="1" applyBorder="1" applyAlignment="1">
      <alignment horizontal="left" vertical="center"/>
    </xf>
    <xf numFmtId="170" fontId="46" fillId="43" borderId="9" xfId="2" applyNumberFormat="1" applyFont="1" applyFill="1" applyBorder="1" applyAlignment="1">
      <alignment horizontal="center" vertical="center"/>
    </xf>
    <xf numFmtId="170" fontId="58" fillId="43" borderId="9" xfId="2" applyNumberFormat="1" applyFont="1" applyFill="1" applyBorder="1" applyAlignment="1">
      <alignment horizontal="center" vertical="center"/>
    </xf>
    <xf numFmtId="0" fontId="46" fillId="44" borderId="9" xfId="2" applyFont="1" applyFill="1" applyBorder="1" applyAlignment="1">
      <alignment horizontal="center" vertical="center"/>
    </xf>
    <xf numFmtId="0" fontId="46" fillId="44" borderId="9" xfId="2" applyFont="1" applyFill="1" applyBorder="1" applyAlignment="1">
      <alignment horizontal="left" vertical="center"/>
    </xf>
    <xf numFmtId="0" fontId="56" fillId="44" borderId="9" xfId="2" applyFont="1" applyFill="1" applyBorder="1" applyAlignment="1">
      <alignment horizontal="left" vertical="center"/>
    </xf>
    <xf numFmtId="170" fontId="57" fillId="44" borderId="9" xfId="2" applyNumberFormat="1" applyFont="1" applyFill="1" applyBorder="1" applyAlignment="1">
      <alignment horizontal="center" vertical="center"/>
    </xf>
    <xf numFmtId="170" fontId="46" fillId="44" borderId="9" xfId="2" applyNumberFormat="1" applyFont="1" applyFill="1" applyBorder="1" applyAlignment="1">
      <alignment horizontal="center" vertical="center"/>
    </xf>
    <xf numFmtId="0" fontId="46" fillId="49" borderId="9" xfId="2" applyFont="1" applyFill="1" applyBorder="1" applyAlignment="1">
      <alignment horizontal="center" vertical="center"/>
    </xf>
    <xf numFmtId="0" fontId="46" fillId="49" borderId="9" xfId="2" applyFont="1" applyFill="1" applyBorder="1" applyAlignment="1">
      <alignment horizontal="left" vertical="center"/>
    </xf>
    <xf numFmtId="170" fontId="46" fillId="49" borderId="9" xfId="2" applyNumberFormat="1" applyFont="1" applyFill="1" applyBorder="1" applyAlignment="1">
      <alignment horizontal="center" vertical="center"/>
    </xf>
    <xf numFmtId="0" fontId="59" fillId="51" borderId="9" xfId="2" applyFont="1" applyFill="1" applyBorder="1" applyAlignment="1">
      <alignment horizontal="center" vertical="center"/>
    </xf>
    <xf numFmtId="0" fontId="59" fillId="51" borderId="9" xfId="2" applyFont="1" applyFill="1" applyBorder="1" applyAlignment="1">
      <alignment horizontal="left" vertical="center"/>
    </xf>
    <xf numFmtId="170" fontId="59" fillId="51" borderId="9" xfId="2" applyNumberFormat="1" applyFont="1" applyFill="1" applyBorder="1" applyAlignment="1">
      <alignment horizontal="center" vertical="center"/>
    </xf>
    <xf numFmtId="0" fontId="59" fillId="51" borderId="9" xfId="2" applyFont="1" applyFill="1" applyBorder="1" applyAlignment="1">
      <alignment horizontal="left" vertical="center" wrapText="1"/>
    </xf>
    <xf numFmtId="0" fontId="46" fillId="47" borderId="9" xfId="2" applyFont="1" applyFill="1" applyBorder="1" applyAlignment="1">
      <alignment horizontal="center" vertical="center"/>
    </xf>
    <xf numFmtId="0" fontId="46" fillId="47" borderId="9" xfId="2" applyFont="1" applyFill="1" applyBorder="1" applyAlignment="1">
      <alignment horizontal="left" vertical="center"/>
    </xf>
    <xf numFmtId="0" fontId="56" fillId="47" borderId="9" xfId="2" applyFont="1" applyFill="1" applyBorder="1" applyAlignment="1">
      <alignment horizontal="left" vertical="center"/>
    </xf>
    <xf numFmtId="170" fontId="57" fillId="47" borderId="9" xfId="2" applyNumberFormat="1" applyFont="1" applyFill="1" applyBorder="1" applyAlignment="1">
      <alignment horizontal="center" vertical="center"/>
    </xf>
    <xf numFmtId="170" fontId="46" fillId="47" borderId="9" xfId="2" applyNumberFormat="1" applyFont="1" applyFill="1" applyBorder="1" applyAlignment="1">
      <alignment horizontal="center" vertical="center"/>
    </xf>
    <xf numFmtId="0" fontId="46" fillId="46" borderId="9" xfId="2" applyFont="1" applyFill="1" applyBorder="1" applyAlignment="1">
      <alignment horizontal="center" vertical="center"/>
    </xf>
    <xf numFmtId="0" fontId="46" fillId="46" borderId="9" xfId="2" applyFont="1" applyFill="1" applyBorder="1" applyAlignment="1">
      <alignment horizontal="left" vertical="center"/>
    </xf>
    <xf numFmtId="0" fontId="56" fillId="46" borderId="9" xfId="2" applyFont="1" applyFill="1" applyBorder="1" applyAlignment="1">
      <alignment horizontal="left" vertical="center"/>
    </xf>
    <xf numFmtId="170" fontId="57" fillId="46" borderId="9" xfId="2" applyNumberFormat="1" applyFont="1" applyFill="1" applyBorder="1" applyAlignment="1">
      <alignment horizontal="center" vertical="center"/>
    </xf>
    <xf numFmtId="170" fontId="46" fillId="46" borderId="9" xfId="2" applyNumberFormat="1" applyFont="1" applyFill="1" applyBorder="1" applyAlignment="1">
      <alignment horizontal="center" vertical="center"/>
    </xf>
    <xf numFmtId="0" fontId="56" fillId="45" borderId="9" xfId="2" applyFont="1" applyFill="1" applyBorder="1" applyAlignment="1">
      <alignment horizontal="left" vertical="center"/>
    </xf>
    <xf numFmtId="0" fontId="56" fillId="49" borderId="9" xfId="2" applyFont="1" applyFill="1" applyBorder="1" applyAlignment="1">
      <alignment horizontal="left" vertical="center"/>
    </xf>
    <xf numFmtId="0" fontId="56" fillId="43" borderId="9" xfId="2" applyFont="1" applyFill="1" applyBorder="1" applyAlignment="1">
      <alignment horizontal="left" vertical="center"/>
    </xf>
    <xf numFmtId="0" fontId="44" fillId="21" borderId="9" xfId="2" applyFont="1" applyFill="1" applyBorder="1" applyAlignment="1">
      <alignment horizontal="center" vertical="center" wrapText="1"/>
    </xf>
    <xf numFmtId="0" fontId="61" fillId="53" borderId="9" xfId="2" applyFont="1" applyFill="1" applyBorder="1" applyAlignment="1">
      <alignment horizontal="center" vertical="center" wrapText="1"/>
    </xf>
    <xf numFmtId="0" fontId="63" fillId="51" borderId="9" xfId="2" applyFont="1" applyFill="1" applyBorder="1" applyAlignment="1">
      <alignment horizontal="center" vertical="center"/>
    </xf>
    <xf numFmtId="0" fontId="63" fillId="51" borderId="9" xfId="2" applyFont="1" applyFill="1" applyBorder="1" applyAlignment="1">
      <alignment horizontal="left" vertical="center"/>
    </xf>
    <xf numFmtId="2" fontId="63" fillId="51" borderId="9" xfId="2" applyNumberFormat="1" applyFont="1" applyFill="1" applyBorder="1" applyAlignment="1">
      <alignment horizontal="center" vertical="center"/>
    </xf>
    <xf numFmtId="0" fontId="62" fillId="54" borderId="9" xfId="2" applyFont="1" applyFill="1" applyBorder="1" applyAlignment="1">
      <alignment horizontal="center" vertical="center"/>
    </xf>
    <xf numFmtId="0" fontId="62" fillId="54" borderId="9" xfId="2" applyFont="1" applyFill="1" applyBorder="1" applyAlignment="1">
      <alignment horizontal="left" vertical="center"/>
    </xf>
    <xf numFmtId="2" fontId="62" fillId="54" borderId="9" xfId="2" applyNumberFormat="1" applyFont="1" applyFill="1" applyBorder="1" applyAlignment="1">
      <alignment horizontal="center" vertical="center"/>
    </xf>
    <xf numFmtId="0" fontId="62" fillId="52" borderId="9" xfId="2" applyFont="1" applyFill="1" applyBorder="1" applyAlignment="1">
      <alignment horizontal="center" vertical="center"/>
    </xf>
    <xf numFmtId="0" fontId="62" fillId="52" borderId="9" xfId="2" applyFont="1" applyFill="1" applyBorder="1" applyAlignment="1">
      <alignment horizontal="left" vertical="center"/>
    </xf>
    <xf numFmtId="2" fontId="62" fillId="52" borderId="9" xfId="2" applyNumberFormat="1" applyFont="1" applyFill="1" applyBorder="1" applyAlignment="1">
      <alignment horizontal="center" vertical="center"/>
    </xf>
    <xf numFmtId="0" fontId="65" fillId="0" borderId="6" xfId="2" applyFont="1" applyBorder="1" applyAlignment="1">
      <alignment horizontal="center" vertical="center" wrapText="1"/>
    </xf>
    <xf numFmtId="0" fontId="65" fillId="36" borderId="6" xfId="2" applyFont="1" applyFill="1" applyBorder="1" applyAlignment="1">
      <alignment horizontal="center" vertical="center" wrapText="1"/>
    </xf>
    <xf numFmtId="0" fontId="66" fillId="0" borderId="0" xfId="0" applyFont="1"/>
    <xf numFmtId="2" fontId="1" fillId="0" borderId="0" xfId="3" applyNumberFormat="1" applyFont="1"/>
    <xf numFmtId="0" fontId="13" fillId="0" borderId="1" xfId="2" applyFont="1" applyBorder="1" applyAlignment="1">
      <alignment horizontal="right" vertical="center" wrapText="1" indent="1"/>
    </xf>
    <xf numFmtId="1" fontId="11" fillId="5" borderId="1" xfId="2" applyNumberFormat="1" applyFont="1" applyFill="1" applyBorder="1" applyAlignment="1">
      <alignment horizontal="left" vertical="center" wrapText="1" indent="1"/>
    </xf>
    <xf numFmtId="1" fontId="13" fillId="4" borderId="1" xfId="3" applyNumberFormat="1" applyFont="1" applyFill="1" applyBorder="1" applyAlignment="1">
      <alignment horizontal="right" vertical="center" indent="1"/>
    </xf>
    <xf numFmtId="1" fontId="11" fillId="4" borderId="1" xfId="2" applyNumberFormat="1" applyFont="1" applyFill="1" applyBorder="1" applyAlignment="1">
      <alignment horizontal="left" vertical="center" wrapText="1" indent="1"/>
    </xf>
    <xf numFmtId="0" fontId="17" fillId="4" borderId="1" xfId="2" applyFont="1" applyFill="1" applyBorder="1" applyAlignment="1">
      <alignment horizontal="right" vertical="center" wrapText="1" indent="1"/>
    </xf>
    <xf numFmtId="1" fontId="9" fillId="4" borderId="1" xfId="2" applyNumberFormat="1" applyFont="1" applyFill="1" applyBorder="1" applyAlignment="1">
      <alignment horizontal="left" vertical="center" wrapText="1" indent="1"/>
    </xf>
    <xf numFmtId="1" fontId="17" fillId="4" borderId="1" xfId="3" applyNumberFormat="1" applyFont="1" applyFill="1" applyBorder="1" applyAlignment="1">
      <alignment horizontal="right" vertical="center" indent="1"/>
    </xf>
    <xf numFmtId="0" fontId="17" fillId="0" borderId="1" xfId="2" applyFont="1" applyBorder="1" applyAlignment="1">
      <alignment horizontal="right" vertical="center" wrapText="1" indent="1"/>
    </xf>
    <xf numFmtId="1" fontId="11" fillId="0" borderId="1" xfId="4" applyNumberFormat="1" applyFont="1" applyBorder="1" applyAlignment="1">
      <alignment horizontal="left" vertical="center" wrapText="1" indent="1"/>
    </xf>
    <xf numFmtId="0" fontId="4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right" vertical="center" indent="1"/>
    </xf>
    <xf numFmtId="1" fontId="7" fillId="0" borderId="1" xfId="2" applyNumberFormat="1" applyFont="1" applyBorder="1" applyAlignment="1">
      <alignment horizontal="center" vertical="center" wrapText="1" readingOrder="1"/>
    </xf>
    <xf numFmtId="1" fontId="7" fillId="0" borderId="2" xfId="2" applyNumberFormat="1" applyFont="1" applyBorder="1" applyAlignment="1">
      <alignment horizontal="right" vertical="center" wrapText="1" indent="10" readingOrder="1"/>
    </xf>
    <xf numFmtId="1" fontId="7" fillId="0" borderId="4" xfId="2" applyNumberFormat="1" applyFont="1" applyBorder="1" applyAlignment="1">
      <alignment horizontal="right" vertical="center" wrapText="1" indent="10" readingOrder="1"/>
    </xf>
    <xf numFmtId="0" fontId="7" fillId="4" borderId="1" xfId="2" applyFont="1" applyFill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 readingOrder="1"/>
    </xf>
    <xf numFmtId="164" fontId="7" fillId="4" borderId="1" xfId="2" applyNumberFormat="1" applyFont="1" applyFill="1" applyBorder="1" applyAlignment="1">
      <alignment horizontal="center" vertical="center" wrapText="1" readingOrder="1"/>
    </xf>
    <xf numFmtId="1" fontId="9" fillId="0" borderId="1" xfId="2" applyNumberFormat="1" applyFont="1" applyBorder="1" applyAlignment="1">
      <alignment horizontal="center" vertical="center" wrapText="1" readingOrder="2"/>
    </xf>
    <xf numFmtId="1" fontId="9" fillId="5" borderId="2" xfId="2" applyNumberFormat="1" applyFont="1" applyFill="1" applyBorder="1" applyAlignment="1">
      <alignment horizontal="left" vertical="center" wrapText="1" readingOrder="1"/>
    </xf>
    <xf numFmtId="1" fontId="9" fillId="5" borderId="4" xfId="2" applyNumberFormat="1" applyFont="1" applyFill="1" applyBorder="1" applyAlignment="1">
      <alignment horizontal="left" vertical="center" wrapText="1" readingOrder="1"/>
    </xf>
    <xf numFmtId="0" fontId="9" fillId="5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/>
    </xf>
    <xf numFmtId="0" fontId="3" fillId="0" borderId="0" xfId="2"/>
    <xf numFmtId="0" fontId="3" fillId="19" borderId="0" xfId="2" applyFill="1"/>
    <xf numFmtId="0" fontId="38" fillId="53" borderId="9" xfId="2" applyFont="1" applyFill="1" applyBorder="1" applyAlignment="1">
      <alignment horizontal="center" vertical="center"/>
    </xf>
    <xf numFmtId="0" fontId="60" fillId="52" borderId="9" xfId="2" applyFont="1" applyFill="1" applyBorder="1" applyAlignment="1">
      <alignment horizontal="left" vertical="center"/>
    </xf>
    <xf numFmtId="0" fontId="20" fillId="0" borderId="0" xfId="2" applyFont="1" applyAlignment="1">
      <alignment horizontal="left"/>
    </xf>
    <xf numFmtId="0" fontId="20" fillId="21" borderId="7" xfId="2" applyFont="1" applyFill="1" applyBorder="1" applyAlignment="1">
      <alignment horizontal="center" vertical="center"/>
    </xf>
    <xf numFmtId="0" fontId="3" fillId="21" borderId="0" xfId="2" applyFill="1"/>
    <xf numFmtId="0" fontId="43" fillId="0" borderId="0" xfId="2" applyFont="1" applyAlignment="1">
      <alignment horizontal="left" wrapText="1"/>
    </xf>
    <xf numFmtId="0" fontId="13" fillId="0" borderId="8" xfId="2" applyFont="1" applyBorder="1" applyAlignment="1">
      <alignment horizontal="left"/>
    </xf>
    <xf numFmtId="0" fontId="20" fillId="21" borderId="9" xfId="2" applyFont="1" applyFill="1" applyBorder="1" applyAlignment="1">
      <alignment horizontal="left" vertical="center"/>
    </xf>
    <xf numFmtId="0" fontId="3" fillId="21" borderId="0" xfId="2" applyFill="1" applyAlignment="1">
      <alignment horizontal="left"/>
    </xf>
    <xf numFmtId="0" fontId="50" fillId="19" borderId="0" xfId="2" applyFont="1" applyFill="1" applyAlignment="1">
      <alignment horizontal="left" wrapText="1"/>
    </xf>
    <xf numFmtId="0" fontId="68" fillId="0" borderId="0" xfId="2" applyFont="1"/>
    <xf numFmtId="0" fontId="69" fillId="56" borderId="0" xfId="2" applyFont="1" applyFill="1" applyAlignment="1">
      <alignment horizontal="center"/>
    </xf>
    <xf numFmtId="169" fontId="3" fillId="0" borderId="10" xfId="2" applyNumberFormat="1" applyBorder="1"/>
    <xf numFmtId="9" fontId="0" fillId="15" borderId="10" xfId="5" applyFont="1" applyFill="1" applyBorder="1"/>
    <xf numFmtId="0" fontId="70" fillId="0" borderId="0" xfId="2" applyFont="1"/>
    <xf numFmtId="9" fontId="70" fillId="0" borderId="10" xfId="5" applyFont="1" applyBorder="1"/>
    <xf numFmtId="9" fontId="0" fillId="0" borderId="10" xfId="5" applyFont="1" applyBorder="1"/>
    <xf numFmtId="0" fontId="67" fillId="0" borderId="0" xfId="7"/>
    <xf numFmtId="2" fontId="1" fillId="55" borderId="0" xfId="2" applyNumberFormat="1" applyFont="1" applyFill="1" applyAlignment="1">
      <alignment horizontal="center" vertical="center"/>
    </xf>
    <xf numFmtId="0" fontId="1" fillId="12" borderId="0" xfId="2" applyFont="1" applyFill="1" applyAlignment="1">
      <alignment horizontal="center"/>
    </xf>
    <xf numFmtId="0" fontId="71" fillId="0" borderId="0" xfId="0" applyFont="1"/>
    <xf numFmtId="0" fontId="0" fillId="0" borderId="0" xfId="2" applyFont="1"/>
    <xf numFmtId="0" fontId="13" fillId="0" borderId="1" xfId="2" applyFont="1" applyFill="1" applyBorder="1" applyAlignment="1">
      <alignment horizontal="right" vertical="center" wrapText="1" indent="1"/>
    </xf>
    <xf numFmtId="1" fontId="13" fillId="0" borderId="1" xfId="3" applyNumberFormat="1" applyFont="1" applyFill="1" applyBorder="1" applyAlignment="1">
      <alignment horizontal="center" vertical="center"/>
    </xf>
    <xf numFmtId="1" fontId="13" fillId="0" borderId="0" xfId="3" applyNumberFormat="1" applyFont="1" applyFill="1" applyAlignment="1">
      <alignment horizontal="center" vertical="center"/>
    </xf>
    <xf numFmtId="1" fontId="11" fillId="0" borderId="1" xfId="2" applyNumberFormat="1" applyFont="1" applyFill="1" applyBorder="1" applyAlignment="1">
      <alignment horizontal="left" vertical="center" wrapText="1" indent="1"/>
    </xf>
    <xf numFmtId="0" fontId="5" fillId="0" borderId="0" xfId="2" applyFont="1" applyFill="1" applyAlignment="1">
      <alignment vertical="center"/>
    </xf>
    <xf numFmtId="0" fontId="3" fillId="0" borderId="0" xfId="2" applyFill="1" applyAlignment="1">
      <alignment vertical="center"/>
    </xf>
    <xf numFmtId="166" fontId="13" fillId="0" borderId="0" xfId="1" applyFont="1" applyFill="1" applyAlignment="1">
      <alignment horizontal="center" vertical="center"/>
    </xf>
    <xf numFmtId="0" fontId="6" fillId="0" borderId="0" xfId="2" applyFont="1" applyFill="1" applyAlignment="1">
      <alignment vertical="center" wrapText="1"/>
    </xf>
    <xf numFmtId="0" fontId="8" fillId="0" borderId="3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2" fontId="13" fillId="0" borderId="1" xfId="3" applyNumberFormat="1" applyFont="1" applyFill="1" applyBorder="1" applyAlignment="1">
      <alignment horizontal="center" vertical="center"/>
    </xf>
    <xf numFmtId="2" fontId="13" fillId="0" borderId="0" xfId="3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 wrapText="1"/>
    </xf>
    <xf numFmtId="0" fontId="13" fillId="21" borderId="0" xfId="2" applyFont="1" applyFill="1" applyAlignment="1">
      <alignment horizontal="center" vertical="center" wrapText="1"/>
    </xf>
    <xf numFmtId="0" fontId="13" fillId="21" borderId="0" xfId="2" applyFont="1" applyFill="1" applyAlignment="1">
      <alignment horizontal="center" vertical="center"/>
    </xf>
    <xf numFmtId="2" fontId="17" fillId="21" borderId="0" xfId="2" applyNumberFormat="1" applyFont="1" applyFill="1" applyAlignment="1">
      <alignment horizontal="center" vertical="center"/>
    </xf>
    <xf numFmtId="2" fontId="13" fillId="21" borderId="0" xfId="2" applyNumberFormat="1" applyFont="1" applyFill="1" applyAlignment="1">
      <alignment horizontal="center" vertical="center"/>
    </xf>
    <xf numFmtId="0" fontId="51" fillId="21" borderId="0" xfId="2" applyFont="1" applyFill="1" applyAlignment="1">
      <alignment horizontal="center" vertical="center"/>
    </xf>
    <xf numFmtId="0" fontId="17" fillId="21" borderId="0" xfId="2" applyFont="1" applyFill="1" applyAlignment="1">
      <alignment horizontal="center" vertical="center"/>
    </xf>
    <xf numFmtId="0" fontId="17" fillId="21" borderId="0" xfId="2" applyFont="1" applyFill="1" applyAlignment="1">
      <alignment horizontal="center" vertical="center" wrapText="1"/>
    </xf>
    <xf numFmtId="0" fontId="7" fillId="21" borderId="0" xfId="2" applyFont="1" applyFill="1" applyAlignment="1">
      <alignment horizontal="left" vertical="center" wrapText="1"/>
    </xf>
    <xf numFmtId="2" fontId="13" fillId="0" borderId="0" xfId="2" applyNumberFormat="1" applyFont="1" applyAlignment="1">
      <alignment vertical="center"/>
    </xf>
    <xf numFmtId="2" fontId="13" fillId="0" borderId="0" xfId="2" applyNumberFormat="1" applyFont="1" applyFill="1" applyAlignment="1">
      <alignment vertical="center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vertical="center"/>
    </xf>
    <xf numFmtId="2" fontId="13" fillId="0" borderId="0" xfId="2" applyNumberFormat="1" applyFont="1" applyAlignment="1">
      <alignment horizontal="center" vertical="center" wrapText="1"/>
    </xf>
    <xf numFmtId="2" fontId="13" fillId="0" borderId="0" xfId="2" applyNumberFormat="1" applyFont="1" applyFill="1" applyAlignment="1">
      <alignment horizontal="center" vertical="center" wrapText="1"/>
    </xf>
    <xf numFmtId="2" fontId="51" fillId="0" borderId="0" xfId="2" applyNumberFormat="1" applyFont="1" applyAlignment="1">
      <alignment vertical="center"/>
    </xf>
    <xf numFmtId="2" fontId="17" fillId="0" borderId="0" xfId="2" applyNumberFormat="1" applyFont="1" applyAlignment="1">
      <alignment vertical="center"/>
    </xf>
    <xf numFmtId="0" fontId="51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3" fillId="0" borderId="0" xfId="2" applyFont="1" applyAlignment="1">
      <alignment vertical="center" wrapText="1"/>
    </xf>
    <xf numFmtId="0" fontId="17" fillId="0" borderId="0" xfId="2" applyFont="1" applyAlignment="1">
      <alignment horizontal="center" vertical="center" wrapText="1"/>
    </xf>
    <xf numFmtId="0" fontId="13" fillId="0" borderId="0" xfId="2" applyFont="1" applyAlignment="1">
      <alignment horizontal="left" vertical="center" wrapText="1"/>
    </xf>
    <xf numFmtId="0" fontId="7" fillId="0" borderId="0" xfId="2" applyFont="1" applyAlignment="1">
      <alignment vertical="center"/>
    </xf>
    <xf numFmtId="0" fontId="13" fillId="21" borderId="0" xfId="2" applyFont="1" applyFill="1" applyAlignment="1">
      <alignment vertical="center"/>
    </xf>
    <xf numFmtId="2" fontId="13" fillId="21" borderId="0" xfId="2" applyNumberFormat="1" applyFont="1" applyFill="1" applyAlignment="1">
      <alignment vertical="center"/>
    </xf>
    <xf numFmtId="0" fontId="51" fillId="21" borderId="0" xfId="2" applyFont="1" applyFill="1" applyAlignment="1">
      <alignment vertical="center"/>
    </xf>
    <xf numFmtId="0" fontId="17" fillId="21" borderId="0" xfId="2" applyFont="1" applyFill="1" applyAlignment="1">
      <alignment vertical="center"/>
    </xf>
    <xf numFmtId="0" fontId="13" fillId="21" borderId="0" xfId="2" applyFont="1" applyFill="1" applyAlignment="1">
      <alignment vertical="center" wrapText="1"/>
    </xf>
    <xf numFmtId="0" fontId="13" fillId="21" borderId="0" xfId="2" applyFont="1" applyFill="1" applyAlignment="1">
      <alignment horizontal="left" vertical="center" wrapText="1"/>
    </xf>
    <xf numFmtId="0" fontId="1" fillId="12" borderId="1" xfId="2" applyFont="1" applyFill="1" applyBorder="1"/>
    <xf numFmtId="3" fontId="1" fillId="12" borderId="1" xfId="2" applyNumberFormat="1" applyFont="1" applyFill="1" applyBorder="1"/>
    <xf numFmtId="0" fontId="1" fillId="0" borderId="1" xfId="2" applyFont="1" applyFill="1" applyBorder="1"/>
    <xf numFmtId="3" fontId="1" fillId="0" borderId="1" xfId="2" applyNumberFormat="1" applyFont="1" applyFill="1" applyBorder="1"/>
    <xf numFmtId="3" fontId="1" fillId="0" borderId="1" xfId="2" quotePrefix="1" applyNumberFormat="1" applyFont="1" applyFill="1" applyBorder="1"/>
    <xf numFmtId="10" fontId="1" fillId="0" borderId="0" xfId="5" applyNumberFormat="1" applyFont="1" applyAlignment="1">
      <alignment horizontal="center"/>
    </xf>
    <xf numFmtId="2" fontId="28" fillId="0" borderId="0" xfId="2" applyNumberFormat="1" applyFont="1"/>
    <xf numFmtId="10" fontId="2" fillId="0" borderId="0" xfId="5" applyNumberFormat="1" applyFont="1"/>
    <xf numFmtId="0" fontId="73" fillId="0" borderId="0" xfId="0" applyFont="1"/>
    <xf numFmtId="0" fontId="74" fillId="0" borderId="0" xfId="2" applyFont="1"/>
    <xf numFmtId="0" fontId="74" fillId="0" borderId="0" xfId="2" applyFont="1" applyAlignment="1">
      <alignment horizontal="center"/>
    </xf>
    <xf numFmtId="0" fontId="75" fillId="0" borderId="0" xfId="2" applyFont="1" applyAlignment="1">
      <alignment horizontal="left" vertical="center" wrapText="1"/>
    </xf>
    <xf numFmtId="0" fontId="76" fillId="0" borderId="0" xfId="2" applyFont="1"/>
    <xf numFmtId="0" fontId="64" fillId="0" borderId="0" xfId="2" applyFont="1" applyAlignment="1">
      <alignment horizontal="left" vertical="center" wrapText="1"/>
    </xf>
    <xf numFmtId="0" fontId="3" fillId="0" borderId="0" xfId="2" applyFont="1"/>
    <xf numFmtId="0" fontId="77" fillId="0" borderId="0" xfId="2" applyFont="1" applyAlignment="1">
      <alignment horizontal="left" vertical="center" wrapText="1"/>
    </xf>
    <xf numFmtId="0" fontId="32" fillId="0" borderId="0" xfId="2" applyFont="1"/>
    <xf numFmtId="0" fontId="3" fillId="0" borderId="11" xfId="2" applyBorder="1" applyAlignment="1">
      <alignment horizontal="center"/>
    </xf>
    <xf numFmtId="0" fontId="79" fillId="0" borderId="0" xfId="2" applyFont="1"/>
    <xf numFmtId="0" fontId="80" fillId="19" borderId="9" xfId="2" applyFont="1" applyFill="1" applyBorder="1" applyAlignment="1">
      <alignment horizontal="center" vertical="center"/>
    </xf>
    <xf numFmtId="0" fontId="78" fillId="19" borderId="0" xfId="2" applyFont="1" applyFill="1"/>
    <xf numFmtId="0" fontId="78" fillId="0" borderId="0" xfId="2" applyFont="1"/>
    <xf numFmtId="0" fontId="80" fillId="19" borderId="9" xfId="2" applyFont="1" applyFill="1" applyBorder="1" applyAlignment="1">
      <alignment horizontal="center" vertical="center" wrapText="1"/>
    </xf>
    <xf numFmtId="0" fontId="81" fillId="39" borderId="9" xfId="2" applyFont="1" applyFill="1" applyBorder="1" applyAlignment="1">
      <alignment horizontal="center" vertical="center"/>
    </xf>
    <xf numFmtId="0" fontId="81" fillId="39" borderId="9" xfId="2" applyFont="1" applyFill="1" applyBorder="1" applyAlignment="1">
      <alignment horizontal="left" vertical="center"/>
    </xf>
    <xf numFmtId="0" fontId="82" fillId="39" borderId="9" xfId="2" applyFont="1" applyFill="1" applyBorder="1" applyAlignment="1">
      <alignment horizontal="left" vertical="center"/>
    </xf>
    <xf numFmtId="2" fontId="81" fillId="39" borderId="9" xfId="2" applyNumberFormat="1" applyFont="1" applyFill="1" applyBorder="1" applyAlignment="1">
      <alignment horizontal="center" vertical="center"/>
    </xf>
    <xf numFmtId="2" fontId="83" fillId="39" borderId="9" xfId="2" applyNumberFormat="1" applyFont="1" applyFill="1" applyBorder="1" applyAlignment="1">
      <alignment horizontal="center" vertical="center"/>
    </xf>
    <xf numFmtId="0" fontId="81" fillId="39" borderId="9" xfId="2" applyFont="1" applyFill="1" applyBorder="1" applyAlignment="1">
      <alignment horizontal="left" vertical="center" wrapText="1"/>
    </xf>
    <xf numFmtId="0" fontId="84" fillId="53" borderId="9" xfId="0" applyFont="1" applyFill="1" applyBorder="1" applyAlignment="1">
      <alignment horizontal="left" vertical="center" wrapText="1"/>
    </xf>
    <xf numFmtId="0" fontId="81" fillId="52" borderId="9" xfId="0" applyFont="1" applyFill="1" applyBorder="1" applyAlignment="1">
      <alignment horizontal="left" vertical="top" wrapText="1"/>
    </xf>
    <xf numFmtId="0" fontId="81" fillId="45" borderId="9" xfId="2" applyFont="1" applyFill="1" applyBorder="1" applyAlignment="1">
      <alignment horizontal="center" vertical="center"/>
    </xf>
    <xf numFmtId="0" fontId="81" fillId="45" borderId="9" xfId="2" applyFont="1" applyFill="1" applyBorder="1" applyAlignment="1">
      <alignment horizontal="left" vertical="center"/>
    </xf>
    <xf numFmtId="0" fontId="82" fillId="45" borderId="9" xfId="2" applyFont="1" applyFill="1" applyBorder="1" applyAlignment="1">
      <alignment horizontal="left" vertical="center"/>
    </xf>
    <xf numFmtId="2" fontId="81" fillId="45" borderId="9" xfId="2" applyNumberFormat="1" applyFont="1" applyFill="1" applyBorder="1" applyAlignment="1">
      <alignment horizontal="center" vertical="center"/>
    </xf>
    <xf numFmtId="0" fontId="81" fillId="45" borderId="9" xfId="2" applyFont="1" applyFill="1" applyBorder="1" applyAlignment="1">
      <alignment horizontal="left" vertical="center" wrapText="1"/>
    </xf>
    <xf numFmtId="0" fontId="81" fillId="43" borderId="9" xfId="2" applyFont="1" applyFill="1" applyBorder="1" applyAlignment="1">
      <alignment horizontal="center" vertical="center"/>
    </xf>
    <xf numFmtId="0" fontId="81" fillId="43" borderId="9" xfId="2" applyFont="1" applyFill="1" applyBorder="1" applyAlignment="1">
      <alignment horizontal="left" vertical="center"/>
    </xf>
    <xf numFmtId="0" fontId="82" fillId="43" borderId="9" xfId="2" applyFont="1" applyFill="1" applyBorder="1" applyAlignment="1">
      <alignment horizontal="left" vertical="center"/>
    </xf>
    <xf numFmtId="2" fontId="81" fillId="43" borderId="9" xfId="2" applyNumberFormat="1" applyFont="1" applyFill="1" applyBorder="1" applyAlignment="1">
      <alignment horizontal="center" vertical="center"/>
    </xf>
    <xf numFmtId="0" fontId="81" fillId="43" borderId="9" xfId="2" applyFont="1" applyFill="1" applyBorder="1" applyAlignment="1">
      <alignment horizontal="left" vertical="center" wrapText="1"/>
    </xf>
    <xf numFmtId="2" fontId="83" fillId="43" borderId="9" xfId="2" applyNumberFormat="1" applyFont="1" applyFill="1" applyBorder="1" applyAlignment="1">
      <alignment horizontal="center" vertical="center"/>
    </xf>
    <xf numFmtId="0" fontId="81" fillId="44" borderId="9" xfId="2" applyFont="1" applyFill="1" applyBorder="1" applyAlignment="1">
      <alignment horizontal="center" vertical="center"/>
    </xf>
    <xf numFmtId="0" fontId="81" fillId="44" borderId="9" xfId="2" applyFont="1" applyFill="1" applyBorder="1" applyAlignment="1">
      <alignment horizontal="left" vertical="center"/>
    </xf>
    <xf numFmtId="0" fontId="82" fillId="44" borderId="9" xfId="2" applyFont="1" applyFill="1" applyBorder="1" applyAlignment="1">
      <alignment horizontal="left" vertical="center"/>
    </xf>
    <xf numFmtId="2" fontId="81" fillId="44" borderId="9" xfId="2" applyNumberFormat="1" applyFont="1" applyFill="1" applyBorder="1" applyAlignment="1">
      <alignment horizontal="center" vertical="center"/>
    </xf>
    <xf numFmtId="2" fontId="85" fillId="44" borderId="9" xfId="2" applyNumberFormat="1" applyFont="1" applyFill="1" applyBorder="1" applyAlignment="1">
      <alignment horizontal="center" vertical="center"/>
    </xf>
    <xf numFmtId="0" fontId="81" fillId="44" borderId="9" xfId="2" applyFont="1" applyFill="1" applyBorder="1" applyAlignment="1">
      <alignment horizontal="left" vertical="center" wrapText="1"/>
    </xf>
    <xf numFmtId="0" fontId="81" fillId="48" borderId="9" xfId="2" applyFont="1" applyFill="1" applyBorder="1" applyAlignment="1">
      <alignment horizontal="center" vertical="center"/>
    </xf>
    <xf numFmtId="0" fontId="81" fillId="48" borderId="9" xfId="2" applyFont="1" applyFill="1" applyBorder="1" applyAlignment="1">
      <alignment horizontal="left" vertical="center"/>
    </xf>
    <xf numFmtId="0" fontId="82" fillId="48" borderId="9" xfId="2" applyFont="1" applyFill="1" applyBorder="1" applyAlignment="1">
      <alignment horizontal="left" vertical="center"/>
    </xf>
    <xf numFmtId="2" fontId="81" fillId="48" borderId="9" xfId="2" applyNumberFormat="1" applyFont="1" applyFill="1" applyBorder="1" applyAlignment="1">
      <alignment horizontal="center" vertical="center"/>
    </xf>
    <xf numFmtId="0" fontId="81" fillId="48" borderId="9" xfId="2" applyFont="1" applyFill="1" applyBorder="1" applyAlignment="1">
      <alignment horizontal="left" vertical="center" wrapText="1"/>
    </xf>
    <xf numFmtId="0" fontId="81" fillId="49" borderId="9" xfId="2" applyFont="1" applyFill="1" applyBorder="1" applyAlignment="1">
      <alignment horizontal="center" vertical="center"/>
    </xf>
    <xf numFmtId="0" fontId="81" fillId="49" borderId="9" xfId="2" applyFont="1" applyFill="1" applyBorder="1" applyAlignment="1">
      <alignment horizontal="left" vertical="center"/>
    </xf>
    <xf numFmtId="0" fontId="82" fillId="49" borderId="9" xfId="2" applyFont="1" applyFill="1" applyBorder="1" applyAlignment="1">
      <alignment horizontal="left" vertical="center"/>
    </xf>
    <xf numFmtId="2" fontId="81" fillId="49" borderId="9" xfId="2" applyNumberFormat="1" applyFont="1" applyFill="1" applyBorder="1" applyAlignment="1">
      <alignment horizontal="center" vertical="center"/>
    </xf>
    <xf numFmtId="2" fontId="83" fillId="49" borderId="9" xfId="2" applyNumberFormat="1" applyFont="1" applyFill="1" applyBorder="1" applyAlignment="1">
      <alignment horizontal="center" vertical="center"/>
    </xf>
    <xf numFmtId="0" fontId="81" fillId="49" borderId="9" xfId="2" applyFont="1" applyFill="1" applyBorder="1" applyAlignment="1">
      <alignment horizontal="left" vertical="center" wrapText="1"/>
    </xf>
    <xf numFmtId="0" fontId="86" fillId="51" borderId="9" xfId="2" applyFont="1" applyFill="1" applyBorder="1" applyAlignment="1">
      <alignment horizontal="center" vertical="center"/>
    </xf>
    <xf numFmtId="0" fontId="86" fillId="51" borderId="9" xfId="2" applyFont="1" applyFill="1" applyBorder="1" applyAlignment="1">
      <alignment horizontal="left" vertical="center"/>
    </xf>
    <xf numFmtId="2" fontId="86" fillId="51" borderId="9" xfId="2" applyNumberFormat="1" applyFont="1" applyFill="1" applyBorder="1" applyAlignment="1">
      <alignment horizontal="center" vertical="center"/>
    </xf>
    <xf numFmtId="0" fontId="86" fillId="51" borderId="9" xfId="2" applyFont="1" applyFill="1" applyBorder="1" applyAlignment="1">
      <alignment horizontal="left" vertical="center" wrapText="1"/>
    </xf>
    <xf numFmtId="0" fontId="81" fillId="46" borderId="9" xfId="2" applyFont="1" applyFill="1" applyBorder="1" applyAlignment="1">
      <alignment horizontal="center" vertical="center"/>
    </xf>
    <xf numFmtId="0" fontId="81" fillId="46" borderId="9" xfId="2" applyFont="1" applyFill="1" applyBorder="1" applyAlignment="1">
      <alignment horizontal="left" vertical="center"/>
    </xf>
    <xf numFmtId="0" fontId="82" fillId="46" borderId="9" xfId="2" applyFont="1" applyFill="1" applyBorder="1" applyAlignment="1">
      <alignment horizontal="left" vertical="center"/>
    </xf>
    <xf numFmtId="2" fontId="81" fillId="46" borderId="9" xfId="2" applyNumberFormat="1" applyFont="1" applyFill="1" applyBorder="1" applyAlignment="1">
      <alignment horizontal="center" vertical="center"/>
    </xf>
    <xf numFmtId="2" fontId="85" fillId="46" borderId="9" xfId="2" applyNumberFormat="1" applyFont="1" applyFill="1" applyBorder="1" applyAlignment="1">
      <alignment horizontal="center" vertical="center"/>
    </xf>
    <xf numFmtId="0" fontId="81" fillId="46" borderId="9" xfId="2" applyFont="1" applyFill="1" applyBorder="1" applyAlignment="1">
      <alignment horizontal="left" vertical="center" wrapText="1"/>
    </xf>
    <xf numFmtId="0" fontId="81" fillId="42" borderId="9" xfId="2" applyFont="1" applyFill="1" applyBorder="1" applyAlignment="1">
      <alignment horizontal="center" vertical="center"/>
    </xf>
    <xf numFmtId="0" fontId="81" fillId="42" borderId="9" xfId="2" applyFont="1" applyFill="1" applyBorder="1" applyAlignment="1">
      <alignment horizontal="left" vertical="center"/>
    </xf>
    <xf numFmtId="0" fontId="82" fillId="42" borderId="9" xfId="2" applyFont="1" applyFill="1" applyBorder="1" applyAlignment="1">
      <alignment horizontal="left" vertical="center"/>
    </xf>
    <xf numFmtId="2" fontId="81" fillId="42" borderId="9" xfId="2" applyNumberFormat="1" applyFont="1" applyFill="1" applyBorder="1" applyAlignment="1">
      <alignment horizontal="center" vertical="center"/>
    </xf>
    <xf numFmtId="2" fontId="83" fillId="42" borderId="9" xfId="2" applyNumberFormat="1" applyFont="1" applyFill="1" applyBorder="1" applyAlignment="1">
      <alignment horizontal="center" vertical="center"/>
    </xf>
    <xf numFmtId="0" fontId="81" fillId="42" borderId="9" xfId="2" applyFont="1" applyFill="1" applyBorder="1" applyAlignment="1">
      <alignment horizontal="left" vertical="center" wrapText="1"/>
    </xf>
    <xf numFmtId="0" fontId="24" fillId="7" borderId="6" xfId="2" applyFont="1" applyFill="1" applyBorder="1" applyAlignment="1">
      <alignment horizontal="center" vertical="center" wrapText="1"/>
    </xf>
    <xf numFmtId="0" fontId="24" fillId="7" borderId="6" xfId="2" applyFont="1" applyFill="1" applyBorder="1" applyAlignment="1">
      <alignment horizontal="left" vertical="center" wrapText="1"/>
    </xf>
    <xf numFmtId="0" fontId="35" fillId="7" borderId="1" xfId="2" applyFont="1" applyFill="1" applyBorder="1" applyAlignment="1">
      <alignment vertical="center" wrapText="1"/>
    </xf>
    <xf numFmtId="0" fontId="35" fillId="7" borderId="1" xfId="2" applyFont="1" applyFill="1" applyBorder="1" applyAlignment="1">
      <alignment vertical="top" wrapText="1"/>
    </xf>
  </cellXfs>
  <cellStyles count="8">
    <cellStyle name="Comma" xfId="1" builtinId="3"/>
    <cellStyle name="Hyperlink" xfId="7" builtinId="8"/>
    <cellStyle name="Normal" xfId="0" builtinId="0"/>
    <cellStyle name="Normal 11" xfId="3" xr:uid="{AF3BF241-65AB-B647-9D3B-75002BBA957D}"/>
    <cellStyle name="Normal 2 3" xfId="2" xr:uid="{C70E86D3-E958-4D4F-B5F0-D22DAB612190}"/>
    <cellStyle name="Normal 4" xfId="4" xr:uid="{CB035180-786D-2D4B-B588-882EF52F6771}"/>
    <cellStyle name="Per cent" xfId="6" builtinId="5"/>
    <cellStyle name="Per cent 2" xfId="5" xr:uid="{21D97A38-A7DC-C649-AD41-0376E409AE7B}"/>
  </cellStyles>
  <dxfs count="0"/>
  <tableStyles count="0" defaultTableStyle="TableStyleMedium2" defaultPivotStyle="PivotStyleLight16"/>
  <colors>
    <mruColors>
      <color rgb="FFDE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940593</xdr:colOff>
      <xdr:row>2</xdr:row>
      <xdr:rowOff>0</xdr:rowOff>
    </xdr:from>
    <xdr:to>
      <xdr:col>1</xdr:col>
      <xdr:colOff>2940844</xdr:colOff>
      <xdr:row>4</xdr:row>
      <xdr:rowOff>964406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C03625A-4B58-2646-A3D1-91B05F4BD446}"/>
            </a:ext>
          </a:extLst>
        </xdr:cNvPr>
        <xdr:cNvCxnSpPr/>
      </xdr:nvCxnSpPr>
      <xdr:spPr>
        <a:xfrm flipH="1">
          <a:off x="11090344056" y="774700"/>
          <a:ext cx="2952751" cy="225980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23813</xdr:colOff>
      <xdr:row>2</xdr:row>
      <xdr:rowOff>19050</xdr:rowOff>
    </xdr:from>
    <xdr:to>
      <xdr:col>87</xdr:col>
      <xdr:colOff>0</xdr:colOff>
      <xdr:row>4</xdr:row>
      <xdr:rowOff>1547812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E1F05C-1DFC-9A41-99E9-284F26505410}"/>
            </a:ext>
          </a:extLst>
        </xdr:cNvPr>
        <xdr:cNvCxnSpPr/>
      </xdr:nvCxnSpPr>
      <xdr:spPr>
        <a:xfrm>
          <a:off x="10970856900" y="793750"/>
          <a:ext cx="3176587" cy="225266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ennakoura/Downloads/Egypt_Subsistence_workbook-1.xlsx" TargetMode="External"/><Relationship Id="rId1" Type="http://schemas.openxmlformats.org/officeDocument/2006/relationships/externalLinkPath" Target="Egypt_Subsistence_workbook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README"/>
      <sheetName val="1_Rwanda_LES_Step4"/>
      <sheetName val="2_Egypt_CQ Mapping"/>
      <sheetName val="3_Calculations"/>
      <sheetName val="4_Egypt_Subsistence"/>
      <sheetName val="5_CrossCheck"/>
    </sheetNames>
    <sheetDataSet>
      <sheetData sheetId="0" refreshError="1"/>
      <sheetData sheetId="1" refreshError="1"/>
      <sheetData sheetId="2">
        <row r="4">
          <cell r="D4">
            <v>32641993.475599609</v>
          </cell>
          <cell r="E4">
            <v>45170615.544219144</v>
          </cell>
          <cell r="F4">
            <v>53696560.514751107</v>
          </cell>
          <cell r="G4">
            <v>67116677.23612079</v>
          </cell>
          <cell r="H4">
            <v>93810194.22930935</v>
          </cell>
        </row>
        <row r="5">
          <cell r="D5">
            <v>3542387.0604569279</v>
          </cell>
          <cell r="E5">
            <v>5871439.8132240484</v>
          </cell>
          <cell r="F5">
            <v>7524433.3238728317</v>
          </cell>
          <cell r="G5">
            <v>9330112.7325194664</v>
          </cell>
          <cell r="H5">
            <v>13765183.06992672</v>
          </cell>
        </row>
        <row r="6">
          <cell r="D6">
            <v>3633332.5252556452</v>
          </cell>
          <cell r="E6">
            <v>4904715.9030179745</v>
          </cell>
          <cell r="F6">
            <v>6059712.8993074056</v>
          </cell>
          <cell r="G6">
            <v>7908310.7111706547</v>
          </cell>
          <cell r="H6">
            <v>14351425.96124832</v>
          </cell>
        </row>
        <row r="7">
          <cell r="D7">
            <v>1217884.3999999999</v>
          </cell>
          <cell r="E7">
            <v>1217884.3999999999</v>
          </cell>
          <cell r="F7">
            <v>1217884.3999999999</v>
          </cell>
          <cell r="G7">
            <v>1217884.3999999999</v>
          </cell>
          <cell r="H7">
            <v>1217884.3999999999</v>
          </cell>
        </row>
        <row r="8">
          <cell r="D8">
            <v>30356674.843749121</v>
          </cell>
          <cell r="E8">
            <v>38403977.982756481</v>
          </cell>
          <cell r="F8">
            <v>45213942.148905903</v>
          </cell>
          <cell r="G8">
            <v>54790109.846761063</v>
          </cell>
          <cell r="H8">
            <v>84710508.177827433</v>
          </cell>
        </row>
        <row r="9">
          <cell r="D9">
            <v>1252789.880654854</v>
          </cell>
          <cell r="E9">
            <v>2148195.199005316</v>
          </cell>
          <cell r="F9">
            <v>3168320.341727565</v>
          </cell>
          <cell r="G9">
            <v>4405808.0639519086</v>
          </cell>
          <cell r="H9">
            <v>11026593.514660349</v>
          </cell>
        </row>
        <row r="10">
          <cell r="D10">
            <v>1019923.642512484</v>
          </cell>
          <cell r="E10">
            <v>1645726.6143498369</v>
          </cell>
          <cell r="F10">
            <v>2068864.775495983</v>
          </cell>
          <cell r="G10">
            <v>2503676.9570959071</v>
          </cell>
          <cell r="H10">
            <v>3405850.0105457888</v>
          </cell>
        </row>
        <row r="11">
          <cell r="D11">
            <v>638386.05122439377</v>
          </cell>
          <cell r="E11">
            <v>1090736.744289042</v>
          </cell>
          <cell r="F11">
            <v>1494511.2540669171</v>
          </cell>
          <cell r="G11">
            <v>2208574.386614765</v>
          </cell>
          <cell r="H11">
            <v>3977660.563804884</v>
          </cell>
        </row>
        <row r="12">
          <cell r="D12">
            <v>1847185.02125754</v>
          </cell>
          <cell r="E12">
            <v>2912623.859278955</v>
          </cell>
          <cell r="F12">
            <v>3715988.0786655489</v>
          </cell>
          <cell r="G12">
            <v>4644999.2390734609</v>
          </cell>
          <cell r="H12">
            <v>7364926.8017244963</v>
          </cell>
        </row>
        <row r="13">
          <cell r="D13">
            <v>806736.47063374112</v>
          </cell>
          <cell r="E13">
            <v>1292144.1194312731</v>
          </cell>
          <cell r="F13">
            <v>1630724.007109578</v>
          </cell>
          <cell r="G13">
            <v>2000969.6347545059</v>
          </cell>
          <cell r="H13">
            <v>3207371.7680708999</v>
          </cell>
        </row>
        <row r="14">
          <cell r="D14">
            <v>540685.1613967556</v>
          </cell>
          <cell r="E14">
            <v>2047122.434973879</v>
          </cell>
          <cell r="F14">
            <v>57809.105306571299</v>
          </cell>
          <cell r="G14">
            <v>1049065.234533957</v>
          </cell>
          <cell r="H14">
            <v>2489192.0637888368</v>
          </cell>
        </row>
        <row r="15">
          <cell r="D15">
            <v>1821298.28385737</v>
          </cell>
          <cell r="E15">
            <v>2696599.534633175</v>
          </cell>
          <cell r="F15">
            <v>3386074.4095694469</v>
          </cell>
          <cell r="G15">
            <v>3812580.3727529398</v>
          </cell>
          <cell r="H15">
            <v>5304197.3991870685</v>
          </cell>
        </row>
        <row r="16">
          <cell r="D16">
            <v>2664242.488356208</v>
          </cell>
          <cell r="E16">
            <v>3944656.6818245151</v>
          </cell>
          <cell r="F16">
            <v>4953237.7406618409</v>
          </cell>
          <cell r="G16">
            <v>5577141.6770056142</v>
          </cell>
          <cell r="H16">
            <v>7759118.4121518219</v>
          </cell>
        </row>
        <row r="17">
          <cell r="D17">
            <v>18631074.703820921</v>
          </cell>
          <cell r="E17">
            <v>23371832.573382702</v>
          </cell>
          <cell r="F17">
            <v>26412403.995438021</v>
          </cell>
          <cell r="G17">
            <v>33698512.287242576</v>
          </cell>
          <cell r="H17">
            <v>77126169.44011575</v>
          </cell>
        </row>
        <row r="18">
          <cell r="D18">
            <v>3622214.987763559</v>
          </cell>
          <cell r="E18">
            <v>5297549.2293301234</v>
          </cell>
          <cell r="F18">
            <v>6903567.3280006172</v>
          </cell>
          <cell r="G18">
            <v>9543837.5986261591</v>
          </cell>
          <cell r="H18">
            <v>18397281.856279541</v>
          </cell>
        </row>
        <row r="19">
          <cell r="D19">
            <v>3301865.5695934091</v>
          </cell>
          <cell r="E19">
            <v>4829032.5760716964</v>
          </cell>
          <cell r="F19">
            <v>6293014.4158123462</v>
          </cell>
          <cell r="G19">
            <v>8699778.5508032367</v>
          </cell>
          <cell r="H19">
            <v>16770221.887719311</v>
          </cell>
        </row>
        <row r="20">
          <cell r="D20">
            <v>1144309.500887969</v>
          </cell>
          <cell r="E20">
            <v>1673571.4946691999</v>
          </cell>
          <cell r="F20">
            <v>2180935.415926544</v>
          </cell>
          <cell r="G20">
            <v>3015034.3504765122</v>
          </cell>
          <cell r="H20">
            <v>5811963.2380397776</v>
          </cell>
        </row>
        <row r="21">
          <cell r="D21">
            <v>2650033.0453579719</v>
          </cell>
          <cell r="E21">
            <v>4020233.9262930579</v>
          </cell>
          <cell r="F21">
            <v>5541205.8625484342</v>
          </cell>
          <cell r="G21">
            <v>6753713.681009287</v>
          </cell>
          <cell r="H21">
            <v>12816661.484791251</v>
          </cell>
        </row>
        <row r="22">
          <cell r="D22">
            <v>955941.76258713566</v>
          </cell>
          <cell r="E22">
            <v>1423184.482050742</v>
          </cell>
          <cell r="F22">
            <v>1850586.0703178721</v>
          </cell>
          <cell r="G22">
            <v>2420235.004663134</v>
          </cell>
          <cell r="H22">
            <v>4017546.680381116</v>
          </cell>
        </row>
        <row r="23">
          <cell r="D23">
            <v>959078.0588291164</v>
          </cell>
          <cell r="E23">
            <v>1427845.5382689589</v>
          </cell>
          <cell r="F23">
            <v>1856646.466191812</v>
          </cell>
          <cell r="G23">
            <v>2428166.0497510219</v>
          </cell>
          <cell r="H23">
            <v>4030704.8869590908</v>
          </cell>
        </row>
        <row r="24">
          <cell r="D24">
            <v>328327.99645704159</v>
          </cell>
          <cell r="E24">
            <v>849531.51886625332</v>
          </cell>
          <cell r="F24">
            <v>1289408.608680248</v>
          </cell>
          <cell r="G24">
            <v>5436232.4166519046</v>
          </cell>
          <cell r="H24">
            <v>6055247.4593445528</v>
          </cell>
        </row>
        <row r="25">
          <cell r="D25">
            <v>1659979.0618393831</v>
          </cell>
          <cell r="E25">
            <v>2970300.6663910411</v>
          </cell>
          <cell r="F25">
            <v>3925489.9342810232</v>
          </cell>
          <cell r="G25">
            <v>5615260.3854873888</v>
          </cell>
          <cell r="H25">
            <v>11614861.95200116</v>
          </cell>
        </row>
        <row r="26">
          <cell r="D26">
            <v>90833.348208268217</v>
          </cell>
          <cell r="E26">
            <v>234772.673444513</v>
          </cell>
          <cell r="F26">
            <v>356363.23334815091</v>
          </cell>
          <cell r="G26">
            <v>1502345.9626310279</v>
          </cell>
          <cell r="H26">
            <v>1673446.7823680399</v>
          </cell>
        </row>
        <row r="27">
          <cell r="D27">
            <v>536568.98516806681</v>
          </cell>
          <cell r="E27">
            <v>1560987.226595755</v>
          </cell>
          <cell r="F27">
            <v>2338961.8758077342</v>
          </cell>
          <cell r="G27">
            <v>4418796.4343554666</v>
          </cell>
          <cell r="H27">
            <v>25870709.478072971</v>
          </cell>
        </row>
        <row r="28">
          <cell r="D28">
            <v>15010.365485412891</v>
          </cell>
          <cell r="E28">
            <v>43654.879578045162</v>
          </cell>
          <cell r="F28">
            <v>65402.306757870443</v>
          </cell>
          <cell r="G28">
            <v>123539.46860062639</v>
          </cell>
          <cell r="H28">
            <v>723265.9795780452</v>
          </cell>
        </row>
        <row r="29">
          <cell r="D29">
            <v>1298673.801488949</v>
          </cell>
          <cell r="E29">
            <v>1780024.442898026</v>
          </cell>
          <cell r="F29">
            <v>2198572.64837032</v>
          </cell>
          <cell r="G29">
            <v>3006400.9463344971</v>
          </cell>
          <cell r="H29">
            <v>6109703.1609082082</v>
          </cell>
        </row>
        <row r="30">
          <cell r="D30">
            <v>534484.74707621988</v>
          </cell>
          <cell r="E30">
            <v>732590.48627574032</v>
          </cell>
          <cell r="F30">
            <v>904848.54873445281</v>
          </cell>
          <cell r="G30">
            <v>1237319.534664239</v>
          </cell>
          <cell r="H30">
            <v>2514520.6832493478</v>
          </cell>
        </row>
        <row r="31">
          <cell r="D31">
            <v>265458.14287982852</v>
          </cell>
          <cell r="E31">
            <v>363849.271541283</v>
          </cell>
          <cell r="F31">
            <v>449403.23951768642</v>
          </cell>
          <cell r="G31">
            <v>614528.3850680691</v>
          </cell>
          <cell r="H31">
            <v>1248863.960993133</v>
          </cell>
        </row>
        <row r="32">
          <cell r="D32">
            <v>8776156.4965341985</v>
          </cell>
          <cell r="E32">
            <v>11847656.967977799</v>
          </cell>
          <cell r="F32">
            <v>14638049.12805189</v>
          </cell>
          <cell r="G32">
            <v>19104636.207140941</v>
          </cell>
          <cell r="H32">
            <v>34686362.200295173</v>
          </cell>
        </row>
        <row r="33">
          <cell r="D33">
            <v>1455992.1862379089</v>
          </cell>
          <cell r="E33">
            <v>1965427.3932595779</v>
          </cell>
          <cell r="F33">
            <v>2310528.5550773842</v>
          </cell>
          <cell r="G33">
            <v>2899684.4596602158</v>
          </cell>
          <cell r="H33">
            <v>4307688.4057649132</v>
          </cell>
        </row>
        <row r="34">
          <cell r="D34">
            <v>1039633.532940779</v>
          </cell>
          <cell r="E34">
            <v>1399102.3109156841</v>
          </cell>
          <cell r="F34">
            <v>2312112.6442880509</v>
          </cell>
          <cell r="G34">
            <v>4390694.5081088692</v>
          </cell>
          <cell r="H34">
            <v>14583573.003746619</v>
          </cell>
        </row>
        <row r="35">
          <cell r="D35">
            <v>2907530.8047028752</v>
          </cell>
          <cell r="E35">
            <v>7714447.0576469107</v>
          </cell>
          <cell r="F35">
            <v>16638362.63129534</v>
          </cell>
          <cell r="G35">
            <v>39734528.087341949</v>
          </cell>
          <cell r="H35">
            <v>309787929.4190129</v>
          </cell>
        </row>
        <row r="36">
          <cell r="D36">
            <v>13033341.4922044</v>
          </cell>
          <cell r="E36">
            <v>18933226.0156064</v>
          </cell>
          <cell r="F36">
            <v>25816754.475030862</v>
          </cell>
          <cell r="G36">
            <v>34656257.760134518</v>
          </cell>
          <cell r="H36">
            <v>57846846.257023834</v>
          </cell>
        </row>
        <row r="37">
          <cell r="D37">
            <v>2187118.986136036</v>
          </cell>
          <cell r="E37">
            <v>3177175.9481533999</v>
          </cell>
          <cell r="F37">
            <v>4332297.9181248331</v>
          </cell>
          <cell r="G37">
            <v>5815650.6635271125</v>
          </cell>
          <cell r="H37">
            <v>9707252.4840586204</v>
          </cell>
        </row>
        <row r="38">
          <cell r="D38">
            <v>7482173.3138048453</v>
          </cell>
          <cell r="E38">
            <v>10840407.98852375</v>
          </cell>
          <cell r="F38">
            <v>13274754.602449721</v>
          </cell>
          <cell r="G38">
            <v>17334235.77259751</v>
          </cell>
          <cell r="H38">
            <v>35855132.322624177</v>
          </cell>
        </row>
        <row r="39">
          <cell r="D39">
            <v>158685.6281692989</v>
          </cell>
          <cell r="E39">
            <v>258826.7491690171</v>
          </cell>
          <cell r="F39">
            <v>364752.3478752654</v>
          </cell>
          <cell r="G39">
            <v>528480.33493344614</v>
          </cell>
          <cell r="H39">
            <v>1041820.939852972</v>
          </cell>
        </row>
        <row r="40">
          <cell r="D40">
            <v>127740.98842146729</v>
          </cell>
          <cell r="E40">
            <v>208353.95761029291</v>
          </cell>
          <cell r="F40">
            <v>293623.22517430398</v>
          </cell>
          <cell r="G40">
            <v>425423.33375324158</v>
          </cell>
          <cell r="H40">
            <v>838659.49504069414</v>
          </cell>
        </row>
        <row r="41">
          <cell r="D41">
            <v>238861.6270654097</v>
          </cell>
          <cell r="E41">
            <v>389599.03109649278</v>
          </cell>
          <cell r="F41">
            <v>549043.20199812204</v>
          </cell>
          <cell r="G41">
            <v>795494.93821525027</v>
          </cell>
          <cell r="H41">
            <v>1568201.201624725</v>
          </cell>
        </row>
        <row r="42">
          <cell r="D42">
            <v>5820410.1491838349</v>
          </cell>
          <cell r="E42">
            <v>9493462.5414661281</v>
          </cell>
          <cell r="F42">
            <v>13378675.201243989</v>
          </cell>
          <cell r="G42">
            <v>19384026.522803579</v>
          </cell>
          <cell r="H42">
            <v>38212735.585302457</v>
          </cell>
        </row>
        <row r="43">
          <cell r="D43">
            <v>1699454.3010246831</v>
          </cell>
          <cell r="E43">
            <v>3657597.7289178218</v>
          </cell>
          <cell r="F43">
            <v>5509347.5545339109</v>
          </cell>
          <cell r="G43">
            <v>8115378.272271568</v>
          </cell>
          <cell r="H43">
            <v>16503622.143252021</v>
          </cell>
        </row>
        <row r="44">
          <cell r="D44">
            <v>341879.04393748351</v>
          </cell>
          <cell r="E44">
            <v>735798.96866576956</v>
          </cell>
          <cell r="F44">
            <v>1108315.5520479099</v>
          </cell>
          <cell r="G44">
            <v>1632571.2172222361</v>
          </cell>
          <cell r="H44">
            <v>3320034.1285135662</v>
          </cell>
        </row>
        <row r="45">
          <cell r="D45">
            <v>28858.354834404989</v>
          </cell>
          <cell r="E45">
            <v>62109.111030542314</v>
          </cell>
          <cell r="F45">
            <v>93553.005123912939</v>
          </cell>
          <cell r="G45">
            <v>137805.16287311981</v>
          </cell>
          <cell r="H45">
            <v>280243.36613801977</v>
          </cell>
        </row>
        <row r="46">
          <cell r="D46">
            <v>24274321.007418729</v>
          </cell>
          <cell r="E46">
            <v>33466176.235897601</v>
          </cell>
          <cell r="F46">
            <v>41096103.665931322</v>
          </cell>
          <cell r="G46">
            <v>52240270.128817901</v>
          </cell>
          <cell r="H46">
            <v>123040060.9619344</v>
          </cell>
        </row>
        <row r="47">
          <cell r="D47">
            <v>364012.43069063581</v>
          </cell>
          <cell r="E47">
            <v>625134.05782690516</v>
          </cell>
          <cell r="F47">
            <v>930519.19811494939</v>
          </cell>
          <cell r="G47">
            <v>1364458.626428111</v>
          </cell>
          <cell r="H47">
            <v>3137481.6869393992</v>
          </cell>
        </row>
        <row r="48">
          <cell r="D48">
            <v>164158.7776962379</v>
          </cell>
          <cell r="E48">
            <v>281917.98129956238</v>
          </cell>
          <cell r="F48">
            <v>419637.82426176663</v>
          </cell>
          <cell r="G48">
            <v>615332.2752807861</v>
          </cell>
          <cell r="H48">
            <v>1414915.1414616471</v>
          </cell>
        </row>
        <row r="49">
          <cell r="D49">
            <v>438145.79382699879</v>
          </cell>
          <cell r="E49">
            <v>752447.67714774783</v>
          </cell>
          <cell r="F49">
            <v>1120024.0962374341</v>
          </cell>
          <cell r="G49">
            <v>1642337.9653301251</v>
          </cell>
          <cell r="H49">
            <v>3776447.4674576949</v>
          </cell>
        </row>
        <row r="50">
          <cell r="D50">
            <v>45715.978420580723</v>
          </cell>
          <cell r="E50">
            <v>78509.928229794736</v>
          </cell>
          <cell r="F50">
            <v>116862.8441082952</v>
          </cell>
          <cell r="G50">
            <v>171360.98825178909</v>
          </cell>
          <cell r="H50">
            <v>394033.26098954031</v>
          </cell>
        </row>
        <row r="51">
          <cell r="D51">
            <v>321396.38447008783</v>
          </cell>
          <cell r="E51">
            <v>551948.50378304871</v>
          </cell>
          <cell r="F51">
            <v>821579.82474484493</v>
          </cell>
          <cell r="G51">
            <v>1204717.6772161431</v>
          </cell>
          <cell r="H51">
            <v>2770166.6097858748</v>
          </cell>
        </row>
        <row r="52">
          <cell r="D52">
            <v>280380.81799639331</v>
          </cell>
          <cell r="E52">
            <v>481511.50540833262</v>
          </cell>
          <cell r="F52">
            <v>716733.62800561532</v>
          </cell>
          <cell r="G52">
            <v>1050977.1575585341</v>
          </cell>
          <cell r="H52">
            <v>2416651.8910311251</v>
          </cell>
        </row>
        <row r="53">
          <cell r="D53">
            <v>5569.1428067702682</v>
          </cell>
          <cell r="E53">
            <v>9565.568302537713</v>
          </cell>
          <cell r="F53">
            <v>14238.83675064313</v>
          </cell>
          <cell r="G53">
            <v>20879.797176898199</v>
          </cell>
          <cell r="H53">
            <v>48012.761470489117</v>
          </cell>
        </row>
        <row r="54">
          <cell r="D54">
            <v>116371.4901484889</v>
          </cell>
          <cell r="E54">
            <v>199850.37869880031</v>
          </cell>
          <cell r="F54">
            <v>297479.4711219258</v>
          </cell>
          <cell r="G54">
            <v>436207.01821336738</v>
          </cell>
          <cell r="H54">
            <v>1003028.641817418</v>
          </cell>
        </row>
        <row r="55">
          <cell r="D55">
            <v>66322.350839980107</v>
          </cell>
          <cell r="E55">
            <v>113897.3962202262</v>
          </cell>
          <cell r="F55">
            <v>169538.06841204659</v>
          </cell>
          <cell r="G55">
            <v>248601.67905270579</v>
          </cell>
          <cell r="H55">
            <v>571642.50547504122</v>
          </cell>
        </row>
        <row r="56">
          <cell r="D56">
            <v>791158.93036679586</v>
          </cell>
          <cell r="E56">
            <v>1358692.414713586</v>
          </cell>
          <cell r="F56">
            <v>2022425.5323286271</v>
          </cell>
          <cell r="G56">
            <v>2965566.6061092201</v>
          </cell>
          <cell r="H56">
            <v>6819121.5164817711</v>
          </cell>
        </row>
        <row r="57">
          <cell r="D57">
            <v>110179.7935538688</v>
          </cell>
          <cell r="E57">
            <v>189217.73135328351</v>
          </cell>
          <cell r="F57">
            <v>281651.88643254712</v>
          </cell>
          <cell r="G57">
            <v>412998.01030654402</v>
          </cell>
          <cell r="H57">
            <v>949661.57835375669</v>
          </cell>
        </row>
        <row r="58">
          <cell r="D58">
            <v>76841.480844108664</v>
          </cell>
          <cell r="E58">
            <v>131963.99881661721</v>
          </cell>
          <cell r="F58">
            <v>196428.8177581029</v>
          </cell>
          <cell r="G58">
            <v>288032.74597753648</v>
          </cell>
          <cell r="H58">
            <v>662311.95660363464</v>
          </cell>
        </row>
        <row r="59">
          <cell r="D59">
            <v>441324.03447176318</v>
          </cell>
          <cell r="E59">
            <v>757899.58811685315</v>
          </cell>
          <cell r="F59">
            <v>1128137.022352366</v>
          </cell>
          <cell r="G59">
            <v>1654226.272995485</v>
          </cell>
          <cell r="H59">
            <v>3803776.082063532</v>
          </cell>
        </row>
        <row r="60">
          <cell r="D60">
            <v>3049594.2107018712</v>
          </cell>
          <cell r="E60">
            <v>4689898.119464525</v>
          </cell>
          <cell r="F60">
            <v>5617396.7544407081</v>
          </cell>
          <cell r="G60">
            <v>9324198.7787628714</v>
          </cell>
          <cell r="H60">
            <v>26262918.136630021</v>
          </cell>
        </row>
        <row r="61">
          <cell r="D61">
            <v>4040308.9476586538</v>
          </cell>
          <cell r="E61">
            <v>7986942.1210538177</v>
          </cell>
          <cell r="F61">
            <v>11430696.7217703</v>
          </cell>
          <cell r="G61">
            <v>14994028.90847647</v>
          </cell>
          <cell r="H61">
            <v>36922658.934075028</v>
          </cell>
        </row>
        <row r="62">
          <cell r="D62">
            <v>8777472.6572384294</v>
          </cell>
          <cell r="E62">
            <v>12848017.03273108</v>
          </cell>
          <cell r="F62">
            <v>16423670.541651919</v>
          </cell>
          <cell r="G62">
            <v>27139814.879327551</v>
          </cell>
          <cell r="H62">
            <v>62325070.146961093</v>
          </cell>
        </row>
        <row r="63">
          <cell r="D63">
            <v>7856.6306231460958</v>
          </cell>
          <cell r="E63">
            <v>11690.443860685809</v>
          </cell>
          <cell r="F63">
            <v>14698.70720733897</v>
          </cell>
          <cell r="G63">
            <v>19217.739496732451</v>
          </cell>
          <cell r="H63">
            <v>54580.47881209667</v>
          </cell>
        </row>
        <row r="64">
          <cell r="D64">
            <v>244.71525042205971</v>
          </cell>
          <cell r="E64">
            <v>364.85968861376858</v>
          </cell>
          <cell r="F64">
            <v>458.44588257362591</v>
          </cell>
          <cell r="G64">
            <v>599.45751266178956</v>
          </cell>
          <cell r="H64">
            <v>1703.521665728756</v>
          </cell>
        </row>
        <row r="65">
          <cell r="D65">
            <v>9653.7213490208014</v>
          </cell>
          <cell r="E65">
            <v>14364.272127759859</v>
          </cell>
          <cell r="F65">
            <v>18060.904032492301</v>
          </cell>
          <cell r="G65">
            <v>23613.43731757603</v>
          </cell>
          <cell r="H65">
            <v>67064.665173151006</v>
          </cell>
        </row>
        <row r="66">
          <cell r="D66">
            <v>1527263.1279780311</v>
          </cell>
          <cell r="E66">
            <v>2272547.3523893808</v>
          </cell>
          <cell r="F66">
            <v>2857325.9363962221</v>
          </cell>
          <cell r="G66">
            <v>3735728.9574181051</v>
          </cell>
          <cell r="H66">
            <v>10609804.62581826</v>
          </cell>
        </row>
        <row r="67">
          <cell r="D67">
            <v>926270.5738611765</v>
          </cell>
          <cell r="E67">
            <v>1378278.5245335081</v>
          </cell>
          <cell r="F67">
            <v>1732941.6703750589</v>
          </cell>
          <cell r="G67">
            <v>2265684.115114056</v>
          </cell>
          <cell r="H67">
            <v>6434747.4085799903</v>
          </cell>
        </row>
        <row r="68">
          <cell r="D68">
            <v>681995.48428146401</v>
          </cell>
          <cell r="E68">
            <v>1014800.817990172</v>
          </cell>
          <cell r="F68">
            <v>1275932.290019016</v>
          </cell>
          <cell r="G68">
            <v>1668180.8575956591</v>
          </cell>
          <cell r="H68">
            <v>4737783.5501136901</v>
          </cell>
        </row>
        <row r="69">
          <cell r="D69">
            <v>805579.93594107754</v>
          </cell>
          <cell r="E69">
            <v>1198692.411425974</v>
          </cell>
          <cell r="F69">
            <v>1507143.334660582</v>
          </cell>
          <cell r="G69">
            <v>1970471.2174269471</v>
          </cell>
          <cell r="H69">
            <v>5596315.0433869176</v>
          </cell>
        </row>
        <row r="70">
          <cell r="D70">
            <v>125885.3063008421</v>
          </cell>
          <cell r="E70">
            <v>187311.72193758591</v>
          </cell>
          <cell r="F70">
            <v>235510.79543674321</v>
          </cell>
          <cell r="G70">
            <v>307910.31231427088</v>
          </cell>
          <cell r="H70">
            <v>874485.86401055788</v>
          </cell>
        </row>
      </sheetData>
      <sheetData sheetId="3">
        <row r="9">
          <cell r="C9">
            <v>0.72051968360265706</v>
          </cell>
          <cell r="D9">
            <v>0.68064742216061136</v>
          </cell>
          <cell r="E9">
            <v>0.65188581252771116</v>
          </cell>
          <cell r="F9">
            <v>0.60892892198467141</v>
          </cell>
          <cell r="G9">
            <v>0.46486925376120203</v>
          </cell>
        </row>
        <row r="14">
          <cell r="B14" t="str">
            <v>Cereals &amp; roots</v>
          </cell>
          <cell r="C14">
            <v>90.944310987806773</v>
          </cell>
          <cell r="D14">
            <v>89.600909903755195</v>
          </cell>
          <cell r="E14">
            <v>88.44069825135341</v>
          </cell>
          <cell r="F14">
            <v>86.782958929817354</v>
          </cell>
          <cell r="G14">
            <v>77.744120361915932</v>
          </cell>
        </row>
        <row r="15">
          <cell r="B15" t="str">
            <v>Vegetables &amp; pulses</v>
          </cell>
          <cell r="C15">
            <v>85.510897580490877</v>
          </cell>
          <cell r="D15">
            <v>83.361455846008297</v>
          </cell>
          <cell r="E15">
            <v>81.505117202165465</v>
          </cell>
          <cell r="F15">
            <v>78.852734287707761</v>
          </cell>
          <cell r="G15">
            <v>64.390592579065498</v>
          </cell>
        </row>
        <row r="16">
          <cell r="B16" t="str">
            <v>Fish, meat &amp; eggs</v>
          </cell>
          <cell r="C16">
            <v>83.699759778052226</v>
          </cell>
          <cell r="D16">
            <v>81.281637826759336</v>
          </cell>
          <cell r="E16">
            <v>79.193256852436164</v>
          </cell>
          <cell r="F16">
            <v>76.209326073671249</v>
          </cell>
          <cell r="G16">
            <v>59.939416651448695</v>
          </cell>
        </row>
        <row r="17">
          <cell r="B17" t="str">
            <v>Dairy &amp; fats/oils</v>
          </cell>
          <cell r="C17">
            <v>85.510897580490877</v>
          </cell>
          <cell r="D17">
            <v>83.361455846008297</v>
          </cell>
          <cell r="E17">
            <v>81.505117202165465</v>
          </cell>
          <cell r="F17">
            <v>78.852734287707761</v>
          </cell>
          <cell r="G17">
            <v>64.390592579065498</v>
          </cell>
        </row>
        <row r="18">
          <cell r="B18" t="str">
            <v>Other food</v>
          </cell>
          <cell r="C18">
            <v>72.832932963420348</v>
          </cell>
          <cell r="D18">
            <v>68.80272971126557</v>
          </cell>
          <cell r="E18">
            <v>65.322094754060259</v>
          </cell>
          <cell r="F18">
            <v>60.348876789452078</v>
          </cell>
          <cell r="G18">
            <v>33.232361085747804</v>
          </cell>
        </row>
        <row r="19">
          <cell r="B19" t="str">
            <v>Clothing &amp; textiles</v>
          </cell>
          <cell r="C19">
            <v>81.888621975613574</v>
          </cell>
          <cell r="D19">
            <v>79.201819807510375</v>
          </cell>
          <cell r="E19">
            <v>76.881396502706821</v>
          </cell>
          <cell r="F19">
            <v>73.565917859634723</v>
          </cell>
          <cell r="G19">
            <v>55.488240723831872</v>
          </cell>
        </row>
        <row r="20">
          <cell r="B20" t="str">
            <v>Utilities (elec/water)</v>
          </cell>
          <cell r="C20">
            <v>81.888621975613574</v>
          </cell>
          <cell r="D20">
            <v>79.201819807510375</v>
          </cell>
          <cell r="E20">
            <v>76.881396502706835</v>
          </cell>
          <cell r="F20">
            <v>73.565917859634723</v>
          </cell>
          <cell r="G20">
            <v>55.488240723831872</v>
          </cell>
        </row>
        <row r="21">
          <cell r="B21" t="str">
            <v>housing</v>
          </cell>
          <cell r="C21">
            <v>85.510897580490862</v>
          </cell>
          <cell r="D21">
            <v>83.361455846008297</v>
          </cell>
          <cell r="E21">
            <v>81.505117202165451</v>
          </cell>
          <cell r="F21">
            <v>78.852734287707761</v>
          </cell>
          <cell r="G21">
            <v>64.390592579065512</v>
          </cell>
        </row>
        <row r="22">
          <cell r="B22" t="str">
            <v>Educ, health &amp; public</v>
          </cell>
          <cell r="C22">
            <v>81.888621975613574</v>
          </cell>
          <cell r="D22">
            <v>79.201819807510375</v>
          </cell>
          <cell r="E22">
            <v>76.881396502706821</v>
          </cell>
          <cell r="F22">
            <v>73.565917859634723</v>
          </cell>
          <cell r="G22">
            <v>55.488240723831872</v>
          </cell>
        </row>
        <row r="23">
          <cell r="B23" t="str">
            <v>Manufacturing</v>
          </cell>
          <cell r="C23">
            <v>77.900210903003526</v>
          </cell>
          <cell r="D23">
            <v>74.806241472655131</v>
          </cell>
          <cell r="E23">
            <v>72.919850367004898</v>
          </cell>
          <cell r="F23">
            <v>70.524239939621523</v>
          </cell>
          <cell r="G23">
            <v>54.832228927393679</v>
          </cell>
        </row>
        <row r="24">
          <cell r="B24" t="str">
            <v>Services (residual)</v>
          </cell>
          <cell r="C24">
            <v>77.900210903003526</v>
          </cell>
          <cell r="D24">
            <v>74.806241472655131</v>
          </cell>
          <cell r="E24">
            <v>72.919850367004898</v>
          </cell>
          <cell r="F24">
            <v>70.524239939621523</v>
          </cell>
          <cell r="G24">
            <v>54.832228927393686</v>
          </cell>
        </row>
        <row r="30">
          <cell r="B30" t="str">
            <v>Cereals &amp; roots</v>
          </cell>
          <cell r="C30">
            <v>1.1105854365810424</v>
          </cell>
          <cell r="D30">
            <v>1.1312986257325708</v>
          </cell>
          <cell r="E30">
            <v>1.1503523904933177</v>
          </cell>
          <cell r="F30">
            <v>1.1796625591676979</v>
          </cell>
          <cell r="G30">
            <v>1.4010918232000333</v>
          </cell>
        </row>
        <row r="31">
          <cell r="B31" t="str">
            <v>Vegetables &amp; pulses</v>
          </cell>
          <cell r="C31">
            <v>1.0442341746324171</v>
          </cell>
          <cell r="D31">
            <v>1.0525194502930282</v>
          </cell>
          <cell r="E31">
            <v>1.0601409561973272</v>
          </cell>
          <cell r="F31">
            <v>1.071865023667079</v>
          </cell>
          <cell r="G31">
            <v>1.1604367292800133</v>
          </cell>
        </row>
        <row r="32">
          <cell r="B32" t="str">
            <v>Fish, meat &amp; eggs</v>
          </cell>
          <cell r="C32">
            <v>1.0221170873162084</v>
          </cell>
          <cell r="D32">
            <v>1.0262597251465142</v>
          </cell>
          <cell r="E32">
            <v>1.0300704780986638</v>
          </cell>
          <cell r="F32">
            <v>1.0359325118335396</v>
          </cell>
          <cell r="G32">
            <v>1.0802183646400068</v>
          </cell>
        </row>
        <row r="33">
          <cell r="B33" t="str">
            <v>Dairy &amp; fats/oils</v>
          </cell>
          <cell r="C33">
            <v>1.0442341746324171</v>
          </cell>
          <cell r="D33">
            <v>1.0525194502930282</v>
          </cell>
          <cell r="E33">
            <v>1.0601409561973272</v>
          </cell>
          <cell r="F33">
            <v>1.071865023667079</v>
          </cell>
          <cell r="G33">
            <v>1.1604367292800133</v>
          </cell>
        </row>
        <row r="34">
          <cell r="B34" t="str">
            <v>Other food</v>
          </cell>
          <cell r="C34">
            <v>0.88941456341895664</v>
          </cell>
          <cell r="D34">
            <v>0.86870137426742933</v>
          </cell>
          <cell r="E34">
            <v>0.84964760950668217</v>
          </cell>
          <cell r="F34">
            <v>0.82033744083230187</v>
          </cell>
          <cell r="G34">
            <v>0.59890817679996655</v>
          </cell>
        </row>
        <row r="35">
          <cell r="B35" t="str">
            <v>Clothing &amp; textiles</v>
          </cell>
          <cell r="C35">
            <v>0.99999999999999967</v>
          </cell>
          <cell r="D35">
            <v>1</v>
          </cell>
          <cell r="E35">
            <v>0.99999999999999978</v>
          </cell>
          <cell r="F35">
            <v>1</v>
          </cell>
          <cell r="G35">
            <v>1</v>
          </cell>
        </row>
        <row r="36">
          <cell r="B36" t="str">
            <v>Utilities (elec/water)</v>
          </cell>
          <cell r="C36">
            <v>0.99999999999999967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</row>
        <row r="37">
          <cell r="B37" t="str">
            <v>housing</v>
          </cell>
          <cell r="C37">
            <v>1.0442341746324169</v>
          </cell>
          <cell r="D37">
            <v>1.0525194502930282</v>
          </cell>
          <cell r="E37">
            <v>1.060140956197327</v>
          </cell>
          <cell r="F37">
            <v>1.071865023667079</v>
          </cell>
          <cell r="G37">
            <v>1.1604367292800135</v>
          </cell>
        </row>
        <row r="38">
          <cell r="B38" t="str">
            <v>Educ, health &amp; public</v>
          </cell>
          <cell r="C38">
            <v>0.99999999999999967</v>
          </cell>
          <cell r="D38">
            <v>1</v>
          </cell>
          <cell r="E38">
            <v>0.99999999999999978</v>
          </cell>
          <cell r="F38">
            <v>1</v>
          </cell>
          <cell r="G38">
            <v>1</v>
          </cell>
        </row>
        <row r="39">
          <cell r="B39" t="str">
            <v>Manufacturing</v>
          </cell>
          <cell r="C39">
            <v>0.95129468567931419</v>
          </cell>
          <cell r="D39">
            <v>0.94450154875812042</v>
          </cell>
          <cell r="E39">
            <v>0.94847198001193356</v>
          </cell>
          <cell r="F39">
            <v>0.95865370801439898</v>
          </cell>
          <cell r="G39">
            <v>0.9881774626861356</v>
          </cell>
        </row>
        <row r="40">
          <cell r="B40" t="str">
            <v>Services (residual)</v>
          </cell>
          <cell r="C40">
            <v>0.95129468567931419</v>
          </cell>
          <cell r="D40">
            <v>0.94450154875812042</v>
          </cell>
          <cell r="E40">
            <v>0.94847198001193356</v>
          </cell>
          <cell r="F40">
            <v>0.95865370801439898</v>
          </cell>
          <cell r="G40">
            <v>0.98817746268613571</v>
          </cell>
        </row>
        <row r="45">
          <cell r="C45">
            <v>1.0116875123257982</v>
          </cell>
          <cell r="D45">
            <v>1.0105795050103752</v>
          </cell>
          <cell r="E45">
            <v>1.0126420105615368</v>
          </cell>
          <cell r="F45">
            <v>1.0174678065813405</v>
          </cell>
          <cell r="G45">
            <v>1.0453469290000019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A268-CE84-B54D-8D61-5CF35C8F151E}">
  <sheetPr>
    <tabColor rgb="FF00B050"/>
  </sheetPr>
  <dimension ref="A1:FO1861"/>
  <sheetViews>
    <sheetView rightToLeft="1" zoomScale="75" zoomScaleNormal="85" workbookViewId="0">
      <pane xSplit="2" ySplit="5" topLeftCell="BO6" activePane="bottomRight" state="frozen"/>
      <selection pane="topRight" activeCell="C1" sqref="C1"/>
      <selection pane="bottomLeft" activeCell="A6" sqref="A6"/>
      <selection pane="bottomRight" activeCell="BR89" sqref="BR89"/>
    </sheetView>
  </sheetViews>
  <sheetFormatPr baseColWidth="10" defaultColWidth="8.83203125" defaultRowHeight="29" x14ac:dyDescent="0.2"/>
  <cols>
    <col min="1" max="1" width="12.5" style="54" customWidth="1"/>
    <col min="2" max="2" width="39.5" style="55" customWidth="1"/>
    <col min="3" max="6" width="18.5" style="54" customWidth="1"/>
    <col min="7" max="7" width="18.5" style="454" customWidth="1"/>
    <col min="8" max="15" width="18.5" style="54" customWidth="1"/>
    <col min="16" max="16" width="18.5" style="60" customWidth="1"/>
    <col min="17" max="44" width="18.5" style="54" customWidth="1"/>
    <col min="45" max="45" width="16.5" style="54" bestFit="1" customWidth="1"/>
    <col min="46" max="46" width="13.5" style="54" bestFit="1" customWidth="1"/>
    <col min="47" max="48" width="18.5" style="54" customWidth="1"/>
    <col min="49" max="49" width="16.33203125" style="54" bestFit="1" customWidth="1"/>
    <col min="50" max="50" width="18.5" style="54" customWidth="1"/>
    <col min="51" max="51" width="17.33203125" style="54" bestFit="1" customWidth="1"/>
    <col min="52" max="53" width="18.5" style="54" customWidth="1"/>
    <col min="54" max="54" width="21.5" style="54" customWidth="1"/>
    <col min="55" max="60" width="18.5" style="54" customWidth="1"/>
    <col min="61" max="69" width="18.5" style="42" customWidth="1"/>
    <col min="70" max="70" width="18.5" style="49" customWidth="1"/>
    <col min="71" max="74" width="18.5" style="56" customWidth="1"/>
    <col min="75" max="75" width="18.5" style="42" customWidth="1"/>
    <col min="76" max="76" width="18.33203125" style="42" customWidth="1"/>
    <col min="77" max="77" width="16.5" style="42" bestFit="1" customWidth="1"/>
    <col min="78" max="78" width="16" style="42" bestFit="1" customWidth="1"/>
    <col min="79" max="79" width="15.5" style="42" customWidth="1"/>
    <col min="80" max="80" width="16.1640625" style="42" customWidth="1"/>
    <col min="81" max="81" width="15.5" style="42" customWidth="1"/>
    <col min="82" max="82" width="16.1640625" style="42" customWidth="1"/>
    <col min="83" max="83" width="18.5" style="42" customWidth="1"/>
    <col min="84" max="84" width="17.5" style="49" customWidth="1"/>
    <col min="85" max="85" width="14.5" style="57" customWidth="1"/>
    <col min="86" max="86" width="17.33203125" style="58" customWidth="1"/>
    <col min="87" max="87" width="42" style="59" customWidth="1"/>
    <col min="88" max="88" width="12.1640625" style="2" customWidth="1"/>
    <col min="89" max="89" width="16.5" style="2" bestFit="1" customWidth="1"/>
    <col min="90" max="90" width="15.5" style="2" customWidth="1"/>
    <col min="91" max="16384" width="8.83203125" style="42"/>
  </cols>
  <sheetData>
    <row r="1" spans="1:171" s="2" customFormat="1" ht="42" customHeight="1" x14ac:dyDescent="0.2">
      <c r="A1" s="404" t="s">
        <v>0</v>
      </c>
      <c r="B1" s="404"/>
      <c r="C1" s="404"/>
      <c r="D1" s="404"/>
      <c r="E1" s="404"/>
      <c r="F1" s="404"/>
      <c r="G1" s="404"/>
      <c r="H1" s="404"/>
      <c r="I1" s="1"/>
      <c r="J1" s="1"/>
      <c r="K1" s="1"/>
      <c r="L1" s="1"/>
      <c r="M1" s="1"/>
      <c r="N1" s="1"/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W1" s="405" t="s">
        <v>1</v>
      </c>
      <c r="BX1" s="405"/>
      <c r="BY1" s="405"/>
      <c r="BZ1" s="405"/>
      <c r="CA1" s="405"/>
      <c r="CB1" s="405"/>
      <c r="CC1" s="405"/>
      <c r="CD1" s="405"/>
      <c r="CE1" s="405"/>
      <c r="CF1" s="405"/>
      <c r="CG1" s="405"/>
      <c r="CH1" s="405"/>
      <c r="CI1" s="405"/>
      <c r="CJ1" s="405"/>
    </row>
    <row r="2" spans="1:171" s="6" customFormat="1" ht="19.5" customHeight="1" thickBot="1" x14ac:dyDescent="0.25">
      <c r="A2" s="406" t="s">
        <v>2</v>
      </c>
      <c r="B2" s="406"/>
      <c r="C2" s="3"/>
      <c r="D2" s="4"/>
      <c r="E2" s="5"/>
      <c r="F2" s="5"/>
      <c r="G2" s="44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CI2" s="7"/>
      <c r="CJ2" s="6" t="s">
        <v>3</v>
      </c>
    </row>
    <row r="3" spans="1:171" s="12" customFormat="1" ht="35.25" customHeight="1" x14ac:dyDescent="0.2">
      <c r="A3" s="407" t="s">
        <v>4</v>
      </c>
      <c r="B3" s="408" t="s">
        <v>5</v>
      </c>
      <c r="C3" s="8" t="s">
        <v>6</v>
      </c>
      <c r="D3" s="8" t="s">
        <v>7</v>
      </c>
      <c r="E3" s="8">
        <v>6</v>
      </c>
      <c r="F3" s="8" t="s">
        <v>8</v>
      </c>
      <c r="G3" s="450">
        <v>10</v>
      </c>
      <c r="H3" s="8">
        <v>11</v>
      </c>
      <c r="I3" s="8">
        <v>12</v>
      </c>
      <c r="J3" s="8">
        <v>13</v>
      </c>
      <c r="K3" s="8">
        <v>14</v>
      </c>
      <c r="L3" s="8">
        <v>15</v>
      </c>
      <c r="M3" s="8">
        <v>16</v>
      </c>
      <c r="N3" s="8">
        <v>17</v>
      </c>
      <c r="O3" s="8">
        <v>18</v>
      </c>
      <c r="P3" s="68">
        <v>19</v>
      </c>
      <c r="Q3" s="8">
        <v>20</v>
      </c>
      <c r="R3" s="8">
        <v>21</v>
      </c>
      <c r="S3" s="8">
        <v>22</v>
      </c>
      <c r="T3" s="8">
        <v>23</v>
      </c>
      <c r="U3" s="8">
        <v>24</v>
      </c>
      <c r="V3" s="8">
        <v>25</v>
      </c>
      <c r="W3" s="8">
        <v>26</v>
      </c>
      <c r="X3" s="8">
        <v>27</v>
      </c>
      <c r="Y3" s="8">
        <v>28</v>
      </c>
      <c r="Z3" s="8">
        <v>29</v>
      </c>
      <c r="AA3" s="8">
        <v>30</v>
      </c>
      <c r="AB3" s="8">
        <v>31</v>
      </c>
      <c r="AC3" s="8">
        <v>32</v>
      </c>
      <c r="AD3" s="8">
        <v>33</v>
      </c>
      <c r="AE3" s="8">
        <v>35</v>
      </c>
      <c r="AF3" s="8" t="s">
        <v>9</v>
      </c>
      <c r="AG3" s="8" t="s">
        <v>10</v>
      </c>
      <c r="AH3" s="8" t="s">
        <v>11</v>
      </c>
      <c r="AI3" s="8" t="s">
        <v>12</v>
      </c>
      <c r="AJ3" s="8">
        <v>52</v>
      </c>
      <c r="AK3" s="8" t="s">
        <v>13</v>
      </c>
      <c r="AL3" s="8">
        <v>58</v>
      </c>
      <c r="AM3" s="8">
        <v>59</v>
      </c>
      <c r="AN3" s="8">
        <v>60</v>
      </c>
      <c r="AO3" s="8" t="s">
        <v>14</v>
      </c>
      <c r="AP3" s="8">
        <v>64</v>
      </c>
      <c r="AQ3" s="8">
        <v>65</v>
      </c>
      <c r="AR3" s="8">
        <v>66</v>
      </c>
      <c r="AS3" s="8">
        <v>68</v>
      </c>
      <c r="AT3" s="8">
        <v>69</v>
      </c>
      <c r="AU3" s="8">
        <v>70</v>
      </c>
      <c r="AV3" s="8">
        <v>71</v>
      </c>
      <c r="AW3" s="8">
        <v>72</v>
      </c>
      <c r="AX3" s="8">
        <v>73</v>
      </c>
      <c r="AY3" s="8">
        <v>74</v>
      </c>
      <c r="AZ3" s="8">
        <v>75</v>
      </c>
      <c r="BA3" s="8">
        <v>77</v>
      </c>
      <c r="BB3" s="8">
        <v>78</v>
      </c>
      <c r="BC3" s="8">
        <v>79</v>
      </c>
      <c r="BD3" s="8">
        <v>80</v>
      </c>
      <c r="BE3" s="8">
        <v>81</v>
      </c>
      <c r="BF3" s="8">
        <v>82</v>
      </c>
      <c r="BG3" s="8">
        <v>84</v>
      </c>
      <c r="BH3" s="8">
        <v>85</v>
      </c>
      <c r="BI3" s="8" t="s">
        <v>15</v>
      </c>
      <c r="BJ3" s="8">
        <v>90</v>
      </c>
      <c r="BK3" s="8">
        <v>91</v>
      </c>
      <c r="BL3" s="8">
        <v>92</v>
      </c>
      <c r="BM3" s="8">
        <v>93</v>
      </c>
      <c r="BN3" s="8">
        <v>94</v>
      </c>
      <c r="BO3" s="8">
        <v>95</v>
      </c>
      <c r="BP3" s="8">
        <v>96</v>
      </c>
      <c r="BQ3" s="8">
        <v>97</v>
      </c>
      <c r="BR3" s="410" t="s">
        <v>16</v>
      </c>
      <c r="BS3" s="411" t="s">
        <v>17</v>
      </c>
      <c r="BT3" s="411"/>
      <c r="BU3" s="411"/>
      <c r="BV3" s="411"/>
      <c r="BW3" s="411"/>
      <c r="BX3" s="411"/>
      <c r="BY3" s="411" t="s">
        <v>18</v>
      </c>
      <c r="BZ3" s="411"/>
      <c r="CA3" s="411"/>
      <c r="CB3" s="411" t="s">
        <v>19</v>
      </c>
      <c r="CC3" s="411"/>
      <c r="CD3" s="411"/>
      <c r="CE3" s="411"/>
      <c r="CF3" s="412" t="s">
        <v>20</v>
      </c>
      <c r="CG3" s="413" t="s">
        <v>21</v>
      </c>
      <c r="CH3" s="412" t="s">
        <v>22</v>
      </c>
      <c r="CI3" s="414" t="s">
        <v>23</v>
      </c>
      <c r="CJ3" s="416" t="s">
        <v>24</v>
      </c>
      <c r="CK3" s="2"/>
      <c r="CL3" s="2"/>
    </row>
    <row r="4" spans="1:171" s="12" customFormat="1" ht="67.5" customHeight="1" x14ac:dyDescent="0.2">
      <c r="A4" s="407"/>
      <c r="B4" s="409"/>
      <c r="C4" s="13" t="s">
        <v>25</v>
      </c>
      <c r="D4" s="13" t="s">
        <v>26</v>
      </c>
      <c r="E4" s="13" t="s">
        <v>27</v>
      </c>
      <c r="F4" s="13" t="s">
        <v>28</v>
      </c>
      <c r="G4" s="451" t="s">
        <v>29</v>
      </c>
      <c r="H4" s="13" t="s">
        <v>30</v>
      </c>
      <c r="I4" s="13" t="s">
        <v>31</v>
      </c>
      <c r="J4" s="13" t="s">
        <v>32</v>
      </c>
      <c r="K4" s="13" t="s">
        <v>33</v>
      </c>
      <c r="L4" s="13" t="s">
        <v>34</v>
      </c>
      <c r="M4" s="13" t="s">
        <v>35</v>
      </c>
      <c r="N4" s="13" t="s">
        <v>36</v>
      </c>
      <c r="O4" s="13" t="s">
        <v>37</v>
      </c>
      <c r="P4" s="69" t="s">
        <v>38</v>
      </c>
      <c r="Q4" s="13" t="s">
        <v>39</v>
      </c>
      <c r="R4" s="13" t="s">
        <v>40</v>
      </c>
      <c r="S4" s="13" t="s">
        <v>41</v>
      </c>
      <c r="T4" s="13" t="s">
        <v>42</v>
      </c>
      <c r="U4" s="13" t="s">
        <v>43</v>
      </c>
      <c r="V4" s="13" t="s">
        <v>44</v>
      </c>
      <c r="W4" s="13" t="s">
        <v>45</v>
      </c>
      <c r="X4" s="13" t="s">
        <v>46</v>
      </c>
      <c r="Y4" s="13" t="s">
        <v>47</v>
      </c>
      <c r="Z4" s="13" t="s">
        <v>48</v>
      </c>
      <c r="AA4" s="13" t="s">
        <v>49</v>
      </c>
      <c r="AB4" s="13" t="s">
        <v>50</v>
      </c>
      <c r="AC4" s="13" t="s">
        <v>51</v>
      </c>
      <c r="AD4" s="13" t="s">
        <v>52</v>
      </c>
      <c r="AE4" s="13" t="s">
        <v>53</v>
      </c>
      <c r="AF4" s="13" t="s">
        <v>54</v>
      </c>
      <c r="AG4" s="13" t="s">
        <v>55</v>
      </c>
      <c r="AH4" s="13" t="s">
        <v>56</v>
      </c>
      <c r="AI4" s="13" t="s">
        <v>57</v>
      </c>
      <c r="AJ4" s="13" t="s">
        <v>58</v>
      </c>
      <c r="AK4" s="13" t="s">
        <v>59</v>
      </c>
      <c r="AL4" s="13" t="s">
        <v>60</v>
      </c>
      <c r="AM4" s="13" t="s">
        <v>61</v>
      </c>
      <c r="AN4" s="13" t="s">
        <v>62</v>
      </c>
      <c r="AO4" s="13" t="s">
        <v>63</v>
      </c>
      <c r="AP4" s="13" t="s">
        <v>64</v>
      </c>
      <c r="AQ4" s="13" t="s">
        <v>65</v>
      </c>
      <c r="AR4" s="13" t="s">
        <v>66</v>
      </c>
      <c r="AS4" s="13" t="s">
        <v>67</v>
      </c>
      <c r="AT4" s="13" t="s">
        <v>68</v>
      </c>
      <c r="AU4" s="13" t="s">
        <v>69</v>
      </c>
      <c r="AV4" s="13" t="s">
        <v>70</v>
      </c>
      <c r="AW4" s="13" t="s">
        <v>71</v>
      </c>
      <c r="AX4" s="13" t="s">
        <v>72</v>
      </c>
      <c r="AY4" s="13" t="s">
        <v>73</v>
      </c>
      <c r="AZ4" s="13" t="s">
        <v>74</v>
      </c>
      <c r="BA4" s="13" t="s">
        <v>75</v>
      </c>
      <c r="BB4" s="13" t="s">
        <v>76</v>
      </c>
      <c r="BC4" s="13" t="s">
        <v>77</v>
      </c>
      <c r="BD4" s="13" t="s">
        <v>78</v>
      </c>
      <c r="BE4" s="13" t="s">
        <v>79</v>
      </c>
      <c r="BF4" s="13" t="s">
        <v>80</v>
      </c>
      <c r="BG4" s="13" t="s">
        <v>81</v>
      </c>
      <c r="BH4" s="13" t="s">
        <v>82</v>
      </c>
      <c r="BI4" s="13" t="s">
        <v>83</v>
      </c>
      <c r="BJ4" s="13" t="s">
        <v>84</v>
      </c>
      <c r="BK4" s="13" t="s">
        <v>85</v>
      </c>
      <c r="BL4" s="13" t="s">
        <v>86</v>
      </c>
      <c r="BM4" s="13" t="s">
        <v>87</v>
      </c>
      <c r="BN4" s="13" t="s">
        <v>88</v>
      </c>
      <c r="BO4" s="13" t="s">
        <v>89</v>
      </c>
      <c r="BP4" s="13" t="s">
        <v>90</v>
      </c>
      <c r="BQ4" s="13" t="s">
        <v>91</v>
      </c>
      <c r="BR4" s="410"/>
      <c r="BS4" s="14" t="s">
        <v>92</v>
      </c>
      <c r="BT4" s="15" t="s">
        <v>93</v>
      </c>
      <c r="BU4" s="15" t="s">
        <v>94</v>
      </c>
      <c r="BV4" s="13" t="s">
        <v>95</v>
      </c>
      <c r="BW4" s="14" t="s">
        <v>96</v>
      </c>
      <c r="BX4" s="16" t="s">
        <v>97</v>
      </c>
      <c r="BY4" s="10" t="s">
        <v>98</v>
      </c>
      <c r="BZ4" s="10" t="s">
        <v>99</v>
      </c>
      <c r="CA4" s="16" t="s">
        <v>100</v>
      </c>
      <c r="CB4" s="10" t="s">
        <v>101</v>
      </c>
      <c r="CC4" s="10" t="s">
        <v>102</v>
      </c>
      <c r="CD4" s="17" t="s">
        <v>94</v>
      </c>
      <c r="CE4" s="16" t="s">
        <v>103</v>
      </c>
      <c r="CF4" s="412"/>
      <c r="CG4" s="413"/>
      <c r="CH4" s="412"/>
      <c r="CI4" s="415"/>
      <c r="CJ4" s="416"/>
      <c r="CK4" s="2"/>
      <c r="CL4" s="2"/>
    </row>
    <row r="5" spans="1:171" s="12" customFormat="1" ht="77.25" customHeight="1" x14ac:dyDescent="0.2">
      <c r="A5" s="407"/>
      <c r="B5" s="18" t="s">
        <v>104</v>
      </c>
      <c r="C5" s="13" t="s">
        <v>105</v>
      </c>
      <c r="D5" s="13" t="s">
        <v>106</v>
      </c>
      <c r="E5" s="13" t="s">
        <v>107</v>
      </c>
      <c r="F5" s="13" t="s">
        <v>108</v>
      </c>
      <c r="G5" s="451" t="s">
        <v>109</v>
      </c>
      <c r="H5" s="13" t="s">
        <v>110</v>
      </c>
      <c r="I5" s="13" t="s">
        <v>111</v>
      </c>
      <c r="J5" s="13" t="s">
        <v>112</v>
      </c>
      <c r="K5" s="13" t="s">
        <v>113</v>
      </c>
      <c r="L5" s="13" t="s">
        <v>114</v>
      </c>
      <c r="M5" s="13" t="s">
        <v>115</v>
      </c>
      <c r="N5" s="13" t="s">
        <v>116</v>
      </c>
      <c r="O5" s="13" t="s">
        <v>117</v>
      </c>
      <c r="P5" s="69" t="s">
        <v>118</v>
      </c>
      <c r="Q5" s="13" t="s">
        <v>119</v>
      </c>
      <c r="R5" s="13" t="s">
        <v>120</v>
      </c>
      <c r="S5" s="13" t="s">
        <v>121</v>
      </c>
      <c r="T5" s="13" t="s">
        <v>122</v>
      </c>
      <c r="U5" s="13" t="s">
        <v>123</v>
      </c>
      <c r="V5" s="13" t="s">
        <v>124</v>
      </c>
      <c r="W5" s="13" t="s">
        <v>125</v>
      </c>
      <c r="X5" s="13" t="s">
        <v>126</v>
      </c>
      <c r="Y5" s="13" t="s">
        <v>127</v>
      </c>
      <c r="Z5" s="13" t="s">
        <v>128</v>
      </c>
      <c r="AA5" s="13" t="s">
        <v>129</v>
      </c>
      <c r="AB5" s="13" t="s">
        <v>130</v>
      </c>
      <c r="AC5" s="13" t="s">
        <v>131</v>
      </c>
      <c r="AD5" s="13" t="s">
        <v>132</v>
      </c>
      <c r="AE5" s="13" t="s">
        <v>133</v>
      </c>
      <c r="AF5" s="13" t="s">
        <v>134</v>
      </c>
      <c r="AG5" s="13" t="s">
        <v>135</v>
      </c>
      <c r="AH5" s="13" t="s">
        <v>136</v>
      </c>
      <c r="AI5" s="13" t="s">
        <v>137</v>
      </c>
      <c r="AJ5" s="13" t="s">
        <v>138</v>
      </c>
      <c r="AK5" s="13" t="s">
        <v>139</v>
      </c>
      <c r="AL5" s="13" t="s">
        <v>140</v>
      </c>
      <c r="AM5" s="13" t="s">
        <v>141</v>
      </c>
      <c r="AN5" s="13" t="s">
        <v>142</v>
      </c>
      <c r="AO5" s="13" t="s">
        <v>143</v>
      </c>
      <c r="AP5" s="13" t="s">
        <v>144</v>
      </c>
      <c r="AQ5" s="13" t="s">
        <v>145</v>
      </c>
      <c r="AR5" s="13" t="s">
        <v>146</v>
      </c>
      <c r="AS5" s="13" t="s">
        <v>147</v>
      </c>
      <c r="AT5" s="13" t="s">
        <v>148</v>
      </c>
      <c r="AU5" s="13" t="s">
        <v>149</v>
      </c>
      <c r="AV5" s="13" t="s">
        <v>150</v>
      </c>
      <c r="AW5" s="13" t="s">
        <v>151</v>
      </c>
      <c r="AX5" s="13" t="s">
        <v>152</v>
      </c>
      <c r="AY5" s="13" t="s">
        <v>153</v>
      </c>
      <c r="AZ5" s="13" t="s">
        <v>154</v>
      </c>
      <c r="BA5" s="13" t="s">
        <v>155</v>
      </c>
      <c r="BB5" s="13" t="s">
        <v>156</v>
      </c>
      <c r="BC5" s="13" t="s">
        <v>157</v>
      </c>
      <c r="BD5" s="13" t="s">
        <v>158</v>
      </c>
      <c r="BE5" s="13" t="s">
        <v>159</v>
      </c>
      <c r="BF5" s="13" t="s">
        <v>160</v>
      </c>
      <c r="BG5" s="13" t="s">
        <v>161</v>
      </c>
      <c r="BH5" s="13" t="s">
        <v>162</v>
      </c>
      <c r="BI5" s="13" t="s">
        <v>163</v>
      </c>
      <c r="BJ5" s="13" t="s">
        <v>164</v>
      </c>
      <c r="BK5" s="13" t="s">
        <v>165</v>
      </c>
      <c r="BL5" s="13" t="s">
        <v>166</v>
      </c>
      <c r="BM5" s="13" t="s">
        <v>167</v>
      </c>
      <c r="BN5" s="13" t="s">
        <v>168</v>
      </c>
      <c r="BO5" s="13" t="s">
        <v>169</v>
      </c>
      <c r="BP5" s="13" t="s">
        <v>170</v>
      </c>
      <c r="BQ5" s="13" t="s">
        <v>171</v>
      </c>
      <c r="BR5" s="9" t="s">
        <v>172</v>
      </c>
      <c r="BS5" s="14" t="s">
        <v>173</v>
      </c>
      <c r="BT5" s="15" t="s">
        <v>174</v>
      </c>
      <c r="BU5" s="19" t="s">
        <v>175</v>
      </c>
      <c r="BV5" s="13" t="s">
        <v>176</v>
      </c>
      <c r="BW5" s="14" t="s">
        <v>177</v>
      </c>
      <c r="BX5" s="16" t="s">
        <v>178</v>
      </c>
      <c r="BY5" s="10" t="s">
        <v>179</v>
      </c>
      <c r="BZ5" s="10" t="s">
        <v>180</v>
      </c>
      <c r="CA5" s="16" t="s">
        <v>181</v>
      </c>
      <c r="CB5" s="10" t="s">
        <v>182</v>
      </c>
      <c r="CC5" s="10" t="s">
        <v>183</v>
      </c>
      <c r="CD5" s="10" t="s">
        <v>175</v>
      </c>
      <c r="CE5" s="16" t="s">
        <v>184</v>
      </c>
      <c r="CF5" s="11" t="s">
        <v>185</v>
      </c>
      <c r="CG5" s="20" t="s">
        <v>186</v>
      </c>
      <c r="CH5" s="11" t="s">
        <v>187</v>
      </c>
      <c r="CI5" s="21" t="s">
        <v>188</v>
      </c>
      <c r="CJ5" s="416"/>
      <c r="CK5" s="2"/>
      <c r="CL5" s="2"/>
    </row>
    <row r="6" spans="1:171" s="31" customFormat="1" ht="32" customHeight="1" x14ac:dyDescent="0.2">
      <c r="A6" s="22" t="s">
        <v>6</v>
      </c>
      <c r="B6" s="23" t="s">
        <v>25</v>
      </c>
      <c r="C6" s="24">
        <v>111428954.54558779</v>
      </c>
      <c r="D6" s="24">
        <v>0</v>
      </c>
      <c r="E6" s="24">
        <v>2994701.6061869273</v>
      </c>
      <c r="F6" s="24">
        <v>5257465.2341170702</v>
      </c>
      <c r="G6" s="452">
        <v>127261367.33803065</v>
      </c>
      <c r="H6" s="24">
        <v>3971961.7029699432</v>
      </c>
      <c r="I6" s="24">
        <v>867768.12767082779</v>
      </c>
      <c r="J6" s="24">
        <v>4165801.0945164799</v>
      </c>
      <c r="K6" s="24">
        <v>63881.348322217753</v>
      </c>
      <c r="L6" s="24">
        <v>3649200.7158215339</v>
      </c>
      <c r="M6" s="24">
        <v>5761.7917319559419</v>
      </c>
      <c r="N6" s="24">
        <v>574694.23305632989</v>
      </c>
      <c r="O6" s="24">
        <v>60616.585156601977</v>
      </c>
      <c r="P6" s="64">
        <v>359681.03034775669</v>
      </c>
      <c r="Q6" s="24">
        <v>47298.054526385968</v>
      </c>
      <c r="R6" s="24">
        <v>285376.67592986237</v>
      </c>
      <c r="S6" s="24">
        <v>12318.594664133132</v>
      </c>
      <c r="T6" s="24">
        <v>93609.432750400651</v>
      </c>
      <c r="U6" s="24">
        <v>115066.34490205268</v>
      </c>
      <c r="V6" s="24">
        <v>27034.097275609671</v>
      </c>
      <c r="W6" s="24">
        <v>1664.181501608341</v>
      </c>
      <c r="X6" s="24">
        <v>16104.147965409509</v>
      </c>
      <c r="Y6" s="24">
        <v>8951.4205603808095</v>
      </c>
      <c r="Z6" s="24">
        <v>6946.4247116034858</v>
      </c>
      <c r="AA6" s="24">
        <v>1684.5480155679179</v>
      </c>
      <c r="AB6" s="24">
        <v>17336.50238865356</v>
      </c>
      <c r="AC6" s="24">
        <v>3748.8873307381687</v>
      </c>
      <c r="AD6" s="24">
        <v>54.006607562764181</v>
      </c>
      <c r="AE6" s="24">
        <v>369.06020918948388</v>
      </c>
      <c r="AF6" s="24">
        <v>8349.4910828319462</v>
      </c>
      <c r="AG6" s="24">
        <v>4478065.1635151617</v>
      </c>
      <c r="AH6" s="24">
        <v>203133.6096506071</v>
      </c>
      <c r="AI6" s="24">
        <v>617104.28735369549</v>
      </c>
      <c r="AJ6" s="24">
        <v>122222.1573662493</v>
      </c>
      <c r="AK6" s="24">
        <v>6569583.0521240709</v>
      </c>
      <c r="AL6" s="24">
        <v>2455.6037102102309</v>
      </c>
      <c r="AM6" s="24">
        <v>579.51113564829052</v>
      </c>
      <c r="AN6" s="24">
        <v>115681.53447622739</v>
      </c>
      <c r="AO6" s="24">
        <v>56221.362352047749</v>
      </c>
      <c r="AP6" s="24">
        <v>3399328.1793182925</v>
      </c>
      <c r="AQ6" s="24">
        <v>7578.0627947921439</v>
      </c>
      <c r="AR6" s="24">
        <v>7578.0627947921439</v>
      </c>
      <c r="AS6" s="24">
        <v>442882.35344126518</v>
      </c>
      <c r="AT6" s="24">
        <v>1024.168129136986</v>
      </c>
      <c r="AU6" s="24">
        <v>3016.9438124943294</v>
      </c>
      <c r="AV6" s="24">
        <v>5579.4928598751148</v>
      </c>
      <c r="AW6" s="24">
        <v>14.712138737427155</v>
      </c>
      <c r="AX6" s="24">
        <v>4932.316154438272</v>
      </c>
      <c r="AY6" s="24">
        <v>14632.345604092774</v>
      </c>
      <c r="AZ6" s="24">
        <v>31.482303310387913</v>
      </c>
      <c r="BA6" s="24">
        <v>3425.2045992196709</v>
      </c>
      <c r="BB6" s="24">
        <v>307.48448355535947</v>
      </c>
      <c r="BC6" s="24">
        <v>789584.44169271365</v>
      </c>
      <c r="BD6" s="24">
        <v>176.36200218197084</v>
      </c>
      <c r="BE6" s="24">
        <v>205.40651294345659</v>
      </c>
      <c r="BF6" s="24">
        <v>2467.4009541554628</v>
      </c>
      <c r="BG6" s="24">
        <v>127077.40212073635</v>
      </c>
      <c r="BH6" s="24">
        <v>18475.397679359634</v>
      </c>
      <c r="BI6" s="24">
        <v>57037.231105567771</v>
      </c>
      <c r="BJ6" s="24">
        <v>86.875256211053838</v>
      </c>
      <c r="BK6" s="24">
        <v>4.4896356138692877</v>
      </c>
      <c r="BL6" s="24">
        <v>48.801171572229599</v>
      </c>
      <c r="BM6" s="24">
        <v>12644.622244397406</v>
      </c>
      <c r="BN6" s="24">
        <v>24220.994675939557</v>
      </c>
      <c r="BO6" s="24">
        <v>1472.6800960338514</v>
      </c>
      <c r="BP6" s="24">
        <v>5905.2476262279888</v>
      </c>
      <c r="BQ6" s="24">
        <v>0</v>
      </c>
      <c r="BR6" s="25">
        <v>278402551.66682965</v>
      </c>
      <c r="BS6" s="26">
        <v>292436040.82404327</v>
      </c>
      <c r="BT6" s="26">
        <v>0</v>
      </c>
      <c r="BU6" s="26">
        <v>1874728.9168150804</v>
      </c>
      <c r="BV6" s="26">
        <v>0</v>
      </c>
      <c r="BW6" s="26">
        <v>0</v>
      </c>
      <c r="BX6" s="27">
        <v>290561311.90722817</v>
      </c>
      <c r="BY6" s="26">
        <v>22364151.589176174</v>
      </c>
      <c r="BZ6" s="26">
        <v>16720330.600885471</v>
      </c>
      <c r="CA6" s="27">
        <v>39084482.190061644</v>
      </c>
      <c r="CB6" s="26">
        <v>16304767.583747689</v>
      </c>
      <c r="CC6" s="26">
        <v>505196.92002012313</v>
      </c>
      <c r="CD6" s="26">
        <v>1874728.9168150804</v>
      </c>
      <c r="CE6" s="27">
        <v>18684693.420582891</v>
      </c>
      <c r="CF6" s="25">
        <v>348330487.51787269</v>
      </c>
      <c r="CG6" s="26">
        <v>42986183.407044031</v>
      </c>
      <c r="CH6" s="25">
        <v>583746855.77765834</v>
      </c>
      <c r="CI6" s="28" t="s">
        <v>105</v>
      </c>
      <c r="CJ6" s="22" t="s">
        <v>6</v>
      </c>
      <c r="CK6" s="29"/>
      <c r="CL6" s="2"/>
      <c r="CM6" s="30"/>
    </row>
    <row r="7" spans="1:171" s="31" customFormat="1" ht="32" customHeight="1" x14ac:dyDescent="0.2">
      <c r="A7" s="22" t="s">
        <v>7</v>
      </c>
      <c r="B7" s="23" t="s">
        <v>26</v>
      </c>
      <c r="C7" s="24">
        <v>0</v>
      </c>
      <c r="D7" s="24">
        <v>95022.441935484574</v>
      </c>
      <c r="E7" s="24">
        <v>0</v>
      </c>
      <c r="F7" s="24">
        <v>0</v>
      </c>
      <c r="G7" s="452">
        <v>583865.80151556095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6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4.8158978191517914</v>
      </c>
      <c r="AG7" s="24">
        <v>0</v>
      </c>
      <c r="AH7" s="24">
        <v>0</v>
      </c>
      <c r="AI7" s="24">
        <v>0</v>
      </c>
      <c r="AJ7" s="24">
        <v>0</v>
      </c>
      <c r="AK7" s="24">
        <v>2908373.117008118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6121.8673135108847</v>
      </c>
      <c r="BH7" s="24">
        <v>1527.3876947336835</v>
      </c>
      <c r="BI7" s="24">
        <v>20067.03280436495</v>
      </c>
      <c r="BJ7" s="24">
        <v>0</v>
      </c>
      <c r="BK7" s="24">
        <v>0</v>
      </c>
      <c r="BL7" s="24">
        <v>0</v>
      </c>
      <c r="BM7" s="24">
        <v>247.03151359554417</v>
      </c>
      <c r="BN7" s="24">
        <v>0</v>
      </c>
      <c r="BO7" s="24">
        <v>0</v>
      </c>
      <c r="BP7" s="24">
        <v>0</v>
      </c>
      <c r="BQ7" s="24">
        <v>0</v>
      </c>
      <c r="BR7" s="25">
        <v>3615229.4956831872</v>
      </c>
      <c r="BS7" s="26">
        <v>40033556.160879977</v>
      </c>
      <c r="BT7" s="26">
        <v>0</v>
      </c>
      <c r="BU7" s="26">
        <v>0</v>
      </c>
      <c r="BV7" s="26">
        <v>0</v>
      </c>
      <c r="BW7" s="26">
        <v>0</v>
      </c>
      <c r="BX7" s="27">
        <v>40033556.160879977</v>
      </c>
      <c r="BY7" s="26">
        <v>0</v>
      </c>
      <c r="BZ7" s="26">
        <v>0</v>
      </c>
      <c r="CA7" s="27">
        <v>0</v>
      </c>
      <c r="CB7" s="26">
        <v>196427.16651978056</v>
      </c>
      <c r="CC7" s="26">
        <v>0</v>
      </c>
      <c r="CD7" s="26">
        <v>0</v>
      </c>
      <c r="CE7" s="27">
        <v>196427.16651978056</v>
      </c>
      <c r="CF7" s="25">
        <v>40229983.32739976</v>
      </c>
      <c r="CG7" s="26">
        <v>34426.823082945702</v>
      </c>
      <c r="CH7" s="25">
        <v>43810786</v>
      </c>
      <c r="CI7" s="28" t="s">
        <v>106</v>
      </c>
      <c r="CJ7" s="22" t="s">
        <v>7</v>
      </c>
      <c r="CK7" s="2"/>
      <c r="CL7" s="2"/>
      <c r="CM7" s="30"/>
    </row>
    <row r="8" spans="1:171" s="33" customFormat="1" ht="32" customHeight="1" x14ac:dyDescent="0.2">
      <c r="A8" s="22">
        <v>6</v>
      </c>
      <c r="B8" s="32" t="s">
        <v>27</v>
      </c>
      <c r="C8" s="24">
        <v>6956534.0867084013</v>
      </c>
      <c r="D8" s="24">
        <v>13758.084193864621</v>
      </c>
      <c r="E8" s="24">
        <v>841853.72495365294</v>
      </c>
      <c r="F8" s="24">
        <v>1661032.0515692243</v>
      </c>
      <c r="G8" s="452">
        <v>257087.31896357067</v>
      </c>
      <c r="H8" s="24">
        <v>12099.66376964833</v>
      </c>
      <c r="I8" s="24">
        <v>1131.6480692291193</v>
      </c>
      <c r="J8" s="24">
        <v>1786.4675644516678</v>
      </c>
      <c r="K8" s="24">
        <v>662.78164541481976</v>
      </c>
      <c r="L8" s="24">
        <v>931.0504114102323</v>
      </c>
      <c r="M8" s="24">
        <v>286.73809219422196</v>
      </c>
      <c r="N8" s="24">
        <v>30251.212013750926</v>
      </c>
      <c r="O8" s="24">
        <v>434.83633255800498</v>
      </c>
      <c r="P8" s="64">
        <v>169547108.27192727</v>
      </c>
      <c r="Q8" s="24">
        <v>77475.019780361574</v>
      </c>
      <c r="R8" s="24">
        <v>4083.8121982464982</v>
      </c>
      <c r="S8" s="24">
        <v>2791.8540508193878</v>
      </c>
      <c r="T8" s="24">
        <v>371700.41125476593</v>
      </c>
      <c r="U8" s="24">
        <v>32841.499025061566</v>
      </c>
      <c r="V8" s="24">
        <v>1750.5828575303326</v>
      </c>
      <c r="W8" s="24">
        <v>226.02797376965071</v>
      </c>
      <c r="X8" s="24">
        <v>1628.3253843821624</v>
      </c>
      <c r="Y8" s="24">
        <v>590.99378082106307</v>
      </c>
      <c r="Z8" s="24">
        <v>1780.8828783174602</v>
      </c>
      <c r="AA8" s="24">
        <v>192.50629269863254</v>
      </c>
      <c r="AB8" s="24">
        <v>746.23922708007876</v>
      </c>
      <c r="AC8" s="24">
        <v>87.55820928080405</v>
      </c>
      <c r="AD8" s="24">
        <v>37.871939941105722</v>
      </c>
      <c r="AE8" s="24">
        <v>25851031.235697187</v>
      </c>
      <c r="AF8" s="24">
        <v>134353.38633367504</v>
      </c>
      <c r="AG8" s="24">
        <v>76387.004982923841</v>
      </c>
      <c r="AH8" s="24">
        <v>3573855.9118909286</v>
      </c>
      <c r="AI8" s="24">
        <v>3751742.8379887659</v>
      </c>
      <c r="AJ8" s="24">
        <v>21776.924137358448</v>
      </c>
      <c r="AK8" s="24">
        <v>391610.56444278959</v>
      </c>
      <c r="AL8" s="24">
        <v>1191.3538990507991</v>
      </c>
      <c r="AM8" s="24">
        <v>281.15401851174119</v>
      </c>
      <c r="AN8" s="24">
        <v>243.18362700489209</v>
      </c>
      <c r="AO8" s="24">
        <v>24932.46637633038</v>
      </c>
      <c r="AP8" s="24">
        <v>1010686.9404734443</v>
      </c>
      <c r="AQ8" s="24">
        <v>648.54978457492291</v>
      </c>
      <c r="AR8" s="24">
        <v>648.54978457492291</v>
      </c>
      <c r="AS8" s="24">
        <v>19465.719676400084</v>
      </c>
      <c r="AT8" s="24">
        <v>4297.6148875797662</v>
      </c>
      <c r="AU8" s="24">
        <v>2565.8537897924757</v>
      </c>
      <c r="AV8" s="24">
        <v>17792.544845729928</v>
      </c>
      <c r="AW8" s="24">
        <v>441.62718530892101</v>
      </c>
      <c r="AX8" s="24">
        <v>5111.2549549357036</v>
      </c>
      <c r="AY8" s="24">
        <v>3539.1266888090486</v>
      </c>
      <c r="AZ8" s="24">
        <v>87.703338599248553</v>
      </c>
      <c r="BA8" s="24">
        <v>53548.604776324122</v>
      </c>
      <c r="BB8" s="24">
        <v>376.67910811459552</v>
      </c>
      <c r="BC8" s="24">
        <v>90931.556999853055</v>
      </c>
      <c r="BD8" s="24">
        <v>3177.3385753466027</v>
      </c>
      <c r="BE8" s="24">
        <v>2293.4721425586213</v>
      </c>
      <c r="BF8" s="24">
        <v>6638.8002828522276</v>
      </c>
      <c r="BG8" s="24">
        <v>16348.627900288444</v>
      </c>
      <c r="BH8" s="24">
        <v>8021.3983210855304</v>
      </c>
      <c r="BI8" s="24">
        <v>154823.79269831252</v>
      </c>
      <c r="BJ8" s="24">
        <v>1994.2915859656857</v>
      </c>
      <c r="BK8" s="24">
        <v>23.869430838446565</v>
      </c>
      <c r="BL8" s="24">
        <v>191.93605728476072</v>
      </c>
      <c r="BM8" s="24">
        <v>33823.713341539107</v>
      </c>
      <c r="BN8" s="24">
        <v>43314.046084517016</v>
      </c>
      <c r="BO8" s="24">
        <v>10002.927013333367</v>
      </c>
      <c r="BP8" s="24">
        <v>32094.056834062183</v>
      </c>
      <c r="BQ8" s="24">
        <v>0</v>
      </c>
      <c r="BR8" s="25">
        <v>215171188.14102423</v>
      </c>
      <c r="BS8" s="26">
        <v>36857497.645072877</v>
      </c>
      <c r="BT8" s="26">
        <v>0</v>
      </c>
      <c r="BU8" s="26">
        <v>0</v>
      </c>
      <c r="BV8" s="26">
        <v>0</v>
      </c>
      <c r="BW8" s="26">
        <v>0</v>
      </c>
      <c r="BX8" s="27">
        <v>36857497.645072877</v>
      </c>
      <c r="BY8" s="26">
        <v>0</v>
      </c>
      <c r="BZ8" s="26">
        <v>11214350.276752075</v>
      </c>
      <c r="CA8" s="27">
        <v>11214350.276752075</v>
      </c>
      <c r="CB8" s="26">
        <v>13225744.919536857</v>
      </c>
      <c r="CC8" s="26">
        <v>0</v>
      </c>
      <c r="CD8" s="26">
        <v>0</v>
      </c>
      <c r="CE8" s="27">
        <v>13225744.919536857</v>
      </c>
      <c r="CF8" s="25">
        <v>61297592.841361813</v>
      </c>
      <c r="CG8" s="26">
        <v>27086875.042063255</v>
      </c>
      <c r="CH8" s="25">
        <v>249381905.94032279</v>
      </c>
      <c r="CI8" s="28" t="s">
        <v>107</v>
      </c>
      <c r="CJ8" s="22">
        <v>6</v>
      </c>
      <c r="CK8" s="2"/>
      <c r="CL8" s="2"/>
      <c r="CM8" s="30"/>
    </row>
    <row r="9" spans="1:171" s="33" customFormat="1" ht="32" customHeight="1" x14ac:dyDescent="0.2">
      <c r="A9" s="22" t="s">
        <v>8</v>
      </c>
      <c r="B9" s="34" t="s">
        <v>28</v>
      </c>
      <c r="C9" s="24">
        <v>26236459.309436951</v>
      </c>
      <c r="D9" s="24">
        <v>0</v>
      </c>
      <c r="E9" s="24">
        <v>3168162.8032375546</v>
      </c>
      <c r="F9" s="24">
        <v>6289112.7890841877</v>
      </c>
      <c r="G9" s="452">
        <v>0</v>
      </c>
      <c r="H9" s="24">
        <v>11948.806701031481</v>
      </c>
      <c r="I9" s="24">
        <v>9420.9858407137999</v>
      </c>
      <c r="J9" s="24">
        <v>62003.996776815293</v>
      </c>
      <c r="K9" s="24">
        <v>4089.485769349978</v>
      </c>
      <c r="L9" s="24">
        <v>12604.019564269292</v>
      </c>
      <c r="M9" s="24">
        <v>6824.4361577498703</v>
      </c>
      <c r="N9" s="24">
        <v>60495.649239695958</v>
      </c>
      <c r="O9" s="24">
        <v>7387.2859922429197</v>
      </c>
      <c r="P9" s="64">
        <v>863629.58263985824</v>
      </c>
      <c r="Q9" s="24">
        <v>12897420.689084308</v>
      </c>
      <c r="R9" s="24">
        <v>253277.15494515275</v>
      </c>
      <c r="S9" s="24">
        <v>158229.61499000475</v>
      </c>
      <c r="T9" s="24">
        <v>2292669.1726151295</v>
      </c>
      <c r="U9" s="24">
        <v>7070756.3618941735</v>
      </c>
      <c r="V9" s="24">
        <v>33300.246977244482</v>
      </c>
      <c r="W9" s="24">
        <v>16592.156853336466</v>
      </c>
      <c r="X9" s="24">
        <v>79886.864090375078</v>
      </c>
      <c r="Y9" s="24">
        <v>10876.936932792869</v>
      </c>
      <c r="Z9" s="24">
        <v>89969.505337647832</v>
      </c>
      <c r="AA9" s="24">
        <v>2485.6568745030613</v>
      </c>
      <c r="AB9" s="24">
        <v>9960.373974560549</v>
      </c>
      <c r="AC9" s="24">
        <v>2673.9469641107344</v>
      </c>
      <c r="AD9" s="24">
        <v>32.536264400570715</v>
      </c>
      <c r="AE9" s="24">
        <v>567.08136528073612</v>
      </c>
      <c r="AF9" s="24">
        <v>17219.311138861336</v>
      </c>
      <c r="AG9" s="24">
        <v>1391488.6518224613</v>
      </c>
      <c r="AH9" s="24">
        <v>52710.563329906166</v>
      </c>
      <c r="AI9" s="24">
        <v>374240.17375272908</v>
      </c>
      <c r="AJ9" s="24">
        <v>82808.222903184826</v>
      </c>
      <c r="AK9" s="24">
        <v>68375.68934300699</v>
      </c>
      <c r="AL9" s="24">
        <v>0</v>
      </c>
      <c r="AM9" s="24">
        <v>0</v>
      </c>
      <c r="AN9" s="24">
        <v>7271.8836216247837</v>
      </c>
      <c r="AO9" s="24">
        <v>250.4696169693654</v>
      </c>
      <c r="AP9" s="24">
        <v>3875315.2105243681</v>
      </c>
      <c r="AQ9" s="24">
        <v>4139.4603733622553</v>
      </c>
      <c r="AR9" s="24">
        <v>4139.4603733622553</v>
      </c>
      <c r="AS9" s="24">
        <v>125778.15124289831</v>
      </c>
      <c r="AT9" s="24">
        <v>3237.2766620914649</v>
      </c>
      <c r="AU9" s="24">
        <v>1973.5298891761895</v>
      </c>
      <c r="AV9" s="24">
        <v>13354.48186937076</v>
      </c>
      <c r="AW9" s="24">
        <v>26.522822222872108</v>
      </c>
      <c r="AX9" s="24">
        <v>6218.8670770986555</v>
      </c>
      <c r="AY9" s="24">
        <v>4585.9815774462368</v>
      </c>
      <c r="AZ9" s="24">
        <v>58.112600075639875</v>
      </c>
      <c r="BA9" s="24">
        <v>1413.9548929132611</v>
      </c>
      <c r="BB9" s="24">
        <v>259.12830469154994</v>
      </c>
      <c r="BC9" s="24">
        <v>50809.102096193717</v>
      </c>
      <c r="BD9" s="24">
        <v>0</v>
      </c>
      <c r="BE9" s="24">
        <v>574.12901552980486</v>
      </c>
      <c r="BF9" s="24">
        <v>12655.407725895217</v>
      </c>
      <c r="BG9" s="24">
        <v>23317.736073066681</v>
      </c>
      <c r="BH9" s="24">
        <v>43027.143379103014</v>
      </c>
      <c r="BI9" s="24">
        <v>266861.53019182396</v>
      </c>
      <c r="BJ9" s="24">
        <v>87.663281200525589</v>
      </c>
      <c r="BK9" s="24">
        <v>0.60650679456510881</v>
      </c>
      <c r="BL9" s="24">
        <v>9.4542204334378948</v>
      </c>
      <c r="BM9" s="24">
        <v>6173.0676732711754</v>
      </c>
      <c r="BN9" s="24">
        <v>43520.73524857279</v>
      </c>
      <c r="BO9" s="24">
        <v>6464.7516794203984</v>
      </c>
      <c r="BP9" s="24">
        <v>5139.320719669844</v>
      </c>
      <c r="BQ9" s="24">
        <v>0</v>
      </c>
      <c r="BR9" s="25">
        <v>66144343.201152213</v>
      </c>
      <c r="BS9" s="26">
        <v>6089422.175431231</v>
      </c>
      <c r="BT9" s="26">
        <v>433.35292791386166</v>
      </c>
      <c r="BU9" s="26">
        <v>474.62338392154578</v>
      </c>
      <c r="BV9" s="26">
        <v>0</v>
      </c>
      <c r="BW9" s="26">
        <v>0</v>
      </c>
      <c r="BX9" s="27">
        <v>6089380.9049752234</v>
      </c>
      <c r="BY9" s="26">
        <v>4542731.6848145649</v>
      </c>
      <c r="BZ9" s="26">
        <v>-2282381.0529978424</v>
      </c>
      <c r="CA9" s="27">
        <v>2260350.6318167225</v>
      </c>
      <c r="CB9" s="26">
        <v>2755190.9811850111</v>
      </c>
      <c r="CC9" s="26">
        <v>0</v>
      </c>
      <c r="CD9" s="26">
        <v>552.66315409269657</v>
      </c>
      <c r="CE9" s="27">
        <v>2755743.6443391037</v>
      </c>
      <c r="CF9" s="25">
        <v>11105475.18113105</v>
      </c>
      <c r="CG9" s="26">
        <v>8035853.2911235821</v>
      </c>
      <c r="CH9" s="25">
        <v>69213965.091159686</v>
      </c>
      <c r="CI9" s="28" t="s">
        <v>108</v>
      </c>
      <c r="CJ9" s="22" t="s">
        <v>8</v>
      </c>
      <c r="CK9" s="2"/>
      <c r="CL9" s="2"/>
      <c r="CM9" s="30"/>
    </row>
    <row r="10" spans="1:171" s="33" customFormat="1" ht="32" customHeight="1" x14ac:dyDescent="0.2">
      <c r="A10" s="22">
        <v>10</v>
      </c>
      <c r="B10" s="32" t="s">
        <v>29</v>
      </c>
      <c r="C10" s="24">
        <v>28222082.713774581</v>
      </c>
      <c r="D10" s="24">
        <v>358647.80175160884</v>
      </c>
      <c r="E10" s="24">
        <v>612.43749377995607</v>
      </c>
      <c r="F10" s="24">
        <v>2068.6281861346747</v>
      </c>
      <c r="G10" s="452">
        <v>12135220.787009241</v>
      </c>
      <c r="H10" s="24">
        <v>65992.706739054207</v>
      </c>
      <c r="I10" s="24">
        <v>5550.3007628256946</v>
      </c>
      <c r="J10" s="24">
        <v>18015.945422571738</v>
      </c>
      <c r="K10" s="24">
        <v>20511.271438214375</v>
      </c>
      <c r="L10" s="24">
        <v>10397.998522111528</v>
      </c>
      <c r="M10" s="24">
        <v>615.19859548591626</v>
      </c>
      <c r="N10" s="24">
        <v>151150.41663580065</v>
      </c>
      <c r="O10" s="24">
        <v>26040.686061364584</v>
      </c>
      <c r="P10" s="64">
        <v>55224.782898181278</v>
      </c>
      <c r="Q10" s="24">
        <v>73275.170489200973</v>
      </c>
      <c r="R10" s="24">
        <v>82113.427916879649</v>
      </c>
      <c r="S10" s="24">
        <v>15617.99651786375</v>
      </c>
      <c r="T10" s="24">
        <v>424291.2041972939</v>
      </c>
      <c r="U10" s="24">
        <v>3642481.4686058783</v>
      </c>
      <c r="V10" s="24">
        <v>814474.36817204929</v>
      </c>
      <c r="W10" s="24">
        <v>7225.4086709239291</v>
      </c>
      <c r="X10" s="24">
        <v>42317.656453031683</v>
      </c>
      <c r="Y10" s="24">
        <v>326882.14998915844</v>
      </c>
      <c r="Z10" s="24">
        <v>10875.213240184694</v>
      </c>
      <c r="AA10" s="24">
        <v>16527.708181170772</v>
      </c>
      <c r="AB10" s="24">
        <v>6904.2262238761869</v>
      </c>
      <c r="AC10" s="24">
        <v>319.6384269067388</v>
      </c>
      <c r="AD10" s="24">
        <v>2.4269727477249057</v>
      </c>
      <c r="AE10" s="24">
        <v>39.266845845648945</v>
      </c>
      <c r="AF10" s="24">
        <v>3379.8490447816071</v>
      </c>
      <c r="AG10" s="24">
        <v>6448.531435574213</v>
      </c>
      <c r="AH10" s="24">
        <v>12287.661854584814</v>
      </c>
      <c r="AI10" s="24">
        <v>13631.228614243317</v>
      </c>
      <c r="AJ10" s="24">
        <v>307.41937391015006</v>
      </c>
      <c r="AK10" s="24">
        <v>3124679.7178753838</v>
      </c>
      <c r="AL10" s="24">
        <v>2.1159447490006925E-2</v>
      </c>
      <c r="AM10" s="24">
        <v>4.9935318934562611E-3</v>
      </c>
      <c r="AN10" s="24">
        <v>30.096271558175999</v>
      </c>
      <c r="AO10" s="24">
        <v>1.5949616346695457</v>
      </c>
      <c r="AP10" s="24">
        <v>174.54944795040876</v>
      </c>
      <c r="AQ10" s="24">
        <v>22.66590802659664</v>
      </c>
      <c r="AR10" s="24">
        <v>22.66590802659664</v>
      </c>
      <c r="AS10" s="24">
        <v>1924.9988540019447</v>
      </c>
      <c r="AT10" s="24">
        <v>51.213053342745717</v>
      </c>
      <c r="AU10" s="24">
        <v>22.683997329523365</v>
      </c>
      <c r="AV10" s="24">
        <v>58.158821009557926</v>
      </c>
      <c r="AW10" s="24">
        <v>6.5011224068362443</v>
      </c>
      <c r="AX10" s="24">
        <v>25.337194987495575</v>
      </c>
      <c r="AY10" s="24">
        <v>60.069417678652684</v>
      </c>
      <c r="AZ10" s="24">
        <v>22.890829699888023</v>
      </c>
      <c r="BA10" s="24">
        <v>68.851382453565193</v>
      </c>
      <c r="BB10" s="24">
        <v>12.426384191716641</v>
      </c>
      <c r="BC10" s="24">
        <v>14737.749722054299</v>
      </c>
      <c r="BD10" s="24">
        <v>4.1845758287937915</v>
      </c>
      <c r="BE10" s="24">
        <v>14.838475560942923</v>
      </c>
      <c r="BF10" s="24">
        <v>556.88175655281373</v>
      </c>
      <c r="BG10" s="24">
        <v>1577989.5043523831</v>
      </c>
      <c r="BH10" s="24">
        <v>581529.57883575815</v>
      </c>
      <c r="BI10" s="24">
        <v>4026160.840860262</v>
      </c>
      <c r="BJ10" s="24">
        <v>36.324890140678832</v>
      </c>
      <c r="BK10" s="24">
        <v>0.45309981886395007</v>
      </c>
      <c r="BL10" s="24">
        <v>0.77185348066085135</v>
      </c>
      <c r="BM10" s="24">
        <v>76873.521489852952</v>
      </c>
      <c r="BN10" s="24">
        <v>1784.4842592553382</v>
      </c>
      <c r="BO10" s="24">
        <v>307.24135671020235</v>
      </c>
      <c r="BP10" s="24">
        <v>327.26993394882737</v>
      </c>
      <c r="BQ10" s="24">
        <v>0</v>
      </c>
      <c r="BR10" s="25">
        <v>55979041.789561331</v>
      </c>
      <c r="BS10" s="26">
        <v>253475212.85754469</v>
      </c>
      <c r="BT10" s="26">
        <v>1436.0708315763864</v>
      </c>
      <c r="BU10" s="26">
        <v>793.60575378662475</v>
      </c>
      <c r="BV10" s="26">
        <v>0</v>
      </c>
      <c r="BW10" s="26">
        <v>0</v>
      </c>
      <c r="BX10" s="27">
        <v>253475855.32262248</v>
      </c>
      <c r="BY10" s="26">
        <v>18785.172223201727</v>
      </c>
      <c r="BZ10" s="26">
        <v>8066161.6230702372</v>
      </c>
      <c r="CA10" s="27">
        <v>8084946.7952934392</v>
      </c>
      <c r="CB10" s="26">
        <v>14032726.502731871</v>
      </c>
      <c r="CC10" s="26">
        <v>0</v>
      </c>
      <c r="CD10" s="26">
        <v>1831.4481895857534</v>
      </c>
      <c r="CE10" s="27">
        <v>14034557.950921457</v>
      </c>
      <c r="CF10" s="25">
        <v>275595360.0688374</v>
      </c>
      <c r="CG10" s="26">
        <v>41752304.980893008</v>
      </c>
      <c r="CH10" s="25">
        <v>289822096.87750572</v>
      </c>
      <c r="CI10" s="28" t="s">
        <v>109</v>
      </c>
      <c r="CJ10" s="22">
        <v>10</v>
      </c>
      <c r="CK10" s="2"/>
      <c r="CL10" s="2"/>
      <c r="CM10" s="30"/>
    </row>
    <row r="11" spans="1:171" s="31" customFormat="1" ht="32" customHeight="1" x14ac:dyDescent="0.2">
      <c r="A11" s="22">
        <v>11</v>
      </c>
      <c r="B11" s="23" t="s">
        <v>30</v>
      </c>
      <c r="C11" s="24">
        <v>10321.370771186033</v>
      </c>
      <c r="D11" s="24">
        <v>4902.558429946479</v>
      </c>
      <c r="E11" s="24">
        <v>1101.0256110551375</v>
      </c>
      <c r="F11" s="24">
        <v>1244.8587673034281</v>
      </c>
      <c r="G11" s="452">
        <v>19152.171505450689</v>
      </c>
      <c r="H11" s="24">
        <v>41718.858167340019</v>
      </c>
      <c r="I11" s="24">
        <v>1225.4020610584353</v>
      </c>
      <c r="J11" s="24">
        <v>8815.2181590213695</v>
      </c>
      <c r="K11" s="24">
        <v>1884.737565002305</v>
      </c>
      <c r="L11" s="24">
        <v>10633.899241017552</v>
      </c>
      <c r="M11" s="24">
        <v>732.58091893931066</v>
      </c>
      <c r="N11" s="24">
        <v>11361.647172096928</v>
      </c>
      <c r="O11" s="24">
        <v>1598.5391532768285</v>
      </c>
      <c r="P11" s="64">
        <v>29591.406277175349</v>
      </c>
      <c r="Q11" s="24">
        <v>46599.210456554749</v>
      </c>
      <c r="R11" s="24">
        <v>38387.521872141173</v>
      </c>
      <c r="S11" s="24">
        <v>20689.269044899291</v>
      </c>
      <c r="T11" s="24">
        <v>24667.511464638577</v>
      </c>
      <c r="U11" s="24">
        <v>3769.284634968848</v>
      </c>
      <c r="V11" s="24">
        <v>1477.6181328130328</v>
      </c>
      <c r="W11" s="24">
        <v>1516.0130656875917</v>
      </c>
      <c r="X11" s="24">
        <v>5869.5474450824649</v>
      </c>
      <c r="Y11" s="24">
        <v>2019.6495573967104</v>
      </c>
      <c r="Z11" s="24">
        <v>2232.5885063974256</v>
      </c>
      <c r="AA11" s="24">
        <v>557.827984713815</v>
      </c>
      <c r="AB11" s="24">
        <v>1236.1322976852275</v>
      </c>
      <c r="AC11" s="24">
        <v>119.39700043438667</v>
      </c>
      <c r="AD11" s="24">
        <v>4.7628352320291141</v>
      </c>
      <c r="AE11" s="24">
        <v>77.238719616489519</v>
      </c>
      <c r="AF11" s="24">
        <v>2231.1090743012546</v>
      </c>
      <c r="AG11" s="24">
        <v>0</v>
      </c>
      <c r="AH11" s="24">
        <v>8045.5286610813564</v>
      </c>
      <c r="AI11" s="24">
        <v>8293.1271930913153</v>
      </c>
      <c r="AJ11" s="24">
        <v>11.816459033295571</v>
      </c>
      <c r="AK11" s="24">
        <v>617364.59048915131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3151.6019665807703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57.819334102344357</v>
      </c>
      <c r="BB11" s="24">
        <v>10.596254590176592</v>
      </c>
      <c r="BC11" s="24">
        <v>2077.681872500983</v>
      </c>
      <c r="BD11" s="24">
        <v>0</v>
      </c>
      <c r="BE11" s="24">
        <v>23.477239290408015</v>
      </c>
      <c r="BF11" s="24">
        <v>823.44065432533375</v>
      </c>
      <c r="BG11" s="24">
        <v>1062.4833268778737</v>
      </c>
      <c r="BH11" s="24">
        <v>10868.900533537009</v>
      </c>
      <c r="BI11" s="24">
        <v>130688.19781694921</v>
      </c>
      <c r="BJ11" s="24">
        <v>27.218333455089819</v>
      </c>
      <c r="BK11" s="24">
        <v>0.24920596539930442</v>
      </c>
      <c r="BL11" s="24">
        <v>0.91860246896696762</v>
      </c>
      <c r="BM11" s="24">
        <v>4124.725154310363</v>
      </c>
      <c r="BN11" s="24">
        <v>2584.4065494577571</v>
      </c>
      <c r="BO11" s="24">
        <v>434.98103867449208</v>
      </c>
      <c r="BP11" s="24">
        <v>340.74051888479931</v>
      </c>
      <c r="BQ11" s="24">
        <v>0</v>
      </c>
      <c r="BR11" s="25">
        <v>1085731.4570967609</v>
      </c>
      <c r="BS11" s="26">
        <v>22001707.249139998</v>
      </c>
      <c r="BT11" s="26">
        <v>506641.57862210402</v>
      </c>
      <c r="BU11" s="26">
        <v>447375.91107042279</v>
      </c>
      <c r="BV11" s="26">
        <v>0</v>
      </c>
      <c r="BW11" s="26">
        <v>0</v>
      </c>
      <c r="BX11" s="27">
        <v>22060972.91669168</v>
      </c>
      <c r="BY11" s="26">
        <v>0</v>
      </c>
      <c r="BZ11" s="26">
        <v>475393.10635163565</v>
      </c>
      <c r="CA11" s="27">
        <v>475393.10635163565</v>
      </c>
      <c r="CB11" s="26">
        <v>122094.32317911438</v>
      </c>
      <c r="CC11" s="26">
        <v>0</v>
      </c>
      <c r="CD11" s="26">
        <v>646129.55122678087</v>
      </c>
      <c r="CE11" s="27">
        <v>768223.87440589524</v>
      </c>
      <c r="CF11" s="25">
        <v>23304589.89744921</v>
      </c>
      <c r="CG11" s="26">
        <v>754457.96792493563</v>
      </c>
      <c r="CH11" s="25">
        <v>23635863.386621036</v>
      </c>
      <c r="CI11" s="28" t="s">
        <v>110</v>
      </c>
      <c r="CJ11" s="22">
        <v>11</v>
      </c>
      <c r="CK11" s="2"/>
      <c r="CL11" s="2"/>
      <c r="CM11" s="30"/>
    </row>
    <row r="12" spans="1:171" s="31" customFormat="1" ht="32" customHeight="1" x14ac:dyDescent="0.2">
      <c r="A12" s="22">
        <v>12</v>
      </c>
      <c r="B12" s="23" t="s">
        <v>31</v>
      </c>
      <c r="C12" s="24">
        <v>357673.44971882616</v>
      </c>
      <c r="D12" s="24">
        <v>179417.67439471229</v>
      </c>
      <c r="E12" s="24">
        <v>0</v>
      </c>
      <c r="F12" s="24">
        <v>0</v>
      </c>
      <c r="G12" s="452">
        <v>674338.92446498491</v>
      </c>
      <c r="H12" s="24">
        <v>46381.543405341239</v>
      </c>
      <c r="I12" s="24">
        <v>159901.65795906348</v>
      </c>
      <c r="J12" s="24">
        <v>13761.196626589825</v>
      </c>
      <c r="K12" s="24">
        <v>19748.623143120803</v>
      </c>
      <c r="L12" s="24">
        <v>1283.5550330560948</v>
      </c>
      <c r="M12" s="24">
        <v>248.10951000959653</v>
      </c>
      <c r="N12" s="24">
        <v>42133.522398435365</v>
      </c>
      <c r="O12" s="24">
        <v>26215.876517811135</v>
      </c>
      <c r="P12" s="64">
        <v>42349.170175575397</v>
      </c>
      <c r="Q12" s="24">
        <v>25945.919611084435</v>
      </c>
      <c r="R12" s="24">
        <v>57118.507934131732</v>
      </c>
      <c r="S12" s="24">
        <v>4181.6118651693296</v>
      </c>
      <c r="T12" s="24">
        <v>426955.68724119826</v>
      </c>
      <c r="U12" s="24">
        <v>35998.078562906361</v>
      </c>
      <c r="V12" s="24">
        <v>18964.330367865554</v>
      </c>
      <c r="W12" s="24">
        <v>6651.4903408165164</v>
      </c>
      <c r="X12" s="24">
        <v>40598.110100721489</v>
      </c>
      <c r="Y12" s="24">
        <v>52625.678253239923</v>
      </c>
      <c r="Z12" s="24">
        <v>9879.4272858481218</v>
      </c>
      <c r="AA12" s="24">
        <v>16943.88698555345</v>
      </c>
      <c r="AB12" s="24">
        <v>6496.9488815038749</v>
      </c>
      <c r="AC12" s="24">
        <v>264.10914979623504</v>
      </c>
      <c r="AD12" s="24">
        <v>1.0227819997412266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301055.56912765076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886.68854510009442</v>
      </c>
      <c r="BH12" s="24">
        <v>68.925596613820446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5">
        <v>2568089.2959787259</v>
      </c>
      <c r="BS12" s="26">
        <v>10644041.784991536</v>
      </c>
      <c r="BT12" s="26">
        <v>405248.58856284874</v>
      </c>
      <c r="BU12" s="26">
        <v>72637.793404993077</v>
      </c>
      <c r="BV12" s="26">
        <v>0</v>
      </c>
      <c r="BW12" s="26">
        <v>0</v>
      </c>
      <c r="BX12" s="27">
        <v>10976652.580149392</v>
      </c>
      <c r="BY12" s="26">
        <v>0</v>
      </c>
      <c r="BZ12" s="26">
        <v>85599.297976961083</v>
      </c>
      <c r="CA12" s="27">
        <v>85599.297976961083</v>
      </c>
      <c r="CB12" s="26">
        <v>798384.26384387293</v>
      </c>
      <c r="CC12" s="26">
        <v>0</v>
      </c>
      <c r="CD12" s="26">
        <v>516821.16058363329</v>
      </c>
      <c r="CE12" s="27">
        <v>1315205.4244275063</v>
      </c>
      <c r="CF12" s="25">
        <v>12377457.302553859</v>
      </c>
      <c r="CG12" s="26">
        <v>1898259.9746637265</v>
      </c>
      <c r="CH12" s="25">
        <v>13047286.623868857</v>
      </c>
      <c r="CI12" s="28" t="s">
        <v>111</v>
      </c>
      <c r="CJ12" s="22">
        <v>12</v>
      </c>
      <c r="CK12" s="2"/>
      <c r="CL12" s="2"/>
      <c r="CM12" s="30"/>
    </row>
    <row r="13" spans="1:171" s="31" customFormat="1" ht="32" customHeight="1" x14ac:dyDescent="0.2">
      <c r="A13" s="35">
        <v>13</v>
      </c>
      <c r="B13" s="36" t="s">
        <v>32</v>
      </c>
      <c r="C13" s="24">
        <v>157764.89915948699</v>
      </c>
      <c r="D13" s="24">
        <v>78887.05609256959</v>
      </c>
      <c r="E13" s="24">
        <v>948.55105727882301</v>
      </c>
      <c r="F13" s="24">
        <v>10111.568877292599</v>
      </c>
      <c r="G13" s="452">
        <v>303392.58180927945</v>
      </c>
      <c r="H13" s="24">
        <v>54935.679526160304</v>
      </c>
      <c r="I13" s="24">
        <v>17390.95539608812</v>
      </c>
      <c r="J13" s="24">
        <v>8192501.8524398729</v>
      </c>
      <c r="K13" s="24">
        <v>4827701.0111285225</v>
      </c>
      <c r="L13" s="24">
        <v>148927.75983835215</v>
      </c>
      <c r="M13" s="24">
        <v>13172.235648767772</v>
      </c>
      <c r="N13" s="24">
        <v>446365.76866626681</v>
      </c>
      <c r="O13" s="24">
        <v>19555.648863080442</v>
      </c>
      <c r="P13" s="64">
        <v>87574.921026468481</v>
      </c>
      <c r="Q13" s="24">
        <v>160254.40525827662</v>
      </c>
      <c r="R13" s="24">
        <v>168866.41017934395</v>
      </c>
      <c r="S13" s="24">
        <v>172758.41008208937</v>
      </c>
      <c r="T13" s="24">
        <v>220142.78586415932</v>
      </c>
      <c r="U13" s="24">
        <v>28836.697181774176</v>
      </c>
      <c r="V13" s="24">
        <v>23493.687901139052</v>
      </c>
      <c r="W13" s="24">
        <v>22181.426500905545</v>
      </c>
      <c r="X13" s="24">
        <v>23712.902469776811</v>
      </c>
      <c r="Y13" s="24">
        <v>26421.24300480535</v>
      </c>
      <c r="Z13" s="24">
        <v>289268.52714209736</v>
      </c>
      <c r="AA13" s="24">
        <v>16821.251777114689</v>
      </c>
      <c r="AB13" s="24">
        <v>939241.90871630027</v>
      </c>
      <c r="AC13" s="24">
        <v>1489.2112782920121</v>
      </c>
      <c r="AD13" s="24">
        <v>1.1346077287895964</v>
      </c>
      <c r="AE13" s="24">
        <v>26.75127921960609</v>
      </c>
      <c r="AF13" s="24">
        <v>328.90680468875456</v>
      </c>
      <c r="AG13" s="24">
        <v>33495.639308799749</v>
      </c>
      <c r="AH13" s="24">
        <v>296159.59415447176</v>
      </c>
      <c r="AI13" s="24">
        <v>1070263.0854338217</v>
      </c>
      <c r="AJ13" s="24">
        <v>417.52481443910716</v>
      </c>
      <c r="AK13" s="24">
        <v>1812358.8511167879</v>
      </c>
      <c r="AL13" s="24">
        <v>6.5555235069995207E-2</v>
      </c>
      <c r="AM13" s="24">
        <v>1.5470732742886772E-2</v>
      </c>
      <c r="AN13" s="24">
        <v>0.85829795832696809</v>
      </c>
      <c r="AO13" s="24">
        <v>1.7593822222790974</v>
      </c>
      <c r="AP13" s="24">
        <v>103.59664902633993</v>
      </c>
      <c r="AQ13" s="24">
        <v>23.003678622312833</v>
      </c>
      <c r="AR13" s="24">
        <v>23.003678622312833</v>
      </c>
      <c r="AS13" s="24">
        <v>6140.5125041110505</v>
      </c>
      <c r="AT13" s="24">
        <v>177.67117640969909</v>
      </c>
      <c r="AU13" s="24">
        <v>88.782690663920818</v>
      </c>
      <c r="AV13" s="24">
        <v>267031.27086814895</v>
      </c>
      <c r="AW13" s="24">
        <v>2.978708437091159</v>
      </c>
      <c r="AX13" s="24">
        <v>112678.19796960447</v>
      </c>
      <c r="AY13" s="24">
        <v>91912.895706617681</v>
      </c>
      <c r="AZ13" s="24">
        <v>1164.8734534160837</v>
      </c>
      <c r="BA13" s="24">
        <v>184.57536736002794</v>
      </c>
      <c r="BB13" s="24">
        <v>21.739050951708268</v>
      </c>
      <c r="BC13" s="24">
        <v>775373.69317023933</v>
      </c>
      <c r="BD13" s="24">
        <v>15.024418318612762</v>
      </c>
      <c r="BE13" s="24">
        <v>8762.4366596622403</v>
      </c>
      <c r="BF13" s="24">
        <v>144939.57681333035</v>
      </c>
      <c r="BG13" s="24">
        <v>61134.34390539903</v>
      </c>
      <c r="BH13" s="24">
        <v>35645.728475921365</v>
      </c>
      <c r="BI13" s="24">
        <v>845952.95979624032</v>
      </c>
      <c r="BJ13" s="24">
        <v>627.15159952803754</v>
      </c>
      <c r="BK13" s="24">
        <v>0.50517714908024025</v>
      </c>
      <c r="BL13" s="24">
        <v>1.1078584834407925</v>
      </c>
      <c r="BM13" s="24">
        <v>18751.649793216347</v>
      </c>
      <c r="BN13" s="24">
        <v>854071.15880911238</v>
      </c>
      <c r="BO13" s="24">
        <v>280.94733782281725</v>
      </c>
      <c r="BP13" s="24">
        <v>805.16368876189642</v>
      </c>
      <c r="BQ13" s="24">
        <v>0</v>
      </c>
      <c r="BR13" s="25">
        <v>22891688.092116829</v>
      </c>
      <c r="BS13" s="26">
        <v>9409869.2059871331</v>
      </c>
      <c r="BT13" s="26">
        <v>39972.320913426985</v>
      </c>
      <c r="BU13" s="26">
        <v>17344.758645668349</v>
      </c>
      <c r="BV13" s="26">
        <v>0</v>
      </c>
      <c r="BW13" s="26">
        <v>0</v>
      </c>
      <c r="BX13" s="27">
        <v>9432496.768254891</v>
      </c>
      <c r="BY13" s="26">
        <v>51318.247253601527</v>
      </c>
      <c r="BZ13" s="26">
        <v>1178658.1378291771</v>
      </c>
      <c r="CA13" s="27">
        <v>1229976.3850827785</v>
      </c>
      <c r="CB13" s="26">
        <v>6990178.7479653414</v>
      </c>
      <c r="CC13" s="26">
        <v>0</v>
      </c>
      <c r="CD13" s="26">
        <v>50977.454009059176</v>
      </c>
      <c r="CE13" s="27">
        <v>7041156.2019744003</v>
      </c>
      <c r="CF13" s="25">
        <v>17703629.355312068</v>
      </c>
      <c r="CG13" s="26">
        <v>8656750.641561849</v>
      </c>
      <c r="CH13" s="25">
        <v>31938566.805867046</v>
      </c>
      <c r="CI13" s="37" t="s">
        <v>112</v>
      </c>
      <c r="CJ13" s="35">
        <v>13</v>
      </c>
      <c r="CK13" s="2"/>
      <c r="CL13" s="2"/>
      <c r="CM13" s="30"/>
    </row>
    <row r="14" spans="1:171" s="31" customFormat="1" ht="32" customHeight="1" x14ac:dyDescent="0.2">
      <c r="A14" s="38">
        <v>14</v>
      </c>
      <c r="B14" s="36" t="s">
        <v>33</v>
      </c>
      <c r="C14" s="24">
        <v>102308.89974857811</v>
      </c>
      <c r="D14" s="24">
        <v>51320.619058514261</v>
      </c>
      <c r="E14" s="24">
        <v>17.917929186353319</v>
      </c>
      <c r="F14" s="24">
        <v>6101.2441245210393</v>
      </c>
      <c r="G14" s="452">
        <v>192887.85887760701</v>
      </c>
      <c r="H14" s="24">
        <v>14200.055824591072</v>
      </c>
      <c r="I14" s="24">
        <v>1085.0521844190698</v>
      </c>
      <c r="J14" s="24">
        <v>64176.338180521001</v>
      </c>
      <c r="K14" s="24">
        <v>105027.49977307147</v>
      </c>
      <c r="L14" s="24">
        <v>2009.5289226860345</v>
      </c>
      <c r="M14" s="24">
        <v>267.1473191111744</v>
      </c>
      <c r="N14" s="24">
        <v>17242.78758141879</v>
      </c>
      <c r="O14" s="24">
        <v>7687.9724804281814</v>
      </c>
      <c r="P14" s="64">
        <v>33550.948591653083</v>
      </c>
      <c r="Q14" s="24">
        <v>11460.424485583433</v>
      </c>
      <c r="R14" s="24">
        <v>20109.018366594453</v>
      </c>
      <c r="S14" s="24">
        <v>3661.5702025141218</v>
      </c>
      <c r="T14" s="24">
        <v>127696.98499088136</v>
      </c>
      <c r="U14" s="24">
        <v>32836.431903978424</v>
      </c>
      <c r="V14" s="24">
        <v>6584.895954501435</v>
      </c>
      <c r="W14" s="24">
        <v>3537.2518620174178</v>
      </c>
      <c r="X14" s="24">
        <v>13303.055904097846</v>
      </c>
      <c r="Y14" s="24">
        <v>15485.94482435606</v>
      </c>
      <c r="Z14" s="24">
        <v>7230.93790158915</v>
      </c>
      <c r="AA14" s="24">
        <v>4925.0947715290395</v>
      </c>
      <c r="AB14" s="24">
        <v>9259.1428114205919</v>
      </c>
      <c r="AC14" s="24">
        <v>158.21749472874458</v>
      </c>
      <c r="AD14" s="24">
        <v>19.266066087853265</v>
      </c>
      <c r="AE14" s="24">
        <v>11.532670063873157</v>
      </c>
      <c r="AF14" s="24">
        <v>80.568482749925792</v>
      </c>
      <c r="AG14" s="24">
        <v>0</v>
      </c>
      <c r="AH14" s="24">
        <v>44681.596974916734</v>
      </c>
      <c r="AI14" s="24">
        <v>51052.171943989844</v>
      </c>
      <c r="AJ14" s="24">
        <v>80.483576933367985</v>
      </c>
      <c r="AK14" s="24">
        <v>35194.998113738147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602.05918186460144</v>
      </c>
      <c r="AT14" s="24">
        <v>2046.7482464905888</v>
      </c>
      <c r="AU14" s="24">
        <v>1247.7521267701898</v>
      </c>
      <c r="AV14" s="24">
        <v>10303.875087689721</v>
      </c>
      <c r="AW14" s="24">
        <v>16.768891121456846</v>
      </c>
      <c r="AX14" s="24">
        <v>4347.9443445253673</v>
      </c>
      <c r="AY14" s="24">
        <v>3538.3912150744295</v>
      </c>
      <c r="AZ14" s="24">
        <v>44.837753950874479</v>
      </c>
      <c r="BA14" s="24">
        <v>721.55449753352934</v>
      </c>
      <c r="BB14" s="24">
        <v>132.23561418086689</v>
      </c>
      <c r="BC14" s="24">
        <v>31330.877725187231</v>
      </c>
      <c r="BD14" s="24">
        <v>0</v>
      </c>
      <c r="BE14" s="24">
        <v>354.03038514616912</v>
      </c>
      <c r="BF14" s="24">
        <v>5829.0487546101485</v>
      </c>
      <c r="BG14" s="24">
        <v>43299.161805369891</v>
      </c>
      <c r="BH14" s="24">
        <v>25439.961915389576</v>
      </c>
      <c r="BI14" s="24">
        <v>95968.191348464999</v>
      </c>
      <c r="BJ14" s="24">
        <v>140.12772597349399</v>
      </c>
      <c r="BK14" s="24">
        <v>0</v>
      </c>
      <c r="BL14" s="24">
        <v>0</v>
      </c>
      <c r="BM14" s="24">
        <v>4723.6599294801345</v>
      </c>
      <c r="BN14" s="24">
        <v>64967.726227630585</v>
      </c>
      <c r="BO14" s="24">
        <v>8854.1657679835844</v>
      </c>
      <c r="BP14" s="24">
        <v>5203.9407293021695</v>
      </c>
      <c r="BQ14" s="24">
        <v>0</v>
      </c>
      <c r="BR14" s="25">
        <v>1294366.5191723183</v>
      </c>
      <c r="BS14" s="26">
        <v>20485723.280286133</v>
      </c>
      <c r="BT14" s="26">
        <v>3411166.411540674</v>
      </c>
      <c r="BU14" s="26">
        <v>1480299.5251799696</v>
      </c>
      <c r="BV14" s="26">
        <v>0</v>
      </c>
      <c r="BW14" s="26">
        <v>0</v>
      </c>
      <c r="BX14" s="27">
        <v>22416590.166646834</v>
      </c>
      <c r="BY14" s="26">
        <v>0</v>
      </c>
      <c r="BZ14" s="26">
        <v>298964.68307299184</v>
      </c>
      <c r="CA14" s="27">
        <v>298964.68307299184</v>
      </c>
      <c r="CB14" s="26">
        <v>7801662.4910085853</v>
      </c>
      <c r="CC14" s="26">
        <v>0</v>
      </c>
      <c r="CD14" s="26">
        <v>4350324.796955945</v>
      </c>
      <c r="CE14" s="27">
        <v>12151987.28796453</v>
      </c>
      <c r="CF14" s="25">
        <v>34867542.13768436</v>
      </c>
      <c r="CG14" s="26">
        <v>6964839.6111476291</v>
      </c>
      <c r="CH14" s="25">
        <v>29197069.045709051</v>
      </c>
      <c r="CI14" s="39" t="s">
        <v>113</v>
      </c>
      <c r="CJ14" s="38">
        <v>14</v>
      </c>
      <c r="CK14" s="2"/>
      <c r="CL14" s="2"/>
      <c r="CM14" s="30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</row>
    <row r="15" spans="1:171" s="31" customFormat="1" ht="32" customHeight="1" x14ac:dyDescent="0.2">
      <c r="A15" s="38">
        <v>15</v>
      </c>
      <c r="B15" s="36" t="s">
        <v>34</v>
      </c>
      <c r="C15" s="24">
        <v>2565.0493587666829</v>
      </c>
      <c r="D15" s="24">
        <v>1286.6909460301936</v>
      </c>
      <c r="E15" s="24">
        <v>4.5860594676069208</v>
      </c>
      <c r="F15" s="24">
        <v>14.462728221811608</v>
      </c>
      <c r="G15" s="452">
        <v>4836.0106750464374</v>
      </c>
      <c r="H15" s="24">
        <v>333.45193924098771</v>
      </c>
      <c r="I15" s="24">
        <v>21.192086436121528</v>
      </c>
      <c r="J15" s="24">
        <v>699.89495217903777</v>
      </c>
      <c r="K15" s="24">
        <v>18789.083200896755</v>
      </c>
      <c r="L15" s="24">
        <v>115094.23618236244</v>
      </c>
      <c r="M15" s="24">
        <v>89.84694232348572</v>
      </c>
      <c r="N15" s="24">
        <v>380.67208647744098</v>
      </c>
      <c r="O15" s="24">
        <v>1413.2193253850719</v>
      </c>
      <c r="P15" s="64">
        <v>347.99044170274931</v>
      </c>
      <c r="Q15" s="24">
        <v>357.8009093958749</v>
      </c>
      <c r="R15" s="24">
        <v>569.95891992215923</v>
      </c>
      <c r="S15" s="24">
        <v>256.10112999813566</v>
      </c>
      <c r="T15" s="24">
        <v>3430.3317718664489</v>
      </c>
      <c r="U15" s="24">
        <v>535.63021804883215</v>
      </c>
      <c r="V15" s="24">
        <v>220.58617008269556</v>
      </c>
      <c r="W15" s="24">
        <v>538.22846298717502</v>
      </c>
      <c r="X15" s="24">
        <v>424.96901848208859</v>
      </c>
      <c r="Y15" s="24">
        <v>407.00027028778015</v>
      </c>
      <c r="Z15" s="24">
        <v>247.00662186483049</v>
      </c>
      <c r="AA15" s="24">
        <v>150.50637911852945</v>
      </c>
      <c r="AB15" s="24">
        <v>1236.4075006395847</v>
      </c>
      <c r="AC15" s="24">
        <v>11.349760762500317</v>
      </c>
      <c r="AD15" s="24">
        <v>0.70584407527505932</v>
      </c>
      <c r="AE15" s="24">
        <v>2.5858916541711897E-2</v>
      </c>
      <c r="AF15" s="24">
        <v>0.21401129099988608</v>
      </c>
      <c r="AG15" s="24">
        <v>0</v>
      </c>
      <c r="AH15" s="24">
        <v>3286.417407458222</v>
      </c>
      <c r="AI15" s="24">
        <v>393.98869000148142</v>
      </c>
      <c r="AJ15" s="24">
        <v>9.7969476986200181</v>
      </c>
      <c r="AK15" s="24">
        <v>810.67937591215889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0.68856958883192998</v>
      </c>
      <c r="AT15" s="24">
        <v>1.5382483499475972</v>
      </c>
      <c r="AU15" s="24">
        <v>0.93775707561437183</v>
      </c>
      <c r="AV15" s="24">
        <v>6.3456144915007373</v>
      </c>
      <c r="AW15" s="24">
        <v>1.2602780601991633E-2</v>
      </c>
      <c r="AX15" s="24">
        <v>2.6776701392490523</v>
      </c>
      <c r="AY15" s="24">
        <v>2.1791089643352373</v>
      </c>
      <c r="AZ15" s="24">
        <v>2.7613213360567608E-2</v>
      </c>
      <c r="BA15" s="24">
        <v>0.4572640868012473</v>
      </c>
      <c r="BB15" s="24">
        <v>8.3800457994104502E-2</v>
      </c>
      <c r="BC15" s="24">
        <v>16.431342886291365</v>
      </c>
      <c r="BD15" s="24">
        <v>0</v>
      </c>
      <c r="BE15" s="24">
        <v>0.18566969944241327</v>
      </c>
      <c r="BF15" s="24">
        <v>3.05701932860027</v>
      </c>
      <c r="BG15" s="24">
        <v>68.955188441973391</v>
      </c>
      <c r="BH15" s="24">
        <v>12.171127087261926</v>
      </c>
      <c r="BI15" s="24">
        <v>68.444636243472971</v>
      </c>
      <c r="BJ15" s="24">
        <v>1.4741444889530038E-2</v>
      </c>
      <c r="BK15" s="24">
        <v>1.3496990956986807E-4</v>
      </c>
      <c r="BL15" s="24">
        <v>1.5927997144282535E-3</v>
      </c>
      <c r="BM15" s="24">
        <v>1.4683623883488339</v>
      </c>
      <c r="BN15" s="24">
        <v>62.834960982502444</v>
      </c>
      <c r="BO15" s="24">
        <v>11.123556045205385</v>
      </c>
      <c r="BP15" s="24">
        <v>1.3198060245170402</v>
      </c>
      <c r="BQ15" s="24">
        <v>0</v>
      </c>
      <c r="BR15" s="25">
        <v>159025.04858083717</v>
      </c>
      <c r="BS15" s="26">
        <v>8937945.9345482346</v>
      </c>
      <c r="BT15" s="26">
        <v>652963.31009924226</v>
      </c>
      <c r="BU15" s="26">
        <v>389122.55386219331</v>
      </c>
      <c r="BV15" s="26">
        <v>0</v>
      </c>
      <c r="BW15" s="26">
        <v>0</v>
      </c>
      <c r="BX15" s="27">
        <v>9201786.6907852832</v>
      </c>
      <c r="BY15" s="26">
        <v>7061.224197496439</v>
      </c>
      <c r="BZ15" s="26">
        <v>249246.87072972546</v>
      </c>
      <c r="CA15" s="27">
        <v>256308.09492722189</v>
      </c>
      <c r="CB15" s="26">
        <v>671275.54204401909</v>
      </c>
      <c r="CC15" s="26">
        <v>0</v>
      </c>
      <c r="CD15" s="26">
        <v>832736.41233591805</v>
      </c>
      <c r="CE15" s="27">
        <v>1504011.9543799371</v>
      </c>
      <c r="CF15" s="25">
        <v>10962106.740092441</v>
      </c>
      <c r="CG15" s="26">
        <v>1528552.0310307408</v>
      </c>
      <c r="CH15" s="25">
        <v>9592579.7576425374</v>
      </c>
      <c r="CI15" s="39" t="s">
        <v>114</v>
      </c>
      <c r="CJ15" s="38">
        <v>15</v>
      </c>
      <c r="CK15" s="2"/>
      <c r="CL15" s="2"/>
      <c r="CM15" s="30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</row>
    <row r="16" spans="1:171" s="31" customFormat="1" ht="32" customHeight="1" x14ac:dyDescent="0.2">
      <c r="A16" s="38">
        <v>16</v>
      </c>
      <c r="B16" s="36" t="s">
        <v>35</v>
      </c>
      <c r="C16" s="24">
        <v>283157.0194103698</v>
      </c>
      <c r="D16" s="24">
        <v>8832.553560475526</v>
      </c>
      <c r="E16" s="24">
        <v>13677.17938792211</v>
      </c>
      <c r="F16" s="24">
        <v>28134.402500855806</v>
      </c>
      <c r="G16" s="452">
        <v>59361.955741557176</v>
      </c>
      <c r="H16" s="24">
        <v>34885.311872347287</v>
      </c>
      <c r="I16" s="24">
        <v>34875.028373394125</v>
      </c>
      <c r="J16" s="24">
        <v>3324.3353714000382</v>
      </c>
      <c r="K16" s="24">
        <v>2701.5578111572913</v>
      </c>
      <c r="L16" s="24">
        <v>1199.0027726073533</v>
      </c>
      <c r="M16" s="24">
        <v>42636.748522351321</v>
      </c>
      <c r="N16" s="24">
        <v>82919.205405493703</v>
      </c>
      <c r="O16" s="24">
        <v>4245.6338299346844</v>
      </c>
      <c r="P16" s="64">
        <v>17744.391515227158</v>
      </c>
      <c r="Q16" s="24">
        <v>18484.291995385618</v>
      </c>
      <c r="R16" s="24">
        <v>35069.682219354334</v>
      </c>
      <c r="S16" s="24">
        <v>5230.1017948059343</v>
      </c>
      <c r="T16" s="24">
        <v>88320.127356111261</v>
      </c>
      <c r="U16" s="24">
        <v>64938.860377243756</v>
      </c>
      <c r="V16" s="24">
        <v>7158.2318124395351</v>
      </c>
      <c r="W16" s="24">
        <v>3155.3495970116978</v>
      </c>
      <c r="X16" s="24">
        <v>17991.805239869758</v>
      </c>
      <c r="Y16" s="24">
        <v>4556.188654576179</v>
      </c>
      <c r="Z16" s="24">
        <v>7246.6934750687069</v>
      </c>
      <c r="AA16" s="24">
        <v>1856.1663802379221</v>
      </c>
      <c r="AB16" s="24">
        <v>940240.47678597632</v>
      </c>
      <c r="AC16" s="24">
        <v>378.04173289727441</v>
      </c>
      <c r="AD16" s="24">
        <v>4.9120580011790391</v>
      </c>
      <c r="AE16" s="24">
        <v>102.8369593798716</v>
      </c>
      <c r="AF16" s="24">
        <v>1045.5892562881552</v>
      </c>
      <c r="AG16" s="24">
        <v>2789568.0280461968</v>
      </c>
      <c r="AH16" s="24">
        <v>189835.24494835379</v>
      </c>
      <c r="AI16" s="24">
        <v>112015.35675814014</v>
      </c>
      <c r="AJ16" s="24">
        <v>2993.5977258180537</v>
      </c>
      <c r="AK16" s="24">
        <v>21407.970784895842</v>
      </c>
      <c r="AL16" s="24">
        <v>0.81586876138631548</v>
      </c>
      <c r="AM16" s="24">
        <v>0.19254126001074942</v>
      </c>
      <c r="AN16" s="24">
        <v>298.80575291081686</v>
      </c>
      <c r="AO16" s="24">
        <v>31.820431885048251</v>
      </c>
      <c r="AP16" s="24">
        <v>2645.2693413825382</v>
      </c>
      <c r="AQ16" s="24">
        <v>342.58575553451141</v>
      </c>
      <c r="AR16" s="24">
        <v>342.58575553451141</v>
      </c>
      <c r="AS16" s="24">
        <v>8960.2227987212409</v>
      </c>
      <c r="AT16" s="24">
        <v>1603.8088253906644</v>
      </c>
      <c r="AU16" s="24">
        <v>595.89606591836525</v>
      </c>
      <c r="AV16" s="24">
        <v>1102.1127079787379</v>
      </c>
      <c r="AW16" s="24">
        <v>21.031266114831809</v>
      </c>
      <c r="AX16" s="24">
        <v>400.01300425798559</v>
      </c>
      <c r="AY16" s="24">
        <v>1246.4364819869202</v>
      </c>
      <c r="AZ16" s="24">
        <v>17.724833874121341</v>
      </c>
      <c r="BA16" s="24">
        <v>831.07390088552847</v>
      </c>
      <c r="BB16" s="24">
        <v>232.40978034706114</v>
      </c>
      <c r="BC16" s="24">
        <v>32592.510323219605</v>
      </c>
      <c r="BD16" s="24">
        <v>145.66801983779064</v>
      </c>
      <c r="BE16" s="24">
        <v>33.496963793397072</v>
      </c>
      <c r="BF16" s="24">
        <v>2823.8052696080081</v>
      </c>
      <c r="BG16" s="24">
        <v>14529.050939263672</v>
      </c>
      <c r="BH16" s="24">
        <v>20043.860906352424</v>
      </c>
      <c r="BI16" s="24">
        <v>55240.427748326067</v>
      </c>
      <c r="BJ16" s="24">
        <v>84.726209776553688</v>
      </c>
      <c r="BK16" s="24">
        <v>5.0937795995657194</v>
      </c>
      <c r="BL16" s="24">
        <v>13.747975030551926</v>
      </c>
      <c r="BM16" s="24">
        <v>1317.6638084386441</v>
      </c>
      <c r="BN16" s="24">
        <v>2696.148766309153</v>
      </c>
      <c r="BO16" s="24">
        <v>541.48749663733884</v>
      </c>
      <c r="BP16" s="24">
        <v>2802.438545088783</v>
      </c>
      <c r="BQ16" s="24">
        <v>0</v>
      </c>
      <c r="BR16" s="25">
        <v>5080836.8118971735</v>
      </c>
      <c r="BS16" s="26">
        <v>6183874.0290080737</v>
      </c>
      <c r="BT16" s="26">
        <v>3948096.3885364835</v>
      </c>
      <c r="BU16" s="26">
        <v>1751680.216943918</v>
      </c>
      <c r="BV16" s="26">
        <v>0</v>
      </c>
      <c r="BW16" s="26">
        <v>0</v>
      </c>
      <c r="BX16" s="27">
        <v>8380290.200600639</v>
      </c>
      <c r="BY16" s="26">
        <v>210241.31526796811</v>
      </c>
      <c r="BZ16" s="26">
        <v>-989752.31017151533</v>
      </c>
      <c r="CA16" s="27">
        <v>-779510.99490354722</v>
      </c>
      <c r="CB16" s="26">
        <v>435848.28665254492</v>
      </c>
      <c r="CC16" s="26">
        <v>0</v>
      </c>
      <c r="CD16" s="26">
        <v>5035081.7133149076</v>
      </c>
      <c r="CE16" s="27">
        <v>5470929.9999674521</v>
      </c>
      <c r="CF16" s="25">
        <v>13071709.205664543</v>
      </c>
      <c r="CG16" s="26">
        <v>11783931.972079461</v>
      </c>
      <c r="CH16" s="25">
        <v>6368614.0454822574</v>
      </c>
      <c r="CI16" s="39" t="s">
        <v>115</v>
      </c>
      <c r="CJ16" s="38">
        <v>16</v>
      </c>
      <c r="CK16" s="2"/>
      <c r="CL16" s="2"/>
      <c r="CM16" s="30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</row>
    <row r="17" spans="1:171" s="31" customFormat="1" ht="32" customHeight="1" x14ac:dyDescent="0.2">
      <c r="A17" s="38">
        <v>17</v>
      </c>
      <c r="B17" s="36" t="s">
        <v>36</v>
      </c>
      <c r="C17" s="24">
        <v>19541.548864881894</v>
      </c>
      <c r="D17" s="24">
        <v>6799.7686890683508</v>
      </c>
      <c r="E17" s="24">
        <v>13426.346886035681</v>
      </c>
      <c r="F17" s="24">
        <v>84650.138627145352</v>
      </c>
      <c r="G17" s="452">
        <v>178165.16313438214</v>
      </c>
      <c r="H17" s="24">
        <v>9480.270635347124</v>
      </c>
      <c r="I17" s="24">
        <v>5360.8684966683486</v>
      </c>
      <c r="J17" s="24">
        <v>3383.2537898162927</v>
      </c>
      <c r="K17" s="24">
        <v>2243.2195398275621</v>
      </c>
      <c r="L17" s="24">
        <v>928.85433010599945</v>
      </c>
      <c r="M17" s="24">
        <v>115.20554101703517</v>
      </c>
      <c r="N17" s="24">
        <v>1106185.8633739445</v>
      </c>
      <c r="O17" s="24">
        <v>103466.64808547382</v>
      </c>
      <c r="P17" s="64">
        <v>4931.0208704286542</v>
      </c>
      <c r="Q17" s="24">
        <v>6035.5628388610612</v>
      </c>
      <c r="R17" s="24">
        <v>15989.876784949978</v>
      </c>
      <c r="S17" s="24">
        <v>1609.6438313331751</v>
      </c>
      <c r="T17" s="24">
        <v>38659.811056159582</v>
      </c>
      <c r="U17" s="24">
        <v>10128.083311440423</v>
      </c>
      <c r="V17" s="24">
        <v>3611.0758057555181</v>
      </c>
      <c r="W17" s="24">
        <v>3373.4086289295637</v>
      </c>
      <c r="X17" s="24">
        <v>8070.0251439556669</v>
      </c>
      <c r="Y17" s="24">
        <v>3669.7663699421669</v>
      </c>
      <c r="Z17" s="24">
        <v>4660.4292120303408</v>
      </c>
      <c r="AA17" s="24">
        <v>723.02590251229924</v>
      </c>
      <c r="AB17" s="24">
        <v>1455.5557821005555</v>
      </c>
      <c r="AC17" s="24">
        <v>145.88579155553697</v>
      </c>
      <c r="AD17" s="24">
        <v>47.132159709364437</v>
      </c>
      <c r="AE17" s="24">
        <v>678.43123956452382</v>
      </c>
      <c r="AF17" s="24">
        <v>13820.907992106351</v>
      </c>
      <c r="AG17" s="24">
        <v>87923.975966830476</v>
      </c>
      <c r="AH17" s="24">
        <v>387068.49722709501</v>
      </c>
      <c r="AI17" s="24">
        <v>77609.799214170678</v>
      </c>
      <c r="AJ17" s="24">
        <v>2195.1713010112449</v>
      </c>
      <c r="AK17" s="24">
        <v>81254.66066032034</v>
      </c>
      <c r="AL17" s="24">
        <v>29.539395316945669</v>
      </c>
      <c r="AM17" s="24">
        <v>6.9711608820714268</v>
      </c>
      <c r="AN17" s="24">
        <v>396.14053385277896</v>
      </c>
      <c r="AO17" s="24">
        <v>793.1065513964694</v>
      </c>
      <c r="AP17" s="24">
        <v>46285.014444734166</v>
      </c>
      <c r="AQ17" s="24">
        <v>5036.0623277460272</v>
      </c>
      <c r="AR17" s="24">
        <v>5036.0623277460272</v>
      </c>
      <c r="AS17" s="24">
        <v>295562.37222859584</v>
      </c>
      <c r="AT17" s="24">
        <v>51054.931270838628</v>
      </c>
      <c r="AU17" s="24">
        <v>15451.731559323483</v>
      </c>
      <c r="AV17" s="24">
        <v>24645.094717256532</v>
      </c>
      <c r="AW17" s="24">
        <v>556.64270158446732</v>
      </c>
      <c r="AX17" s="24">
        <v>6275.2595212172828</v>
      </c>
      <c r="AY17" s="24">
        <v>16090.744668029192</v>
      </c>
      <c r="AZ17" s="24">
        <v>270.9088825751266</v>
      </c>
      <c r="BA17" s="24">
        <v>11158.279068030884</v>
      </c>
      <c r="BB17" s="24">
        <v>8015.6625152195029</v>
      </c>
      <c r="BC17" s="24">
        <v>43262.259121084178</v>
      </c>
      <c r="BD17" s="24">
        <v>4723.7346365386666</v>
      </c>
      <c r="BE17" s="24">
        <v>609.86284597624172</v>
      </c>
      <c r="BF17" s="24">
        <v>11915.838282928004</v>
      </c>
      <c r="BG17" s="24">
        <v>40809.787290168977</v>
      </c>
      <c r="BH17" s="24">
        <v>105489.65858454599</v>
      </c>
      <c r="BI17" s="24">
        <v>290550.73115207907</v>
      </c>
      <c r="BJ17" s="24">
        <v>671.18895547110696</v>
      </c>
      <c r="BK17" s="24">
        <v>168.66329579659023</v>
      </c>
      <c r="BL17" s="24">
        <v>494.36678921854792</v>
      </c>
      <c r="BM17" s="24">
        <v>9338.9386654508762</v>
      </c>
      <c r="BN17" s="24">
        <v>12874.165630346215</v>
      </c>
      <c r="BO17" s="24">
        <v>4756.3722569599158</v>
      </c>
      <c r="BP17" s="24">
        <v>14963.163366481485</v>
      </c>
      <c r="BQ17" s="24">
        <v>0</v>
      </c>
      <c r="BR17" s="25">
        <v>3314702.1518318681</v>
      </c>
      <c r="BS17" s="26">
        <v>17020749.740104843</v>
      </c>
      <c r="BT17" s="26">
        <v>68.265964533289477</v>
      </c>
      <c r="BU17" s="26">
        <v>74.767287830344159</v>
      </c>
      <c r="BV17" s="26">
        <v>0</v>
      </c>
      <c r="BW17" s="26">
        <v>0</v>
      </c>
      <c r="BX17" s="27">
        <v>17020743.238781545</v>
      </c>
      <c r="BY17" s="26">
        <v>62409.036159793235</v>
      </c>
      <c r="BZ17" s="26">
        <v>1103693.8039636121</v>
      </c>
      <c r="CA17" s="27">
        <v>1166102.8401234052</v>
      </c>
      <c r="CB17" s="26">
        <v>593283.35914028948</v>
      </c>
      <c r="CC17" s="26">
        <v>0</v>
      </c>
      <c r="CD17" s="26">
        <v>87.060870819008755</v>
      </c>
      <c r="CE17" s="27">
        <v>593370.42001110851</v>
      </c>
      <c r="CF17" s="25">
        <v>18780216.498916056</v>
      </c>
      <c r="CG17" s="26">
        <v>3242084.4308970771</v>
      </c>
      <c r="CH17" s="25">
        <v>18852834.219850849</v>
      </c>
      <c r="CI17" s="39" t="s">
        <v>116</v>
      </c>
      <c r="CJ17" s="38">
        <v>17</v>
      </c>
      <c r="CK17" s="2"/>
      <c r="CL17" s="2"/>
      <c r="CM17" s="30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</row>
    <row r="18" spans="1:171" s="31" customFormat="1" ht="33" customHeight="1" x14ac:dyDescent="0.2">
      <c r="A18" s="35">
        <v>18</v>
      </c>
      <c r="B18" s="36" t="s">
        <v>37</v>
      </c>
      <c r="C18" s="24">
        <v>656563.6452527612</v>
      </c>
      <c r="D18" s="24">
        <v>323010.53396808257</v>
      </c>
      <c r="E18" s="24">
        <v>20618.605224585739</v>
      </c>
      <c r="F18" s="24">
        <v>133063.52882395592</v>
      </c>
      <c r="G18" s="452">
        <v>1440756.5563388788</v>
      </c>
      <c r="H18" s="24">
        <v>109066.49582671776</v>
      </c>
      <c r="I18" s="24">
        <v>28386.264808585962</v>
      </c>
      <c r="J18" s="24">
        <v>46461.027992374104</v>
      </c>
      <c r="K18" s="24">
        <v>39321.435962488482</v>
      </c>
      <c r="L18" s="24">
        <v>7166.822404579967</v>
      </c>
      <c r="M18" s="24">
        <v>2040.7076705956551</v>
      </c>
      <c r="N18" s="24">
        <v>1671689.169452426</v>
      </c>
      <c r="O18" s="24">
        <v>195445.62638600974</v>
      </c>
      <c r="P18" s="64">
        <v>134722.59320381063</v>
      </c>
      <c r="Q18" s="24">
        <v>141731.89342567956</v>
      </c>
      <c r="R18" s="24">
        <v>198488.43225814903</v>
      </c>
      <c r="S18" s="24">
        <v>51321.017730278909</v>
      </c>
      <c r="T18" s="24">
        <v>844630.25082421419</v>
      </c>
      <c r="U18" s="24">
        <v>71808.509144198368</v>
      </c>
      <c r="V18" s="24">
        <v>38898.62397852377</v>
      </c>
      <c r="W18" s="24">
        <v>17184.980176774137</v>
      </c>
      <c r="X18" s="24">
        <v>90825.417864087678</v>
      </c>
      <c r="Y18" s="24">
        <v>97542.291117730376</v>
      </c>
      <c r="Z18" s="24">
        <v>24965.88125386199</v>
      </c>
      <c r="AA18" s="24">
        <v>30776.346672783908</v>
      </c>
      <c r="AB18" s="24">
        <v>15529.319158446473</v>
      </c>
      <c r="AC18" s="24">
        <v>735.15120210360715</v>
      </c>
      <c r="AD18" s="24">
        <v>73.963106728149143</v>
      </c>
      <c r="AE18" s="24">
        <v>1158.9926774994888</v>
      </c>
      <c r="AF18" s="24">
        <v>24164.407281129221</v>
      </c>
      <c r="AG18" s="24">
        <v>161925.26966085625</v>
      </c>
      <c r="AH18" s="24">
        <v>618139.03871231328</v>
      </c>
      <c r="AI18" s="24">
        <v>110152.3300152829</v>
      </c>
      <c r="AJ18" s="24">
        <v>3026.5034628333087</v>
      </c>
      <c r="AK18" s="24">
        <v>133972.80547970484</v>
      </c>
      <c r="AL18" s="24">
        <v>42.239635269851611</v>
      </c>
      <c r="AM18" s="24">
        <v>9.9683588613350391</v>
      </c>
      <c r="AN18" s="24">
        <v>553.03276197362095</v>
      </c>
      <c r="AO18" s="24">
        <v>1133.6343053301707</v>
      </c>
      <c r="AP18" s="24">
        <v>66122.578048307914</v>
      </c>
      <c r="AQ18" s="24">
        <v>7208.9907145792131</v>
      </c>
      <c r="AR18" s="24">
        <v>7208.9907145792131</v>
      </c>
      <c r="AS18" s="24">
        <v>428928.46389204299</v>
      </c>
      <c r="AT18" s="24">
        <v>72836.954449684607</v>
      </c>
      <c r="AU18" s="24">
        <v>22012.04639456356</v>
      </c>
      <c r="AV18" s="24">
        <v>34399.014403212495</v>
      </c>
      <c r="AW18" s="24">
        <v>796.16220603379054</v>
      </c>
      <c r="AX18" s="24">
        <v>8626.8405974883517</v>
      </c>
      <c r="AY18" s="24">
        <v>22974.349525171834</v>
      </c>
      <c r="AZ18" s="24">
        <v>386.97785206703031</v>
      </c>
      <c r="BA18" s="24">
        <v>16208.926830705683</v>
      </c>
      <c r="BB18" s="24">
        <v>11475.485140610039</v>
      </c>
      <c r="BC18" s="24">
        <v>64111.700529563568</v>
      </c>
      <c r="BD18" s="24">
        <v>6760.5580187578926</v>
      </c>
      <c r="BE18" s="24">
        <v>899.0805597647618</v>
      </c>
      <c r="BF18" s="24">
        <v>19230.737129499426</v>
      </c>
      <c r="BG18" s="24">
        <v>60000.385125215609</v>
      </c>
      <c r="BH18" s="24">
        <v>151756.28808129914</v>
      </c>
      <c r="BI18" s="24">
        <v>464204.99764168164</v>
      </c>
      <c r="BJ18" s="24">
        <v>987.17941640071524</v>
      </c>
      <c r="BK18" s="24">
        <v>241.49853712960558</v>
      </c>
      <c r="BL18" s="24">
        <v>708.59038739539255</v>
      </c>
      <c r="BM18" s="24">
        <v>14376.508898943301</v>
      </c>
      <c r="BN18" s="24">
        <v>23373.12974363883</v>
      </c>
      <c r="BO18" s="24">
        <v>7665.0142714648146</v>
      </c>
      <c r="BP18" s="24">
        <v>22787.743785530984</v>
      </c>
      <c r="BQ18" s="24">
        <v>0</v>
      </c>
      <c r="BR18" s="25">
        <v>9023392.5064757969</v>
      </c>
      <c r="BS18" s="26">
        <v>24898397.425375972</v>
      </c>
      <c r="BT18" s="26">
        <v>0</v>
      </c>
      <c r="BU18" s="26">
        <v>0</v>
      </c>
      <c r="BV18" s="26">
        <v>0</v>
      </c>
      <c r="BW18" s="26">
        <v>0</v>
      </c>
      <c r="BX18" s="27">
        <v>24898397.425375972</v>
      </c>
      <c r="BY18" s="26">
        <v>31257.416149098677</v>
      </c>
      <c r="BZ18" s="26">
        <v>1570477.6684656495</v>
      </c>
      <c r="CA18" s="27">
        <v>1601735.0846147481</v>
      </c>
      <c r="CB18" s="26">
        <v>924052.03749276325</v>
      </c>
      <c r="CC18" s="26">
        <v>0</v>
      </c>
      <c r="CD18" s="26">
        <v>0</v>
      </c>
      <c r="CE18" s="27">
        <v>924052.03749276325</v>
      </c>
      <c r="CF18" s="25">
        <v>27424184.547483485</v>
      </c>
      <c r="CG18" s="26">
        <v>4826526.3964962624</v>
      </c>
      <c r="CH18" s="25">
        <v>31621050.657463018</v>
      </c>
      <c r="CI18" s="39" t="s">
        <v>117</v>
      </c>
      <c r="CJ18" s="35">
        <v>18</v>
      </c>
      <c r="CK18" s="2"/>
      <c r="CL18" s="2"/>
      <c r="CM18" s="2"/>
      <c r="CN18" s="2"/>
      <c r="CO18" s="2"/>
      <c r="CP18" s="2"/>
      <c r="CQ18" s="2"/>
      <c r="CR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</row>
    <row r="19" spans="1:171" s="67" customFormat="1" ht="32" customHeight="1" x14ac:dyDescent="0.2">
      <c r="A19" s="62">
        <v>19</v>
      </c>
      <c r="B19" s="63" t="s">
        <v>38</v>
      </c>
      <c r="C19" s="64">
        <v>3523172.2512936774</v>
      </c>
      <c r="D19" s="64">
        <v>884772.54227331723</v>
      </c>
      <c r="E19" s="64">
        <v>475276.07343057147</v>
      </c>
      <c r="F19" s="64">
        <v>720959.57865992631</v>
      </c>
      <c r="G19" s="64">
        <v>5389428.2782380451</v>
      </c>
      <c r="H19" s="64">
        <v>497876.65246457409</v>
      </c>
      <c r="I19" s="64">
        <v>214492.81736846757</v>
      </c>
      <c r="J19" s="64">
        <v>1450175.331980272</v>
      </c>
      <c r="K19" s="64">
        <v>169144.93249617622</v>
      </c>
      <c r="L19" s="64">
        <v>283723.90773840604</v>
      </c>
      <c r="M19" s="64">
        <v>123133.63614566768</v>
      </c>
      <c r="N19" s="64">
        <v>1861843.7191076721</v>
      </c>
      <c r="O19" s="64">
        <v>251194.8912396215</v>
      </c>
      <c r="P19" s="64">
        <v>5215325.9669366805</v>
      </c>
      <c r="Q19" s="64">
        <v>6880342.4522963967</v>
      </c>
      <c r="R19" s="64">
        <v>5580501.0542439139</v>
      </c>
      <c r="S19" s="64">
        <v>3455649.9563743956</v>
      </c>
      <c r="T19" s="64">
        <v>8578122.6717018485</v>
      </c>
      <c r="U19" s="64">
        <v>1018299.0271984431</v>
      </c>
      <c r="V19" s="64">
        <v>251405.86100884306</v>
      </c>
      <c r="W19" s="64">
        <v>246199.59401734054</v>
      </c>
      <c r="X19" s="64">
        <v>964701.18124296423</v>
      </c>
      <c r="Y19" s="64">
        <v>301597.39136423153</v>
      </c>
      <c r="Z19" s="64">
        <v>381450.06537552504</v>
      </c>
      <c r="AA19" s="64">
        <v>84978.839553546801</v>
      </c>
      <c r="AB19" s="64">
        <v>206133.17324475301</v>
      </c>
      <c r="AC19" s="64">
        <v>20343.121959871449</v>
      </c>
      <c r="AD19" s="64">
        <v>902.50280804272404</v>
      </c>
      <c r="AE19" s="64">
        <v>26176159.90139693</v>
      </c>
      <c r="AF19" s="64">
        <v>2081731.5525227627</v>
      </c>
      <c r="AG19" s="64">
        <v>9046098.4433859754</v>
      </c>
      <c r="AH19" s="64">
        <v>32829156.994516969</v>
      </c>
      <c r="AI19" s="64">
        <v>34212287.054683171</v>
      </c>
      <c r="AJ19" s="64">
        <v>246021.59198952108</v>
      </c>
      <c r="AK19" s="64">
        <v>6144718.713802563</v>
      </c>
      <c r="AL19" s="64">
        <v>107218.07891688769</v>
      </c>
      <c r="AM19" s="64">
        <v>25302.971492022287</v>
      </c>
      <c r="AN19" s="64">
        <v>21885.756476123071</v>
      </c>
      <c r="AO19" s="64">
        <v>2243843.0340975062</v>
      </c>
      <c r="AP19" s="64">
        <v>174094.28950188326</v>
      </c>
      <c r="AQ19" s="64">
        <v>8318.584928473123</v>
      </c>
      <c r="AR19" s="64">
        <v>8318.584928473123</v>
      </c>
      <c r="AS19" s="64">
        <v>790210.69212933828</v>
      </c>
      <c r="AT19" s="64">
        <v>55189.839593015204</v>
      </c>
      <c r="AU19" s="64">
        <v>32951.456216330393</v>
      </c>
      <c r="AV19" s="64">
        <v>228490.3265569311</v>
      </c>
      <c r="AW19" s="64">
        <v>5665.0568628244364</v>
      </c>
      <c r="AX19" s="64">
        <v>65675.381167389249</v>
      </c>
      <c r="AY19" s="64">
        <v>45488.941171041239</v>
      </c>
      <c r="AZ19" s="64">
        <v>1126.1316123898305</v>
      </c>
      <c r="BA19" s="64">
        <v>696461.1075059257</v>
      </c>
      <c r="BB19" s="64">
        <v>6595.03558704645</v>
      </c>
      <c r="BC19" s="64">
        <v>1512133.6270477017</v>
      </c>
      <c r="BD19" s="64">
        <v>40753.942741432067</v>
      </c>
      <c r="BE19" s="64">
        <v>33324.508297904678</v>
      </c>
      <c r="BF19" s="64">
        <v>222048.13150166225</v>
      </c>
      <c r="BG19" s="64">
        <v>1460191.4165933912</v>
      </c>
      <c r="BH19" s="64">
        <v>248554.80631820636</v>
      </c>
      <c r="BI19" s="64">
        <v>6785480.3504607379</v>
      </c>
      <c r="BJ19" s="64">
        <v>26991.865903387756</v>
      </c>
      <c r="BK19" s="64">
        <v>319.08970306058944</v>
      </c>
      <c r="BL19" s="64">
        <v>2614.4419843879996</v>
      </c>
      <c r="BM19" s="64">
        <v>540355.53626197542</v>
      </c>
      <c r="BN19" s="64">
        <v>985275.70995774725</v>
      </c>
      <c r="BO19" s="64">
        <v>200611.27073811286</v>
      </c>
      <c r="BP19" s="64">
        <v>468405.09738140769</v>
      </c>
      <c r="BQ19" s="64">
        <v>0</v>
      </c>
      <c r="BR19" s="65">
        <v>176811216.7876958</v>
      </c>
      <c r="BS19" s="65">
        <v>179239992.77646717</v>
      </c>
      <c r="BT19" s="65">
        <v>0</v>
      </c>
      <c r="BU19" s="65">
        <v>0</v>
      </c>
      <c r="BV19" s="65">
        <v>0</v>
      </c>
      <c r="BW19" s="65">
        <v>0</v>
      </c>
      <c r="BX19" s="65">
        <v>179239992.77646717</v>
      </c>
      <c r="BY19" s="65">
        <v>0</v>
      </c>
      <c r="BZ19" s="65">
        <v>7364738.7610557117</v>
      </c>
      <c r="CA19" s="65">
        <v>7364738.7610557117</v>
      </c>
      <c r="CB19" s="65">
        <v>9315738.3658309169</v>
      </c>
      <c r="CC19" s="65">
        <v>0</v>
      </c>
      <c r="CD19" s="65">
        <v>0</v>
      </c>
      <c r="CE19" s="65">
        <v>9315738.3658309169</v>
      </c>
      <c r="CF19" s="65">
        <v>195920469.90335381</v>
      </c>
      <c r="CG19" s="65">
        <v>54578130.369007677</v>
      </c>
      <c r="CH19" s="65">
        <v>318153556.32204187</v>
      </c>
      <c r="CI19" s="66" t="s">
        <v>118</v>
      </c>
      <c r="CJ19" s="62">
        <v>19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</row>
    <row r="20" spans="1:171" s="31" customFormat="1" ht="32" customHeight="1" x14ac:dyDescent="0.2">
      <c r="A20" s="35">
        <v>20</v>
      </c>
      <c r="B20" s="36" t="s">
        <v>39</v>
      </c>
      <c r="C20" s="24">
        <v>5213866.5861516083</v>
      </c>
      <c r="D20" s="24">
        <v>120868.95209989784</v>
      </c>
      <c r="E20" s="24">
        <v>146161.80592577506</v>
      </c>
      <c r="F20" s="24">
        <v>208852.8086131195</v>
      </c>
      <c r="G20" s="452">
        <v>515387.97353112977</v>
      </c>
      <c r="H20" s="24">
        <v>219983.45850146981</v>
      </c>
      <c r="I20" s="24">
        <v>191470.27047147878</v>
      </c>
      <c r="J20" s="24">
        <v>1178354.5770387352</v>
      </c>
      <c r="K20" s="24">
        <v>139167.38392426615</v>
      </c>
      <c r="L20" s="24">
        <v>210886.23560837298</v>
      </c>
      <c r="M20" s="24">
        <v>92320.000364454158</v>
      </c>
      <c r="N20" s="24">
        <v>1255184.62498712</v>
      </c>
      <c r="O20" s="24">
        <v>146457.28968318307</v>
      </c>
      <c r="P20" s="64">
        <v>3457627.4983252883</v>
      </c>
      <c r="Q20" s="24">
        <v>5127066.4950045329</v>
      </c>
      <c r="R20" s="24">
        <v>4399995.2756115813</v>
      </c>
      <c r="S20" s="24">
        <v>2758558.3247969267</v>
      </c>
      <c r="T20" s="24">
        <v>2008338.815617397</v>
      </c>
      <c r="U20" s="24">
        <v>424128.12910258054</v>
      </c>
      <c r="V20" s="24">
        <v>141396.96201190478</v>
      </c>
      <c r="W20" s="24">
        <v>176633.76013339357</v>
      </c>
      <c r="X20" s="24">
        <v>641783.60317607911</v>
      </c>
      <c r="Y20" s="24">
        <v>105660.93243791365</v>
      </c>
      <c r="Z20" s="24">
        <v>259400.56742322398</v>
      </c>
      <c r="AA20" s="24">
        <v>23382.708864416767</v>
      </c>
      <c r="AB20" s="24">
        <v>151005.72168805695</v>
      </c>
      <c r="AC20" s="24">
        <v>14366.236222289366</v>
      </c>
      <c r="AD20" s="24">
        <v>332.71844222266719</v>
      </c>
      <c r="AE20" s="24">
        <v>109536.75213233946</v>
      </c>
      <c r="AF20" s="24">
        <v>269731.24157154746</v>
      </c>
      <c r="AG20" s="24">
        <v>234561.37563731105</v>
      </c>
      <c r="AH20" s="24">
        <v>668273.01852495107</v>
      </c>
      <c r="AI20" s="24">
        <v>165884.10443187642</v>
      </c>
      <c r="AJ20" s="24">
        <v>2377.1788595122434</v>
      </c>
      <c r="AK20" s="24">
        <v>866287.30133813818</v>
      </c>
      <c r="AL20" s="24">
        <v>416.17491609574466</v>
      </c>
      <c r="AM20" s="24">
        <v>98.215358305648252</v>
      </c>
      <c r="AN20" s="24">
        <v>230.42373448939952</v>
      </c>
      <c r="AO20" s="24">
        <v>8744.4913078631471</v>
      </c>
      <c r="AP20" s="24">
        <v>9571.2717672523249</v>
      </c>
      <c r="AQ20" s="24">
        <v>1052.9818302868935</v>
      </c>
      <c r="AR20" s="24">
        <v>1052.9818302868935</v>
      </c>
      <c r="AS20" s="24">
        <v>473975.86592074344</v>
      </c>
      <c r="AT20" s="24">
        <v>9898.1092349536048</v>
      </c>
      <c r="AU20" s="24">
        <v>3198.2426180972075</v>
      </c>
      <c r="AV20" s="24">
        <v>9315.9880028464049</v>
      </c>
      <c r="AW20" s="24">
        <v>131.6803309971346</v>
      </c>
      <c r="AX20" s="24">
        <v>3088.8122741270658</v>
      </c>
      <c r="AY20" s="24">
        <v>5291.0490586440555</v>
      </c>
      <c r="AZ20" s="24">
        <v>81.728192301103491</v>
      </c>
      <c r="BA20" s="24">
        <v>12140.03892046798</v>
      </c>
      <c r="BB20" s="24">
        <v>2760.1164359009617</v>
      </c>
      <c r="BC20" s="24">
        <v>268321.44446563406</v>
      </c>
      <c r="BD20" s="24">
        <v>1047.6868336796397</v>
      </c>
      <c r="BE20" s="24">
        <v>3117.0734925973766</v>
      </c>
      <c r="BF20" s="24">
        <v>104261.82451732153</v>
      </c>
      <c r="BG20" s="24">
        <v>115884.49905698989</v>
      </c>
      <c r="BH20" s="24">
        <v>100505.51592890233</v>
      </c>
      <c r="BI20" s="24">
        <v>3467929.8901213887</v>
      </c>
      <c r="BJ20" s="24">
        <v>1269.8851470808941</v>
      </c>
      <c r="BK20" s="24">
        <v>42.039947045386313</v>
      </c>
      <c r="BL20" s="24">
        <v>209.06610134203495</v>
      </c>
      <c r="BM20" s="24">
        <v>78297.464295795347</v>
      </c>
      <c r="BN20" s="24">
        <v>321692.04418299167</v>
      </c>
      <c r="BO20" s="24">
        <v>52999.771423376944</v>
      </c>
      <c r="BP20" s="24">
        <v>47544.665735856492</v>
      </c>
      <c r="BQ20" s="24">
        <v>0</v>
      </c>
      <c r="BR20" s="25">
        <v>36749461.731237769</v>
      </c>
      <c r="BS20" s="26">
        <v>43764451.457276449</v>
      </c>
      <c r="BT20" s="26">
        <v>8546.0909854134934</v>
      </c>
      <c r="BU20" s="26">
        <v>3817.1145955305296</v>
      </c>
      <c r="BV20" s="26">
        <v>0</v>
      </c>
      <c r="BW20" s="26">
        <v>0</v>
      </c>
      <c r="BX20" s="27">
        <v>43769180.433666326</v>
      </c>
      <c r="BY20" s="26">
        <v>112082.35203427574</v>
      </c>
      <c r="BZ20" s="26">
        <v>1971043.6917472095</v>
      </c>
      <c r="CA20" s="27">
        <v>2083126.0437814852</v>
      </c>
      <c r="CB20" s="26">
        <v>10288992.618226502</v>
      </c>
      <c r="CC20" s="26">
        <v>0</v>
      </c>
      <c r="CD20" s="26">
        <v>10898.990856940984</v>
      </c>
      <c r="CE20" s="27">
        <v>10299891.609083444</v>
      </c>
      <c r="CF20" s="25">
        <v>56152198.086531252</v>
      </c>
      <c r="CG20" s="26">
        <v>23885591.831437651</v>
      </c>
      <c r="CH20" s="25">
        <v>69016067.986331373</v>
      </c>
      <c r="CI20" s="39" t="s">
        <v>119</v>
      </c>
      <c r="CJ20" s="35">
        <v>20</v>
      </c>
      <c r="CK20" s="2"/>
      <c r="CL20" s="2"/>
      <c r="CM20" s="30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</row>
    <row r="21" spans="1:171" s="41" customFormat="1" ht="32" customHeight="1" x14ac:dyDescent="0.2">
      <c r="A21" s="22">
        <v>21</v>
      </c>
      <c r="B21" s="40" t="s">
        <v>40</v>
      </c>
      <c r="C21" s="24">
        <v>75177.972581141192</v>
      </c>
      <c r="D21" s="24">
        <v>37425.142545911032</v>
      </c>
      <c r="E21" s="24">
        <v>203.09060187971551</v>
      </c>
      <c r="F21" s="24">
        <v>367.15830937709478</v>
      </c>
      <c r="G21" s="452">
        <v>140772.17138523521</v>
      </c>
      <c r="H21" s="24">
        <v>10063.509927655632</v>
      </c>
      <c r="I21" s="24">
        <v>1015.0130890011555</v>
      </c>
      <c r="J21" s="24">
        <v>4395.3892950562431</v>
      </c>
      <c r="K21" s="24">
        <v>4229.3450744205747</v>
      </c>
      <c r="L21" s="24">
        <v>566.85918214850335</v>
      </c>
      <c r="M21" s="24">
        <v>182.39053179047175</v>
      </c>
      <c r="N21" s="24">
        <v>10234.759947043261</v>
      </c>
      <c r="O21" s="24">
        <v>5625.6058596580133</v>
      </c>
      <c r="P21" s="64">
        <v>13716.496285719059</v>
      </c>
      <c r="Q21" s="24">
        <v>12908.231238847298</v>
      </c>
      <c r="R21" s="24">
        <v>17924.1052654222</v>
      </c>
      <c r="S21" s="24">
        <v>4627.6267649059064</v>
      </c>
      <c r="T21" s="24">
        <v>91649.191128600534</v>
      </c>
      <c r="U21" s="24">
        <v>8017.0100508580308</v>
      </c>
      <c r="V21" s="24">
        <v>4133.1975314680012</v>
      </c>
      <c r="W21" s="24">
        <v>1634.031891255388</v>
      </c>
      <c r="X21" s="24">
        <v>9358.8202730353569</v>
      </c>
      <c r="Y21" s="24">
        <v>11073.892548077625</v>
      </c>
      <c r="Z21" s="24">
        <v>2414.0834999025005</v>
      </c>
      <c r="AA21" s="24">
        <v>3551.3049920834369</v>
      </c>
      <c r="AB21" s="24">
        <v>1544.6347355993598</v>
      </c>
      <c r="AC21" s="24">
        <v>75.282298797720401</v>
      </c>
      <c r="AD21" s="24">
        <v>0.68670355735474164</v>
      </c>
      <c r="AE21" s="24">
        <v>14.528276001951328</v>
      </c>
      <c r="AF21" s="24">
        <v>58182.02035671132</v>
      </c>
      <c r="AG21" s="24">
        <v>620.25653616875979</v>
      </c>
      <c r="AH21" s="24">
        <v>6314.06273325643</v>
      </c>
      <c r="AI21" s="24">
        <v>2410.4794412630954</v>
      </c>
      <c r="AJ21" s="24">
        <v>0.76645230759211125</v>
      </c>
      <c r="AK21" s="24">
        <v>15747.822135501568</v>
      </c>
      <c r="AL21" s="24">
        <v>0</v>
      </c>
      <c r="AM21" s="24">
        <v>0</v>
      </c>
      <c r="AN21" s="24">
        <v>0</v>
      </c>
      <c r="AO21" s="24">
        <v>0</v>
      </c>
      <c r="AP21" s="24">
        <v>1.8199853901378394E-2</v>
      </c>
      <c r="AQ21" s="24">
        <v>0.22044672233541709</v>
      </c>
      <c r="AR21" s="24">
        <v>0.22044672233541709</v>
      </c>
      <c r="AS21" s="24">
        <v>580.49647107372539</v>
      </c>
      <c r="AT21" s="24">
        <v>6.8439818367900553</v>
      </c>
      <c r="AU21" s="24">
        <v>4.4562508463291302</v>
      </c>
      <c r="AV21" s="24">
        <v>26.132423337574139</v>
      </c>
      <c r="AW21" s="24">
        <v>7.8714595037663621E-2</v>
      </c>
      <c r="AX21" s="24">
        <v>11.170445392327462</v>
      </c>
      <c r="AY21" s="24">
        <v>12.630566237004881</v>
      </c>
      <c r="AZ21" s="24">
        <v>0.16049386582097425</v>
      </c>
      <c r="BA21" s="24">
        <v>791.76615332229107</v>
      </c>
      <c r="BB21" s="24">
        <v>144.63115962060911</v>
      </c>
      <c r="BC21" s="24">
        <v>28353.943015275927</v>
      </c>
      <c r="BD21" s="24">
        <v>8.455847070309741E-2</v>
      </c>
      <c r="BE21" s="24">
        <v>320.40403707400236</v>
      </c>
      <c r="BF21" s="24">
        <v>5367.2873310430723</v>
      </c>
      <c r="BG21" s="24">
        <v>313708.75789315748</v>
      </c>
      <c r="BH21" s="24">
        <v>495104.13405250985</v>
      </c>
      <c r="BI21" s="24">
        <v>4488845.6227525733</v>
      </c>
      <c r="BJ21" s="24">
        <v>45.285997459270718</v>
      </c>
      <c r="BK21" s="24">
        <v>1.7142077869527809E-2</v>
      </c>
      <c r="BL21" s="24">
        <v>0.17374196671682729</v>
      </c>
      <c r="BM21" s="24">
        <v>51626.200795442543</v>
      </c>
      <c r="BN21" s="24">
        <v>59970.78903877845</v>
      </c>
      <c r="BO21" s="24">
        <v>10827.171128356686</v>
      </c>
      <c r="BP21" s="24">
        <v>4657.217291162423</v>
      </c>
      <c r="BQ21" s="24">
        <v>0</v>
      </c>
      <c r="BR21" s="25">
        <v>6016582.8539984338</v>
      </c>
      <c r="BS21" s="26">
        <v>39893913.35933876</v>
      </c>
      <c r="BT21" s="26">
        <v>0</v>
      </c>
      <c r="BU21" s="26">
        <v>0</v>
      </c>
      <c r="BV21" s="26">
        <v>0</v>
      </c>
      <c r="BW21" s="26">
        <v>0</v>
      </c>
      <c r="BX21" s="27">
        <v>39893913.35933876</v>
      </c>
      <c r="BY21" s="26">
        <v>28847.911315713529</v>
      </c>
      <c r="BZ21" s="26">
        <v>200246.82954953882</v>
      </c>
      <c r="CA21" s="27">
        <v>229094.74086525233</v>
      </c>
      <c r="CB21" s="26">
        <v>1824609.1124750278</v>
      </c>
      <c r="CC21" s="26">
        <v>0</v>
      </c>
      <c r="CD21" s="26">
        <v>0</v>
      </c>
      <c r="CE21" s="27">
        <v>1824609.1124750278</v>
      </c>
      <c r="CF21" s="25">
        <v>41947617.212679043</v>
      </c>
      <c r="CG21" s="26">
        <v>14820871.660335271</v>
      </c>
      <c r="CH21" s="25">
        <v>33143328.406342208</v>
      </c>
      <c r="CI21" s="39" t="s">
        <v>120</v>
      </c>
      <c r="CJ21" s="22">
        <v>21</v>
      </c>
      <c r="CK21" s="2"/>
      <c r="CL21" s="2"/>
      <c r="CM21" s="30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</row>
    <row r="22" spans="1:171" ht="32" customHeight="1" x14ac:dyDescent="0.2">
      <c r="A22" s="35">
        <v>22</v>
      </c>
      <c r="B22" s="36" t="s">
        <v>41</v>
      </c>
      <c r="C22" s="24">
        <v>45873.970004406598</v>
      </c>
      <c r="D22" s="24">
        <v>8796.8009736862969</v>
      </c>
      <c r="E22" s="24">
        <v>5819.4599095972899</v>
      </c>
      <c r="F22" s="24">
        <v>353405.70422574383</v>
      </c>
      <c r="G22" s="452">
        <v>340907.69416588405</v>
      </c>
      <c r="H22" s="24">
        <v>448221.48154609202</v>
      </c>
      <c r="I22" s="24">
        <v>487001.22310794785</v>
      </c>
      <c r="J22" s="24">
        <v>52128.192902709714</v>
      </c>
      <c r="K22" s="24">
        <v>25508.367090198306</v>
      </c>
      <c r="L22" s="24">
        <v>17538.109250132682</v>
      </c>
      <c r="M22" s="24">
        <v>2001.5461184735432</v>
      </c>
      <c r="N22" s="24">
        <v>39583.902500607575</v>
      </c>
      <c r="O22" s="24">
        <v>3618.8747372829666</v>
      </c>
      <c r="P22" s="64">
        <v>97530.305953300194</v>
      </c>
      <c r="Q22" s="24">
        <v>303814.60121252667</v>
      </c>
      <c r="R22" s="24">
        <v>494749.78460235684</v>
      </c>
      <c r="S22" s="24">
        <v>67356.320463444092</v>
      </c>
      <c r="T22" s="24">
        <v>740589.61562214256</v>
      </c>
      <c r="U22" s="24">
        <v>66082.518778389654</v>
      </c>
      <c r="V22" s="24">
        <v>25967.4623919681</v>
      </c>
      <c r="W22" s="24">
        <v>24553.709187944889</v>
      </c>
      <c r="X22" s="24">
        <v>94220.33869720668</v>
      </c>
      <c r="Y22" s="24">
        <v>12739.405906671776</v>
      </c>
      <c r="Z22" s="24">
        <v>21899.381279530386</v>
      </c>
      <c r="AA22" s="24">
        <v>1324.8182211251499</v>
      </c>
      <c r="AB22" s="24">
        <v>8876.2126185957077</v>
      </c>
      <c r="AC22" s="24">
        <v>952.46897517164518</v>
      </c>
      <c r="AD22" s="24">
        <v>25.967645720536055</v>
      </c>
      <c r="AE22" s="24">
        <v>1368.3789826703594</v>
      </c>
      <c r="AF22" s="24">
        <v>14877.23697947566</v>
      </c>
      <c r="AG22" s="24">
        <v>1681911.3136787144</v>
      </c>
      <c r="AH22" s="24">
        <v>2233992.1004669317</v>
      </c>
      <c r="AI22" s="24">
        <v>64321.200864567341</v>
      </c>
      <c r="AJ22" s="24">
        <v>789.26268232400298</v>
      </c>
      <c r="AK22" s="24">
        <v>186569.79997045119</v>
      </c>
      <c r="AL22" s="24">
        <v>0</v>
      </c>
      <c r="AM22" s="24">
        <v>0</v>
      </c>
      <c r="AN22" s="24">
        <v>3.2978571985858656</v>
      </c>
      <c r="AO22" s="24">
        <v>0.11358996820206357</v>
      </c>
      <c r="AP22" s="24">
        <v>61.505079163284492</v>
      </c>
      <c r="AQ22" s="24">
        <v>557.63831238764215</v>
      </c>
      <c r="AR22" s="24">
        <v>557.63831238764215</v>
      </c>
      <c r="AS22" s="24">
        <v>54989.02467779479</v>
      </c>
      <c r="AT22" s="24">
        <v>2125.9892142564186</v>
      </c>
      <c r="AU22" s="24">
        <v>2011.9862540855606</v>
      </c>
      <c r="AV22" s="24">
        <v>3474.6365002145894</v>
      </c>
      <c r="AW22" s="24">
        <v>74.500729793284791</v>
      </c>
      <c r="AX22" s="24">
        <v>1827.733709904554</v>
      </c>
      <c r="AY22" s="24">
        <v>10411.71178844956</v>
      </c>
      <c r="AZ22" s="24">
        <v>133.04927252936855</v>
      </c>
      <c r="BA22" s="24">
        <v>7245.713801005063</v>
      </c>
      <c r="BB22" s="24">
        <v>138.47881124632477</v>
      </c>
      <c r="BC22" s="24">
        <v>14844.202645853155</v>
      </c>
      <c r="BD22" s="24">
        <v>213.17759965992929</v>
      </c>
      <c r="BE22" s="24">
        <v>197.94476418633201</v>
      </c>
      <c r="BF22" s="24">
        <v>35469.202124875621</v>
      </c>
      <c r="BG22" s="24">
        <v>6797.1389307917489</v>
      </c>
      <c r="BH22" s="24">
        <v>4687.4835803303913</v>
      </c>
      <c r="BI22" s="24">
        <v>176222.91226317253</v>
      </c>
      <c r="BJ22" s="24">
        <v>455.8280558135545</v>
      </c>
      <c r="BK22" s="24">
        <v>6.3194039250533152</v>
      </c>
      <c r="BL22" s="24">
        <v>2.6142303868495991</v>
      </c>
      <c r="BM22" s="24">
        <v>2277.9536588257188</v>
      </c>
      <c r="BN22" s="24">
        <v>26017.840244342813</v>
      </c>
      <c r="BO22" s="24">
        <v>4934.6759441446775</v>
      </c>
      <c r="BP22" s="24">
        <v>34312.4235088555</v>
      </c>
      <c r="BQ22" s="24">
        <v>0</v>
      </c>
      <c r="BR22" s="25">
        <v>8364970.2665795423</v>
      </c>
      <c r="BS22" s="26">
        <v>13825814.29703954</v>
      </c>
      <c r="BT22" s="26">
        <v>10895.039394272459</v>
      </c>
      <c r="BU22" s="26">
        <v>5761.960100772103</v>
      </c>
      <c r="BV22" s="26">
        <v>0</v>
      </c>
      <c r="BW22" s="26">
        <v>0</v>
      </c>
      <c r="BX22" s="27">
        <v>13830947.376333041</v>
      </c>
      <c r="BY22" s="26">
        <v>197992.1882136137</v>
      </c>
      <c r="BZ22" s="26">
        <v>-272955.45757598325</v>
      </c>
      <c r="CA22" s="27">
        <v>-74963.269362369552</v>
      </c>
      <c r="CB22" s="26">
        <v>3027097.6846628408</v>
      </c>
      <c r="CC22" s="26">
        <v>0</v>
      </c>
      <c r="CD22" s="26">
        <v>13894.64902103918</v>
      </c>
      <c r="CE22" s="27">
        <v>3040992.33368388</v>
      </c>
      <c r="CF22" s="25">
        <v>16796976.440654553</v>
      </c>
      <c r="CG22" s="26">
        <v>7496325.2108471496</v>
      </c>
      <c r="CH22" s="25">
        <v>17665621.496386945</v>
      </c>
      <c r="CI22" s="39" t="s">
        <v>121</v>
      </c>
      <c r="CJ22" s="35">
        <v>22</v>
      </c>
      <c r="CM22" s="30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</row>
    <row r="23" spans="1:171" ht="32" customHeight="1" x14ac:dyDescent="0.2">
      <c r="A23" s="35">
        <v>23</v>
      </c>
      <c r="B23" s="36" t="s">
        <v>42</v>
      </c>
      <c r="C23" s="24">
        <v>101903.56109882535</v>
      </c>
      <c r="D23" s="24">
        <v>43927.619878822014</v>
      </c>
      <c r="E23" s="24">
        <v>14219.001649726533</v>
      </c>
      <c r="F23" s="24">
        <v>32886.608906259768</v>
      </c>
      <c r="G23" s="452">
        <v>167789.7769416213</v>
      </c>
      <c r="H23" s="24">
        <v>54996.226055592968</v>
      </c>
      <c r="I23" s="24">
        <v>5808.442763657964</v>
      </c>
      <c r="J23" s="24">
        <v>40842.915357597238</v>
      </c>
      <c r="K23" s="24">
        <v>6571.1336006189267</v>
      </c>
      <c r="L23" s="24">
        <v>2918.3961935062525</v>
      </c>
      <c r="M23" s="24">
        <v>3214.0271194117522</v>
      </c>
      <c r="N23" s="24">
        <v>38377.385307891571</v>
      </c>
      <c r="O23" s="24">
        <v>8591.8681299308173</v>
      </c>
      <c r="P23" s="64">
        <v>580539.005593815</v>
      </c>
      <c r="Q23" s="24">
        <v>181660.98782626278</v>
      </c>
      <c r="R23" s="24">
        <v>157114.18590646109</v>
      </c>
      <c r="S23" s="24">
        <v>99528.155244669208</v>
      </c>
      <c r="T23" s="24">
        <v>3261524.2936842963</v>
      </c>
      <c r="U23" s="24">
        <v>568904.37166544388</v>
      </c>
      <c r="V23" s="24">
        <v>27319.302950003068</v>
      </c>
      <c r="W23" s="24">
        <v>42200.81087658216</v>
      </c>
      <c r="X23" s="24">
        <v>169293.15097056178</v>
      </c>
      <c r="Y23" s="24">
        <v>38233.220458190335</v>
      </c>
      <c r="Z23" s="24">
        <v>143042.34565131579</v>
      </c>
      <c r="AA23" s="24">
        <v>7156.0552488011308</v>
      </c>
      <c r="AB23" s="24">
        <v>18310.84510042096</v>
      </c>
      <c r="AC23" s="24">
        <v>3087.8193179247651</v>
      </c>
      <c r="AD23" s="24">
        <v>127.33152485654028</v>
      </c>
      <c r="AE23" s="24">
        <v>196.98984806319035</v>
      </c>
      <c r="AF23" s="24">
        <v>5864.4605926432605</v>
      </c>
      <c r="AG23" s="24">
        <v>12838034.046505697</v>
      </c>
      <c r="AH23" s="24">
        <v>173752.58875572259</v>
      </c>
      <c r="AI23" s="24">
        <v>29196.96682874555</v>
      </c>
      <c r="AJ23" s="24">
        <v>129.24182878808963</v>
      </c>
      <c r="AK23" s="24">
        <v>242826.25634786597</v>
      </c>
      <c r="AL23" s="24">
        <v>0</v>
      </c>
      <c r="AM23" s="24">
        <v>0</v>
      </c>
      <c r="AN23" s="24">
        <v>5.2782839469688474</v>
      </c>
      <c r="AO23" s="24">
        <v>0.18180293129573585</v>
      </c>
      <c r="AP23" s="24">
        <v>25.299407413295729</v>
      </c>
      <c r="AQ23" s="24">
        <v>6.5906732394812018</v>
      </c>
      <c r="AR23" s="24">
        <v>6.5906732394812018</v>
      </c>
      <c r="AS23" s="24">
        <v>6313948.976412002</v>
      </c>
      <c r="AT23" s="24">
        <v>26816.18586382021</v>
      </c>
      <c r="AU23" s="24">
        <v>16356.031539446722</v>
      </c>
      <c r="AV23" s="24">
        <v>110573.24929304809</v>
      </c>
      <c r="AW23" s="24">
        <v>220.31053852038136</v>
      </c>
      <c r="AX23" s="24">
        <v>46662.670579913283</v>
      </c>
      <c r="AY23" s="24">
        <v>38034.405152878026</v>
      </c>
      <c r="AZ23" s="24">
        <v>482.03840827047725</v>
      </c>
      <c r="BA23" s="24">
        <v>8311.9435604909268</v>
      </c>
      <c r="BB23" s="24">
        <v>1505.1347712025333</v>
      </c>
      <c r="BC23" s="24">
        <v>294965.09591721796</v>
      </c>
      <c r="BD23" s="24">
        <v>2.7371734648908617</v>
      </c>
      <c r="BE23" s="24">
        <v>3334.1673670755872</v>
      </c>
      <c r="BF23" s="24">
        <v>55700.290025915943</v>
      </c>
      <c r="BG23" s="24">
        <v>435310.37870170211</v>
      </c>
      <c r="BH23" s="24">
        <v>249896.39152049692</v>
      </c>
      <c r="BI23" s="24">
        <v>2025171.7654766801</v>
      </c>
      <c r="BJ23" s="24">
        <v>89.453041365593123</v>
      </c>
      <c r="BK23" s="24">
        <v>0.90167811837051492</v>
      </c>
      <c r="BL23" s="24">
        <v>9.6419039099467714</v>
      </c>
      <c r="BM23" s="24">
        <v>34277.374182452069</v>
      </c>
      <c r="BN23" s="24">
        <v>193427.8245209092</v>
      </c>
      <c r="BO23" s="24">
        <v>26599.927712671346</v>
      </c>
      <c r="BP23" s="24">
        <v>64758.565711546165</v>
      </c>
      <c r="BQ23" s="24">
        <v>0</v>
      </c>
      <c r="BR23" s="25">
        <v>29056588.79762448</v>
      </c>
      <c r="BS23" s="26">
        <v>31781847.823027659</v>
      </c>
      <c r="BT23" s="26">
        <v>0</v>
      </c>
      <c r="BU23" s="26">
        <v>0</v>
      </c>
      <c r="BV23" s="26">
        <v>0</v>
      </c>
      <c r="BW23" s="26">
        <v>0</v>
      </c>
      <c r="BX23" s="27">
        <v>31781847.823027659</v>
      </c>
      <c r="BY23" s="26">
        <v>519701.71860492317</v>
      </c>
      <c r="BZ23" s="26">
        <v>935210.7266843227</v>
      </c>
      <c r="CA23" s="27">
        <v>1454912.4452892458</v>
      </c>
      <c r="CB23" s="26">
        <v>5714889.4281636719</v>
      </c>
      <c r="CC23" s="26">
        <v>0</v>
      </c>
      <c r="CD23" s="26">
        <v>0</v>
      </c>
      <c r="CE23" s="27">
        <v>5714889.4281636719</v>
      </c>
      <c r="CF23" s="25">
        <v>38951649.69648058</v>
      </c>
      <c r="CG23" s="26">
        <v>3388705.1783000622</v>
      </c>
      <c r="CH23" s="25">
        <v>64619533.315804996</v>
      </c>
      <c r="CI23" s="39" t="s">
        <v>122</v>
      </c>
      <c r="CJ23" s="35">
        <v>23</v>
      </c>
      <c r="CM23" s="30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</row>
    <row r="24" spans="1:171" s="41" customFormat="1" x14ac:dyDescent="0.2">
      <c r="A24" s="22">
        <v>24</v>
      </c>
      <c r="B24" s="40" t="s">
        <v>43</v>
      </c>
      <c r="C24" s="24">
        <v>2162632.7527924883</v>
      </c>
      <c r="D24" s="24">
        <v>493110.69711431849</v>
      </c>
      <c r="E24" s="24">
        <v>1680832.4335556435</v>
      </c>
      <c r="F24" s="24">
        <v>693759.70177523757</v>
      </c>
      <c r="G24" s="452">
        <v>1883522.6398553895</v>
      </c>
      <c r="H24" s="24">
        <v>279928.27380170696</v>
      </c>
      <c r="I24" s="24">
        <v>435012.55031326594</v>
      </c>
      <c r="J24" s="24">
        <v>101142.49128177974</v>
      </c>
      <c r="K24" s="24">
        <v>70828.13997174862</v>
      </c>
      <c r="L24" s="24">
        <v>37095.588072386461</v>
      </c>
      <c r="M24" s="24">
        <v>27892.638784237457</v>
      </c>
      <c r="N24" s="24">
        <v>596392.7084840188</v>
      </c>
      <c r="O24" s="24">
        <v>150341.24101558403</v>
      </c>
      <c r="P24" s="64">
        <v>3387452.1646843837</v>
      </c>
      <c r="Q24" s="24">
        <v>563298.04099446815</v>
      </c>
      <c r="R24" s="24">
        <v>818118.86227117851</v>
      </c>
      <c r="S24" s="24">
        <v>989559.13932201092</v>
      </c>
      <c r="T24" s="24">
        <v>2790867.0997145874</v>
      </c>
      <c r="U24" s="24">
        <v>49570926.1632668</v>
      </c>
      <c r="V24" s="24">
        <v>7333755.1266223341</v>
      </c>
      <c r="W24" s="24">
        <v>3614548.7393234703</v>
      </c>
      <c r="X24" s="24">
        <v>12160762.119826714</v>
      </c>
      <c r="Y24" s="24">
        <v>3555137.8132485603</v>
      </c>
      <c r="Z24" s="24">
        <v>11756516.708765419</v>
      </c>
      <c r="AA24" s="24">
        <v>195035.68948089913</v>
      </c>
      <c r="AB24" s="24">
        <v>417448.45641780709</v>
      </c>
      <c r="AC24" s="24">
        <v>523363.2696847443</v>
      </c>
      <c r="AD24" s="24">
        <v>2474.58445516552</v>
      </c>
      <c r="AE24" s="24">
        <v>3887.2123976810822</v>
      </c>
      <c r="AF24" s="24">
        <v>920272.67798986868</v>
      </c>
      <c r="AG24" s="24">
        <v>30032896.002687551</v>
      </c>
      <c r="AH24" s="24">
        <v>4723771.4628985021</v>
      </c>
      <c r="AI24" s="24">
        <v>7729834.6694285329</v>
      </c>
      <c r="AJ24" s="24">
        <v>38671.163796273409</v>
      </c>
      <c r="AK24" s="24">
        <v>635027.69414137257</v>
      </c>
      <c r="AL24" s="24">
        <v>0.51486348616753863</v>
      </c>
      <c r="AM24" s="24">
        <v>0.12150540509944285</v>
      </c>
      <c r="AN24" s="24">
        <v>2727.5843600712419</v>
      </c>
      <c r="AO24" s="24">
        <v>107.53354496883668</v>
      </c>
      <c r="AP24" s="24">
        <v>13694.647419173378</v>
      </c>
      <c r="AQ24" s="24">
        <v>1636.4166210925771</v>
      </c>
      <c r="AR24" s="24">
        <v>1636.4166210925771</v>
      </c>
      <c r="AS24" s="24">
        <v>871644.65477181342</v>
      </c>
      <c r="AT24" s="24">
        <v>571389.67180992267</v>
      </c>
      <c r="AU24" s="24">
        <v>348200.50780347403</v>
      </c>
      <c r="AV24" s="24">
        <v>2353268.4614525251</v>
      </c>
      <c r="AW24" s="24">
        <v>4693.1377647724748</v>
      </c>
      <c r="AX24" s="24">
        <v>993203.50435984461</v>
      </c>
      <c r="AY24" s="24">
        <v>808395.83864424459</v>
      </c>
      <c r="AZ24" s="24">
        <v>10247.628451294147</v>
      </c>
      <c r="BA24" s="24">
        <v>144846.40703247281</v>
      </c>
      <c r="BB24" s="24">
        <v>26238.170653217156</v>
      </c>
      <c r="BC24" s="24">
        <v>5115021.0985393059</v>
      </c>
      <c r="BD24" s="24">
        <v>135.75524549226284</v>
      </c>
      <c r="BE24" s="24">
        <v>57837.502323217566</v>
      </c>
      <c r="BF24" s="24">
        <v>951789.85344804125</v>
      </c>
      <c r="BG24" s="24">
        <v>612220.99148167856</v>
      </c>
      <c r="BH24" s="24">
        <v>354767.29416333145</v>
      </c>
      <c r="BI24" s="24">
        <v>883953.40390770347</v>
      </c>
      <c r="BJ24" s="24">
        <v>2910.4132481087631</v>
      </c>
      <c r="BK24" s="24">
        <v>32.107187209720728</v>
      </c>
      <c r="BL24" s="24">
        <v>335.83882191106972</v>
      </c>
      <c r="BM24" s="24">
        <v>67854.478095053128</v>
      </c>
      <c r="BN24" s="24">
        <v>554425.32134604186</v>
      </c>
      <c r="BO24" s="24">
        <v>72267.806174630663</v>
      </c>
      <c r="BP24" s="24">
        <v>315373.39859182847</v>
      </c>
      <c r="BQ24" s="24">
        <v>0</v>
      </c>
      <c r="BR24" s="25">
        <v>165516973.19848853</v>
      </c>
      <c r="BS24" s="26">
        <v>10667494.20782074</v>
      </c>
      <c r="BT24" s="26">
        <v>428182.68788349949</v>
      </c>
      <c r="BU24" s="26">
        <v>468960.75500910217</v>
      </c>
      <c r="BV24" s="26">
        <v>0</v>
      </c>
      <c r="BW24" s="26">
        <v>0</v>
      </c>
      <c r="BX24" s="27">
        <v>10626716.140695138</v>
      </c>
      <c r="BY24" s="26">
        <v>4454756.4199300092</v>
      </c>
      <c r="BZ24" s="26">
        <v>-254869.54638621281</v>
      </c>
      <c r="CA24" s="27">
        <v>4199886.8735437961</v>
      </c>
      <c r="CB24" s="26">
        <v>22657164.97368373</v>
      </c>
      <c r="CC24" s="26">
        <v>0</v>
      </c>
      <c r="CD24" s="26">
        <v>546069.44956564601</v>
      </c>
      <c r="CE24" s="27">
        <v>23203234.423249375</v>
      </c>
      <c r="CF24" s="25">
        <v>38029837.43748831</v>
      </c>
      <c r="CG24" s="26">
        <v>32988496.667753998</v>
      </c>
      <c r="CH24" s="25">
        <v>170558313.96822286</v>
      </c>
      <c r="CI24" s="39" t="s">
        <v>123</v>
      </c>
      <c r="CJ24" s="22">
        <v>24</v>
      </c>
      <c r="CK24" s="2"/>
      <c r="CL24" s="2"/>
      <c r="CM24" s="30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</row>
    <row r="25" spans="1:171" ht="32" customHeight="1" x14ac:dyDescent="0.2">
      <c r="A25" s="35">
        <v>25</v>
      </c>
      <c r="B25" s="36" t="s">
        <v>44</v>
      </c>
      <c r="C25" s="24">
        <v>288917.46923445794</v>
      </c>
      <c r="D25" s="24">
        <v>77301.203331878292</v>
      </c>
      <c r="E25" s="24">
        <v>117133.98185380423</v>
      </c>
      <c r="F25" s="24">
        <v>75219.313408675604</v>
      </c>
      <c r="G25" s="452">
        <v>301221.08804018027</v>
      </c>
      <c r="H25" s="24">
        <v>45474.942016475361</v>
      </c>
      <c r="I25" s="24">
        <v>37489.728750229093</v>
      </c>
      <c r="J25" s="24">
        <v>14959.000368951289</v>
      </c>
      <c r="K25" s="24">
        <v>11254.119818482368</v>
      </c>
      <c r="L25" s="24">
        <v>5441.8089996788694</v>
      </c>
      <c r="M25" s="24">
        <v>2885.5735727619708</v>
      </c>
      <c r="N25" s="24">
        <v>53427.717842231606</v>
      </c>
      <c r="O25" s="24">
        <v>19031.608908065122</v>
      </c>
      <c r="P25" s="64">
        <v>289852.18121305911</v>
      </c>
      <c r="Q25" s="24">
        <v>86160.705194991766</v>
      </c>
      <c r="R25" s="24">
        <v>114905.95832520259</v>
      </c>
      <c r="S25" s="24">
        <v>84010.426869746152</v>
      </c>
      <c r="T25" s="24">
        <v>345657.32626212284</v>
      </c>
      <c r="U25" s="24">
        <v>2961052.2944238274</v>
      </c>
      <c r="V25" s="24">
        <v>492176.85461331753</v>
      </c>
      <c r="W25" s="24">
        <v>224649.02624110141</v>
      </c>
      <c r="X25" s="24">
        <v>827731.76132665656</v>
      </c>
      <c r="Y25" s="24">
        <v>233924.12369116434</v>
      </c>
      <c r="Z25" s="24">
        <v>882606.27846030041</v>
      </c>
      <c r="AA25" s="24">
        <v>20886.162205039731</v>
      </c>
      <c r="AB25" s="24">
        <v>32450.993192727085</v>
      </c>
      <c r="AC25" s="24">
        <v>34800.304198628517</v>
      </c>
      <c r="AD25" s="24">
        <v>178.72829061283514</v>
      </c>
      <c r="AE25" s="24">
        <v>649.16561878315156</v>
      </c>
      <c r="AF25" s="24">
        <v>57494.859107387194</v>
      </c>
      <c r="AG25" s="24">
        <v>2215819.4659345555</v>
      </c>
      <c r="AH25" s="24">
        <v>409324.15611027164</v>
      </c>
      <c r="AI25" s="24">
        <v>1086745.9007407511</v>
      </c>
      <c r="AJ25" s="24">
        <v>217887.75448215698</v>
      </c>
      <c r="AK25" s="24">
        <v>88387.962243817441</v>
      </c>
      <c r="AL25" s="24">
        <v>0</v>
      </c>
      <c r="AM25" s="24">
        <v>0</v>
      </c>
      <c r="AN25" s="24">
        <v>21726.144222315666</v>
      </c>
      <c r="AO25" s="24">
        <v>748.3259227914773</v>
      </c>
      <c r="AP25" s="24">
        <v>102918.01682003244</v>
      </c>
      <c r="AQ25" s="24">
        <v>12377.074272706719</v>
      </c>
      <c r="AR25" s="24">
        <v>12377.074272706719</v>
      </c>
      <c r="AS25" s="24">
        <v>97171.845248468104</v>
      </c>
      <c r="AT25" s="24">
        <v>40624.489947456925</v>
      </c>
      <c r="AU25" s="24">
        <v>24805.2315310905</v>
      </c>
      <c r="AV25" s="24">
        <v>167376.83557075859</v>
      </c>
      <c r="AW25" s="24">
        <v>335.6418271724915</v>
      </c>
      <c r="AX25" s="24">
        <v>72386.918791552205</v>
      </c>
      <c r="AY25" s="24">
        <v>57665.492575713659</v>
      </c>
      <c r="AZ25" s="24">
        <v>731.2557907630304</v>
      </c>
      <c r="BA25" s="24">
        <v>11182.344445298768</v>
      </c>
      <c r="BB25" s="24">
        <v>1948.9373724923837</v>
      </c>
      <c r="BC25" s="24">
        <v>381350.30818816856</v>
      </c>
      <c r="BD25" s="24">
        <v>14.063425002016178</v>
      </c>
      <c r="BE25" s="24">
        <v>4316.7268939693513</v>
      </c>
      <c r="BF25" s="24">
        <v>71513.270600497854</v>
      </c>
      <c r="BG25" s="24">
        <v>64086.247520556382</v>
      </c>
      <c r="BH25" s="24">
        <v>119887.392619141</v>
      </c>
      <c r="BI25" s="24">
        <v>152629.65768634531</v>
      </c>
      <c r="BJ25" s="24">
        <v>246.3099875796951</v>
      </c>
      <c r="BK25" s="24">
        <v>2.2312421578531092</v>
      </c>
      <c r="BL25" s="24">
        <v>28.467976257046026</v>
      </c>
      <c r="BM25" s="24">
        <v>8049.0546924591554</v>
      </c>
      <c r="BN25" s="24">
        <v>98264.737444089231</v>
      </c>
      <c r="BO25" s="24">
        <v>13110.269908649254</v>
      </c>
      <c r="BP25" s="24">
        <v>23799.980248191627</v>
      </c>
      <c r="BQ25" s="24">
        <v>0</v>
      </c>
      <c r="BR25" s="25">
        <v>13318784.29193648</v>
      </c>
      <c r="BS25" s="26">
        <v>10702441.396797853</v>
      </c>
      <c r="BT25" s="26">
        <v>26824.894797321864</v>
      </c>
      <c r="BU25" s="26">
        <v>28396.213609365961</v>
      </c>
      <c r="BV25" s="26">
        <v>0</v>
      </c>
      <c r="BW25" s="26">
        <v>0</v>
      </c>
      <c r="BX25" s="27">
        <v>10700870.077985808</v>
      </c>
      <c r="BY25" s="26">
        <v>14654231.297968527</v>
      </c>
      <c r="BZ25" s="26">
        <v>-1325483.8071955778</v>
      </c>
      <c r="CA25" s="27">
        <v>13328747.49077295</v>
      </c>
      <c r="CB25" s="26">
        <v>2657781.6946325065</v>
      </c>
      <c r="CC25" s="26">
        <v>0</v>
      </c>
      <c r="CD25" s="26">
        <v>34210.293762776855</v>
      </c>
      <c r="CE25" s="27">
        <v>2691991.9883952835</v>
      </c>
      <c r="CF25" s="25">
        <v>26721609.557154041</v>
      </c>
      <c r="CG25" s="26">
        <v>10822884.100808194</v>
      </c>
      <c r="CH25" s="25">
        <v>29217509.748282321</v>
      </c>
      <c r="CI25" s="39" t="s">
        <v>124</v>
      </c>
      <c r="CJ25" s="35">
        <v>25</v>
      </c>
      <c r="CM25" s="30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</row>
    <row r="26" spans="1:171" s="41" customFormat="1" ht="32" customHeight="1" x14ac:dyDescent="0.2">
      <c r="A26" s="22">
        <v>26</v>
      </c>
      <c r="B26" s="40" t="s">
        <v>45</v>
      </c>
      <c r="C26" s="24">
        <v>13607.121319193257</v>
      </c>
      <c r="D26" s="24">
        <v>6198.0226197863367</v>
      </c>
      <c r="E26" s="24">
        <v>5735.6930541597394</v>
      </c>
      <c r="F26" s="24">
        <v>8008.4723859218411</v>
      </c>
      <c r="G26" s="452">
        <v>26834.545533021443</v>
      </c>
      <c r="H26" s="24">
        <v>3801.4758925881115</v>
      </c>
      <c r="I26" s="24">
        <v>3473.8586701760441</v>
      </c>
      <c r="J26" s="24">
        <v>1228.3371896221593</v>
      </c>
      <c r="K26" s="24">
        <v>977.07529646502428</v>
      </c>
      <c r="L26" s="24">
        <v>222.19105767758788</v>
      </c>
      <c r="M26" s="24">
        <v>64.543643363825979</v>
      </c>
      <c r="N26" s="24">
        <v>2599.5442117273433</v>
      </c>
      <c r="O26" s="24">
        <v>1175.6135429620012</v>
      </c>
      <c r="P26" s="64">
        <v>21276.712811784586</v>
      </c>
      <c r="Q26" s="24">
        <v>3740.4352570009155</v>
      </c>
      <c r="R26" s="24">
        <v>5282.2979085649986</v>
      </c>
      <c r="S26" s="24">
        <v>1816.4184047585625</v>
      </c>
      <c r="T26" s="24">
        <v>21228.667779800435</v>
      </c>
      <c r="U26" s="24">
        <v>8602.8105096260806</v>
      </c>
      <c r="V26" s="24">
        <v>2830.4534677081283</v>
      </c>
      <c r="W26" s="24">
        <v>173409.17599675703</v>
      </c>
      <c r="X26" s="24">
        <v>56101.275753654656</v>
      </c>
      <c r="Y26" s="24">
        <v>26183.474982801305</v>
      </c>
      <c r="Z26" s="24">
        <v>7219.4554539286328</v>
      </c>
      <c r="AA26" s="24">
        <v>768.15054413651706</v>
      </c>
      <c r="AB26" s="24">
        <v>944.865829281885</v>
      </c>
      <c r="AC26" s="24">
        <v>1095.5182044553135</v>
      </c>
      <c r="AD26" s="24">
        <v>7.6276269544940183</v>
      </c>
      <c r="AE26" s="24">
        <v>4712.4265812922531</v>
      </c>
      <c r="AF26" s="24">
        <v>2882.9934649153483</v>
      </c>
      <c r="AG26" s="24">
        <v>42705.501995795537</v>
      </c>
      <c r="AH26" s="24">
        <v>65092.679116725281</v>
      </c>
      <c r="AI26" s="24">
        <v>35058.597011564954</v>
      </c>
      <c r="AJ26" s="24">
        <v>5944.9167720210689</v>
      </c>
      <c r="AK26" s="24">
        <v>18081.603884799013</v>
      </c>
      <c r="AL26" s="24">
        <v>0</v>
      </c>
      <c r="AM26" s="24">
        <v>0</v>
      </c>
      <c r="AN26" s="24">
        <v>540.40606818607057</v>
      </c>
      <c r="AO26" s="24">
        <v>18.61351307988107</v>
      </c>
      <c r="AP26" s="24">
        <v>2560.0279527744592</v>
      </c>
      <c r="AQ26" s="24">
        <v>308.98539795009378</v>
      </c>
      <c r="AR26" s="24">
        <v>308.98539795009378</v>
      </c>
      <c r="AS26" s="24">
        <v>5750.2831964958596</v>
      </c>
      <c r="AT26" s="24">
        <v>17078.651238267717</v>
      </c>
      <c r="AU26" s="24">
        <v>10427.443978586341</v>
      </c>
      <c r="AV26" s="24">
        <v>70379.639546152233</v>
      </c>
      <c r="AW26" s="24">
        <v>141.01122108584838</v>
      </c>
      <c r="AX26" s="24">
        <v>29746.949408727782</v>
      </c>
      <c r="AY26" s="24">
        <v>24205.675714229041</v>
      </c>
      <c r="AZ26" s="24">
        <v>306.99843194202197</v>
      </c>
      <c r="BA26" s="24">
        <v>2242.7777063579679</v>
      </c>
      <c r="BB26" s="24">
        <v>366.55170818972397</v>
      </c>
      <c r="BC26" s="24">
        <v>72097.785537309173</v>
      </c>
      <c r="BD26" s="24">
        <v>5.9228491878193301</v>
      </c>
      <c r="BE26" s="24">
        <v>812.1407590798683</v>
      </c>
      <c r="BF26" s="24">
        <v>13395.392517016569</v>
      </c>
      <c r="BG26" s="24">
        <v>25959.232658528439</v>
      </c>
      <c r="BH26" s="24">
        <v>37173.561273972547</v>
      </c>
      <c r="BI26" s="24">
        <v>141555.74284486813</v>
      </c>
      <c r="BJ26" s="24">
        <v>851.76867680126838</v>
      </c>
      <c r="BK26" s="24">
        <v>6.557096877882727</v>
      </c>
      <c r="BL26" s="24">
        <v>94.223676086788572</v>
      </c>
      <c r="BM26" s="24">
        <v>24841.882493751807</v>
      </c>
      <c r="BN26" s="24">
        <v>1021421.0043563617</v>
      </c>
      <c r="BO26" s="24">
        <v>171237.23670924752</v>
      </c>
      <c r="BP26" s="24">
        <v>8087.3403995399103</v>
      </c>
      <c r="BQ26" s="24">
        <v>0</v>
      </c>
      <c r="BR26" s="25">
        <v>2260835.346103596</v>
      </c>
      <c r="BS26" s="26">
        <v>13958747.958424456</v>
      </c>
      <c r="BT26" s="26">
        <v>0</v>
      </c>
      <c r="BU26" s="26">
        <v>0</v>
      </c>
      <c r="BV26" s="26">
        <v>0</v>
      </c>
      <c r="BW26" s="26">
        <v>0</v>
      </c>
      <c r="BX26" s="27">
        <v>13958747.958424456</v>
      </c>
      <c r="BY26" s="26">
        <v>5287320.9111003671</v>
      </c>
      <c r="BZ26" s="26">
        <v>-777281.16739730083</v>
      </c>
      <c r="CA26" s="27">
        <v>4510039.7437030664</v>
      </c>
      <c r="CB26" s="26">
        <v>3097118.561712719</v>
      </c>
      <c r="CC26" s="26">
        <v>0</v>
      </c>
      <c r="CD26" s="26">
        <v>0</v>
      </c>
      <c r="CE26" s="27">
        <v>3097118.561712719</v>
      </c>
      <c r="CF26" s="25">
        <v>21565906.263840243</v>
      </c>
      <c r="CG26" s="26">
        <v>15674627.430628721</v>
      </c>
      <c r="CH26" s="25">
        <v>8152114.17931512</v>
      </c>
      <c r="CI26" s="39" t="s">
        <v>125</v>
      </c>
      <c r="CJ26" s="22">
        <v>26</v>
      </c>
      <c r="CK26" s="2"/>
      <c r="CL26" s="2"/>
      <c r="CM26" s="30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</row>
    <row r="27" spans="1:171" ht="32" customHeight="1" x14ac:dyDescent="0.2">
      <c r="A27" s="35">
        <v>27</v>
      </c>
      <c r="B27" s="36" t="s">
        <v>46</v>
      </c>
      <c r="C27" s="24">
        <v>1560363.3546129456</v>
      </c>
      <c r="D27" s="24">
        <v>38998.417329352153</v>
      </c>
      <c r="E27" s="24">
        <v>21851.761590736016</v>
      </c>
      <c r="F27" s="24">
        <v>69176.657635913711</v>
      </c>
      <c r="G27" s="452">
        <v>166840.27368729602</v>
      </c>
      <c r="H27" s="24">
        <v>14775.434409187972</v>
      </c>
      <c r="I27" s="24">
        <v>7109.5338786556795</v>
      </c>
      <c r="J27" s="24">
        <v>4615.3076431381323</v>
      </c>
      <c r="K27" s="24">
        <v>4735.557030507669</v>
      </c>
      <c r="L27" s="24">
        <v>726.25238873886167</v>
      </c>
      <c r="M27" s="24">
        <v>364.74212050091404</v>
      </c>
      <c r="N27" s="24">
        <v>15050.35900995355</v>
      </c>
      <c r="O27" s="24">
        <v>6391.6830214097863</v>
      </c>
      <c r="P27" s="64">
        <v>51464.084153610253</v>
      </c>
      <c r="Q27" s="24">
        <v>14168.860731524917</v>
      </c>
      <c r="R27" s="24">
        <v>22959.260179346249</v>
      </c>
      <c r="S27" s="24">
        <v>7455.0885911524874</v>
      </c>
      <c r="T27" s="24">
        <v>126550.8973987888</v>
      </c>
      <c r="U27" s="24">
        <v>176848.24562805757</v>
      </c>
      <c r="V27" s="24">
        <v>31684.01710564888</v>
      </c>
      <c r="W27" s="24">
        <v>86084.275986222347</v>
      </c>
      <c r="X27" s="24">
        <v>742828.12376103573</v>
      </c>
      <c r="Y27" s="24">
        <v>52506.393409311269</v>
      </c>
      <c r="Z27" s="24">
        <v>81641.692190709073</v>
      </c>
      <c r="AA27" s="24">
        <v>6683.9378749749922</v>
      </c>
      <c r="AB27" s="24">
        <v>6995.1491397023829</v>
      </c>
      <c r="AC27" s="24">
        <v>2489.4844110228337</v>
      </c>
      <c r="AD27" s="24">
        <v>24.994188258353109</v>
      </c>
      <c r="AE27" s="24">
        <v>2677.5438437466973</v>
      </c>
      <c r="AF27" s="24">
        <v>25272.388622643375</v>
      </c>
      <c r="AG27" s="24">
        <v>328434.35506439279</v>
      </c>
      <c r="AH27" s="24">
        <v>125503.06622789387</v>
      </c>
      <c r="AI27" s="24">
        <v>454867.22466502595</v>
      </c>
      <c r="AJ27" s="24">
        <v>2965.5924556941336</v>
      </c>
      <c r="AK27" s="24">
        <v>25993.543356242226</v>
      </c>
      <c r="AL27" s="24">
        <v>0</v>
      </c>
      <c r="AM27" s="24">
        <v>0</v>
      </c>
      <c r="AN27" s="24">
        <v>230.9609414769846</v>
      </c>
      <c r="AO27" s="24">
        <v>7.9551188600703986</v>
      </c>
      <c r="AP27" s="24">
        <v>1094.3164818748976</v>
      </c>
      <c r="AQ27" s="24">
        <v>134.49408221496256</v>
      </c>
      <c r="AR27" s="24">
        <v>134.49408221496256</v>
      </c>
      <c r="AS27" s="24">
        <v>54981.666691975443</v>
      </c>
      <c r="AT27" s="24">
        <v>15713.665955984638</v>
      </c>
      <c r="AU27" s="24">
        <v>9677.4378488868606</v>
      </c>
      <c r="AV27" s="24">
        <v>64389.011307240711</v>
      </c>
      <c r="AW27" s="24">
        <v>135.37388229004836</v>
      </c>
      <c r="AX27" s="24">
        <v>27220.686649703497</v>
      </c>
      <c r="AY27" s="24">
        <v>22257.797548585258</v>
      </c>
      <c r="AZ27" s="24">
        <v>283.83146466778737</v>
      </c>
      <c r="BA27" s="24">
        <v>5661.8348836958758</v>
      </c>
      <c r="BB27" s="24">
        <v>753.6629439726355</v>
      </c>
      <c r="BC27" s="24">
        <v>145939.02197614213</v>
      </c>
      <c r="BD27" s="24">
        <v>37.218697952947046</v>
      </c>
      <c r="BE27" s="24">
        <v>1671.03798332361</v>
      </c>
      <c r="BF27" s="24">
        <v>27330.212714652567</v>
      </c>
      <c r="BG27" s="24">
        <v>160115.73520305319</v>
      </c>
      <c r="BH27" s="24">
        <v>30061.412597095121</v>
      </c>
      <c r="BI27" s="24">
        <v>137823.69139435948</v>
      </c>
      <c r="BJ27" s="24">
        <v>319.9247724092499</v>
      </c>
      <c r="BK27" s="24">
        <v>4.5456351125544483</v>
      </c>
      <c r="BL27" s="24">
        <v>42.834527630352568</v>
      </c>
      <c r="BM27" s="24">
        <v>12841.093362909996</v>
      </c>
      <c r="BN27" s="24">
        <v>198690.01218771032</v>
      </c>
      <c r="BO27" s="24">
        <v>32214.921487374173</v>
      </c>
      <c r="BP27" s="24">
        <v>20926.919233120843</v>
      </c>
      <c r="BQ27" s="24">
        <v>0</v>
      </c>
      <c r="BR27" s="25">
        <v>5257793.3249998316</v>
      </c>
      <c r="BS27" s="26">
        <v>25785891.567434914</v>
      </c>
      <c r="BT27" s="26">
        <v>16885.881382114316</v>
      </c>
      <c r="BU27" s="26">
        <v>8564.5167493345198</v>
      </c>
      <c r="BV27" s="26">
        <v>0</v>
      </c>
      <c r="BW27" s="26">
        <v>0</v>
      </c>
      <c r="BX27" s="27">
        <v>25794212.932067696</v>
      </c>
      <c r="BY27" s="26">
        <v>25060772.839107256</v>
      </c>
      <c r="BZ27" s="26">
        <v>-3387874.7032668823</v>
      </c>
      <c r="CA27" s="27">
        <v>21672898.135840375</v>
      </c>
      <c r="CB27" s="26">
        <v>6838868.9888068242</v>
      </c>
      <c r="CC27" s="26">
        <v>0</v>
      </c>
      <c r="CD27" s="26">
        <v>21534.882686034191</v>
      </c>
      <c r="CE27" s="27">
        <v>6860403.871492858</v>
      </c>
      <c r="CF27" s="25">
        <v>54327514.939400926</v>
      </c>
      <c r="CG27" s="26">
        <v>28975974.194414034</v>
      </c>
      <c r="CH27" s="25">
        <v>30609334.069986723</v>
      </c>
      <c r="CI27" s="39" t="s">
        <v>126</v>
      </c>
      <c r="CJ27" s="35">
        <v>27</v>
      </c>
      <c r="CM27" s="30"/>
    </row>
    <row r="28" spans="1:171" ht="32" customHeight="1" x14ac:dyDescent="0.2">
      <c r="A28" s="35">
        <v>28</v>
      </c>
      <c r="B28" s="36" t="s">
        <v>47</v>
      </c>
      <c r="C28" s="24">
        <v>278287.38690765435</v>
      </c>
      <c r="D28" s="24">
        <v>54328.017558288935</v>
      </c>
      <c r="E28" s="24">
        <v>40212.255244912689</v>
      </c>
      <c r="F28" s="24">
        <v>516419.20215308567</v>
      </c>
      <c r="G28" s="452">
        <v>442641.48473427887</v>
      </c>
      <c r="H28" s="24">
        <v>34144.984106948184</v>
      </c>
      <c r="I28" s="24">
        <v>26944.39244218812</v>
      </c>
      <c r="J28" s="24">
        <v>16214.624524868013</v>
      </c>
      <c r="K28" s="24">
        <v>8506.7238265967317</v>
      </c>
      <c r="L28" s="24">
        <v>1074.9284538504521</v>
      </c>
      <c r="M28" s="24">
        <v>640.21487409150336</v>
      </c>
      <c r="N28" s="24">
        <v>21744.857674933766</v>
      </c>
      <c r="O28" s="24">
        <v>8458.6562616235497</v>
      </c>
      <c r="P28" s="64">
        <v>37788.356113835944</v>
      </c>
      <c r="Q28" s="24">
        <v>28904.469763095265</v>
      </c>
      <c r="R28" s="24">
        <v>47458.301786402968</v>
      </c>
      <c r="S28" s="24">
        <v>7209.1542584253384</v>
      </c>
      <c r="T28" s="24">
        <v>280584.90606418054</v>
      </c>
      <c r="U28" s="24">
        <v>53043.961486111795</v>
      </c>
      <c r="V28" s="24">
        <v>16442.568177415444</v>
      </c>
      <c r="W28" s="24">
        <v>9505.0168624479647</v>
      </c>
      <c r="X28" s="24">
        <v>25508.035017105958</v>
      </c>
      <c r="Y28" s="24">
        <v>18776.262259356095</v>
      </c>
      <c r="Z28" s="24">
        <v>25231.403519852029</v>
      </c>
      <c r="AA28" s="24">
        <v>6023.3382847398507</v>
      </c>
      <c r="AB28" s="24">
        <v>5378.7969112040228</v>
      </c>
      <c r="AC28" s="24">
        <v>403.09722354589991</v>
      </c>
      <c r="AD28" s="24">
        <v>93.926276203463289</v>
      </c>
      <c r="AE28" s="24">
        <v>25377.747027070949</v>
      </c>
      <c r="AF28" s="24">
        <v>140643.37280293307</v>
      </c>
      <c r="AG28" s="24">
        <v>2531134.8918764074</v>
      </c>
      <c r="AH28" s="24">
        <v>420151.02460562624</v>
      </c>
      <c r="AI28" s="24">
        <v>836475.23914902052</v>
      </c>
      <c r="AJ28" s="24">
        <v>12922.264006894218</v>
      </c>
      <c r="AK28" s="24">
        <v>179954.63808647566</v>
      </c>
      <c r="AL28" s="24">
        <v>7.7675963699480849E-2</v>
      </c>
      <c r="AM28" s="24">
        <v>1.8331168726002565E-2</v>
      </c>
      <c r="AN28" s="24">
        <v>819.82128823861649</v>
      </c>
      <c r="AO28" s="24">
        <v>30.287221692503238</v>
      </c>
      <c r="AP28" s="24">
        <v>4000.6080011334097</v>
      </c>
      <c r="AQ28" s="24">
        <v>483.21813656613239</v>
      </c>
      <c r="AR28" s="24">
        <v>483.21813656613239</v>
      </c>
      <c r="AS28" s="24">
        <v>398181.06096060335</v>
      </c>
      <c r="AT28" s="24">
        <v>2523.907213626891</v>
      </c>
      <c r="AU28" s="24">
        <v>2696.1088166655213</v>
      </c>
      <c r="AV28" s="24">
        <v>4752.6495945947572</v>
      </c>
      <c r="AW28" s="24">
        <v>101.66114164563952</v>
      </c>
      <c r="AX28" s="24">
        <v>2441.5075844339085</v>
      </c>
      <c r="AY28" s="24">
        <v>2937.805550127498</v>
      </c>
      <c r="AZ28" s="24">
        <v>59.986651522363985</v>
      </c>
      <c r="BA28" s="24">
        <v>20518.9821971192</v>
      </c>
      <c r="BB28" s="24">
        <v>246.99043904572804</v>
      </c>
      <c r="BC28" s="24">
        <v>18480.700602763667</v>
      </c>
      <c r="BD28" s="24">
        <v>471.44581143360949</v>
      </c>
      <c r="BE28" s="24">
        <v>524.23644824047642</v>
      </c>
      <c r="BF28" s="24">
        <v>4382.58198474853</v>
      </c>
      <c r="BG28" s="24">
        <v>393876.87617971294</v>
      </c>
      <c r="BH28" s="24">
        <v>84188.995778458659</v>
      </c>
      <c r="BI28" s="24">
        <v>741027.00737970357</v>
      </c>
      <c r="BJ28" s="24">
        <v>251.93843321497641</v>
      </c>
      <c r="BK28" s="24">
        <v>25.883712154552764</v>
      </c>
      <c r="BL28" s="24">
        <v>148.04240876803789</v>
      </c>
      <c r="BM28" s="24">
        <v>54577.778941960445</v>
      </c>
      <c r="BN28" s="24">
        <v>94727.533070592253</v>
      </c>
      <c r="BO28" s="24">
        <v>18849.571183682769</v>
      </c>
      <c r="BP28" s="24">
        <v>18528.529329198871</v>
      </c>
      <c r="BQ28" s="24">
        <v>0</v>
      </c>
      <c r="BR28" s="25">
        <v>8028967.5305270161</v>
      </c>
      <c r="BS28" s="26">
        <v>3857762.3838117644</v>
      </c>
      <c r="BT28" s="26">
        <v>30.080395281343741</v>
      </c>
      <c r="BU28" s="26">
        <v>32.945107967441494</v>
      </c>
      <c r="BV28" s="26">
        <v>0</v>
      </c>
      <c r="BW28" s="26">
        <v>0</v>
      </c>
      <c r="BX28" s="27">
        <v>3857759.5190990781</v>
      </c>
      <c r="BY28" s="26">
        <v>22880657.379325274</v>
      </c>
      <c r="BZ28" s="26">
        <v>-7211625.8279219568</v>
      </c>
      <c r="CA28" s="27">
        <v>15669031.551403318</v>
      </c>
      <c r="CB28" s="26">
        <v>541228.24069480144</v>
      </c>
      <c r="CC28" s="26">
        <v>0</v>
      </c>
      <c r="CD28" s="26">
        <v>38.362094869350798</v>
      </c>
      <c r="CE28" s="27">
        <v>541266.60278967081</v>
      </c>
      <c r="CF28" s="25">
        <v>20068057.673292067</v>
      </c>
      <c r="CG28" s="26">
        <v>16907958.913154688</v>
      </c>
      <c r="CH28" s="25">
        <v>11189066.290664393</v>
      </c>
      <c r="CI28" s="39" t="s">
        <v>127</v>
      </c>
      <c r="CJ28" s="35">
        <v>28</v>
      </c>
      <c r="CM28" s="30"/>
    </row>
    <row r="29" spans="1:171" x14ac:dyDescent="0.2">
      <c r="A29" s="35">
        <v>29</v>
      </c>
      <c r="B29" s="36" t="s">
        <v>48</v>
      </c>
      <c r="C29" s="24">
        <v>303022.11763932311</v>
      </c>
      <c r="D29" s="24">
        <v>126651.89120333668</v>
      </c>
      <c r="E29" s="24">
        <v>33130.52585517674</v>
      </c>
      <c r="F29" s="24">
        <v>65292.041791155745</v>
      </c>
      <c r="G29" s="452">
        <v>504059.96696579718</v>
      </c>
      <c r="H29" s="24">
        <v>35772.893459659652</v>
      </c>
      <c r="I29" s="24">
        <v>5033.5623401308503</v>
      </c>
      <c r="J29" s="24">
        <v>11765.179750683761</v>
      </c>
      <c r="K29" s="24">
        <v>14578.257373855242</v>
      </c>
      <c r="L29" s="24">
        <v>1103.9272774631588</v>
      </c>
      <c r="M29" s="24">
        <v>1262.7907431958613</v>
      </c>
      <c r="N29" s="24">
        <v>33241.879210571948</v>
      </c>
      <c r="O29" s="24">
        <v>18801.299826436793</v>
      </c>
      <c r="P29" s="64">
        <v>78102.335298609192</v>
      </c>
      <c r="Q29" s="24">
        <v>22938.082452015733</v>
      </c>
      <c r="R29" s="24">
        <v>45777.276154353836</v>
      </c>
      <c r="S29" s="24">
        <v>5180.6810238951166</v>
      </c>
      <c r="T29" s="24">
        <v>334929.75212309719</v>
      </c>
      <c r="U29" s="24">
        <v>34232.064109386214</v>
      </c>
      <c r="V29" s="24">
        <v>15980.57231898924</v>
      </c>
      <c r="W29" s="24">
        <v>6605.8968549651654</v>
      </c>
      <c r="X29" s="24">
        <v>54986.153481436166</v>
      </c>
      <c r="Y29" s="24">
        <v>40110.246394710215</v>
      </c>
      <c r="Z29" s="24">
        <v>732856.23292352248</v>
      </c>
      <c r="AA29" s="24">
        <v>18939.472241547584</v>
      </c>
      <c r="AB29" s="24">
        <v>24126.50159333599</v>
      </c>
      <c r="AC29" s="24">
        <v>320.33636139593125</v>
      </c>
      <c r="AD29" s="24">
        <v>412.12977768110034</v>
      </c>
      <c r="AE29" s="24">
        <v>3005.5698735504657</v>
      </c>
      <c r="AF29" s="24">
        <v>18545.57705236016</v>
      </c>
      <c r="AG29" s="24">
        <v>358265.81361358269</v>
      </c>
      <c r="AH29" s="24">
        <v>547652.21036400448</v>
      </c>
      <c r="AI29" s="24">
        <v>941918.29703641334</v>
      </c>
      <c r="AJ29" s="24">
        <v>3442.1901870050033</v>
      </c>
      <c r="AK29" s="24">
        <v>37818.132097143993</v>
      </c>
      <c r="AL29" s="24">
        <v>0</v>
      </c>
      <c r="AM29" s="24">
        <v>0</v>
      </c>
      <c r="AN29" s="24">
        <v>244.17435197466688</v>
      </c>
      <c r="AO29" s="24">
        <v>8.4102358611692143</v>
      </c>
      <c r="AP29" s="24">
        <v>1156.6767452671077</v>
      </c>
      <c r="AQ29" s="24">
        <v>139.20618566886725</v>
      </c>
      <c r="AR29" s="24">
        <v>139.20618566886725</v>
      </c>
      <c r="AS29" s="24">
        <v>49230.717176951766</v>
      </c>
      <c r="AT29" s="24">
        <v>2029.6039364758419</v>
      </c>
      <c r="AU29" s="24">
        <v>1378.8701391031527</v>
      </c>
      <c r="AV29" s="24">
        <v>7762.9512366889094</v>
      </c>
      <c r="AW29" s="24">
        <v>26.145916046383583</v>
      </c>
      <c r="AX29" s="24">
        <v>3340.3000507084353</v>
      </c>
      <c r="AY29" s="24">
        <v>2813.8890188611645</v>
      </c>
      <c r="AZ29" s="24">
        <v>38.329729430973799</v>
      </c>
      <c r="BA29" s="24">
        <v>3880.2379076819298</v>
      </c>
      <c r="BB29" s="24">
        <v>293.89521852550786</v>
      </c>
      <c r="BC29" s="24">
        <v>55151.287435500381</v>
      </c>
      <c r="BD29" s="24">
        <v>54.240176488679481</v>
      </c>
      <c r="BE29" s="24">
        <v>653.82354928206553</v>
      </c>
      <c r="BF29" s="24">
        <v>10247.620469433965</v>
      </c>
      <c r="BG29" s="24">
        <v>52019.44753733425</v>
      </c>
      <c r="BH29" s="24">
        <v>12441.354839777392</v>
      </c>
      <c r="BI29" s="24">
        <v>121813.05855784714</v>
      </c>
      <c r="BJ29" s="24">
        <v>112.73032604389434</v>
      </c>
      <c r="BK29" s="24">
        <v>3.0209641910204401</v>
      </c>
      <c r="BL29" s="24">
        <v>26.257434821689003</v>
      </c>
      <c r="BM29" s="24">
        <v>8334.8112689369063</v>
      </c>
      <c r="BN29" s="24">
        <v>108761.97194093876</v>
      </c>
      <c r="BO29" s="24">
        <v>19732.610272319587</v>
      </c>
      <c r="BP29" s="24">
        <v>34084.190915240695</v>
      </c>
      <c r="BQ29" s="24">
        <v>0</v>
      </c>
      <c r="BR29" s="25">
        <v>4975780.8964928584</v>
      </c>
      <c r="BS29" s="26">
        <v>34726023.779677033</v>
      </c>
      <c r="BT29" s="26">
        <v>80204.66798563271</v>
      </c>
      <c r="BU29" s="26">
        <v>35585.888103501107</v>
      </c>
      <c r="BV29" s="26">
        <v>0</v>
      </c>
      <c r="BW29" s="26">
        <v>0</v>
      </c>
      <c r="BX29" s="27">
        <v>34770642.559559166</v>
      </c>
      <c r="BY29" s="26">
        <v>22142428.628986996</v>
      </c>
      <c r="BZ29" s="26">
        <v>-1901171.5629820216</v>
      </c>
      <c r="CA29" s="27">
        <v>20241257.066004973</v>
      </c>
      <c r="CB29" s="26">
        <v>1038079.7804355382</v>
      </c>
      <c r="CC29" s="26">
        <v>0</v>
      </c>
      <c r="CD29" s="26">
        <v>102286.52427775472</v>
      </c>
      <c r="CE29" s="27">
        <v>1140366.304713293</v>
      </c>
      <c r="CF29" s="25">
        <v>56152265.930277437</v>
      </c>
      <c r="CG29" s="26">
        <v>35906188.038428195</v>
      </c>
      <c r="CH29" s="25">
        <v>25221858.788342103</v>
      </c>
      <c r="CI29" s="39" t="s">
        <v>128</v>
      </c>
      <c r="CJ29" s="35">
        <v>29</v>
      </c>
      <c r="CM29" s="30"/>
    </row>
    <row r="30" spans="1:171" ht="32" customHeight="1" x14ac:dyDescent="0.2">
      <c r="A30" s="35">
        <v>30</v>
      </c>
      <c r="B30" s="36" t="s">
        <v>49</v>
      </c>
      <c r="C30" s="24">
        <v>87206.703115949102</v>
      </c>
      <c r="D30" s="24">
        <v>41947.528029938061</v>
      </c>
      <c r="E30" s="24">
        <v>896.23717381769802</v>
      </c>
      <c r="F30" s="24">
        <v>342.89981728425994</v>
      </c>
      <c r="G30" s="452">
        <v>157659.22187489292</v>
      </c>
      <c r="H30" s="24">
        <v>10976.08065279434</v>
      </c>
      <c r="I30" s="24">
        <v>718.77336186319667</v>
      </c>
      <c r="J30" s="24">
        <v>3274.824263385226</v>
      </c>
      <c r="K30" s="24">
        <v>4640.997965980021</v>
      </c>
      <c r="L30" s="24">
        <v>334.32818044833493</v>
      </c>
      <c r="M30" s="24">
        <v>181.90223071536559</v>
      </c>
      <c r="N30" s="24">
        <v>10096.576286713289</v>
      </c>
      <c r="O30" s="24">
        <v>6175.0720683612717</v>
      </c>
      <c r="P30" s="64">
        <v>11935.015906722323</v>
      </c>
      <c r="Q30" s="24">
        <v>6610.6443157619942</v>
      </c>
      <c r="R30" s="24">
        <v>13862.604764468471</v>
      </c>
      <c r="S30" s="24">
        <v>1266.3567385129713</v>
      </c>
      <c r="T30" s="24">
        <v>101091.84309492508</v>
      </c>
      <c r="U30" s="24">
        <v>9008.7054111518937</v>
      </c>
      <c r="V30" s="24">
        <v>5182.5107164385454</v>
      </c>
      <c r="W30" s="24">
        <v>1687.1373714611357</v>
      </c>
      <c r="X30" s="24">
        <v>10785.563368101042</v>
      </c>
      <c r="Y30" s="24">
        <v>12478.201187601704</v>
      </c>
      <c r="Z30" s="24">
        <v>21370.463938540452</v>
      </c>
      <c r="AA30" s="24">
        <v>4182.3288256296828</v>
      </c>
      <c r="AB30" s="24">
        <v>3948.9478084646344</v>
      </c>
      <c r="AC30" s="24">
        <v>113.86872013459924</v>
      </c>
      <c r="AD30" s="24">
        <v>9.8649932924808841</v>
      </c>
      <c r="AE30" s="24">
        <v>1.4764567031611301E-4</v>
      </c>
      <c r="AF30" s="24">
        <v>44.872267163119425</v>
      </c>
      <c r="AG30" s="24">
        <v>12585.464089011592</v>
      </c>
      <c r="AH30" s="24">
        <v>12623.353335983846</v>
      </c>
      <c r="AI30" s="24">
        <v>27357.500664150939</v>
      </c>
      <c r="AJ30" s="24">
        <v>2853.2342099541897</v>
      </c>
      <c r="AK30" s="24">
        <v>924.72627640162091</v>
      </c>
      <c r="AL30" s="24">
        <v>0</v>
      </c>
      <c r="AM30" s="24">
        <v>0</v>
      </c>
      <c r="AN30" s="24">
        <v>284.49908285391183</v>
      </c>
      <c r="AO30" s="24">
        <v>9.7991634655222271</v>
      </c>
      <c r="AP30" s="24">
        <v>1347.6783811799926</v>
      </c>
      <c r="AQ30" s="24">
        <v>161.94877984977174</v>
      </c>
      <c r="AR30" s="24">
        <v>161.94877984977174</v>
      </c>
      <c r="AS30" s="24">
        <v>993.15960056284405</v>
      </c>
      <c r="AT30" s="24">
        <v>122.96351360013989</v>
      </c>
      <c r="AU30" s="24">
        <v>74.961825848773401</v>
      </c>
      <c r="AV30" s="24">
        <v>507.25167613765092</v>
      </c>
      <c r="AW30" s="24">
        <v>1.0074330221159467</v>
      </c>
      <c r="AX30" s="24">
        <v>236.88022798240121</v>
      </c>
      <c r="AY30" s="24">
        <v>174.19221985926441</v>
      </c>
      <c r="AZ30" s="24">
        <v>2.2073274037455564</v>
      </c>
      <c r="BA30" s="24">
        <v>60.300786611941163</v>
      </c>
      <c r="BB30" s="24">
        <v>11.051017740830979</v>
      </c>
      <c r="BC30" s="24">
        <v>2242.4444202963077</v>
      </c>
      <c r="BD30" s="24">
        <v>0</v>
      </c>
      <c r="BE30" s="24">
        <v>24.484820149994963</v>
      </c>
      <c r="BF30" s="24">
        <v>403.13830786940912</v>
      </c>
      <c r="BG30" s="24">
        <v>553.81430411819667</v>
      </c>
      <c r="BH30" s="24">
        <v>1384.5167482671955</v>
      </c>
      <c r="BI30" s="24">
        <v>2197.8884575316333</v>
      </c>
      <c r="BJ30" s="24">
        <v>2.8013369530930303</v>
      </c>
      <c r="BK30" s="24">
        <v>6.3286165634984613E-5</v>
      </c>
      <c r="BL30" s="24">
        <v>0.29269732947505039</v>
      </c>
      <c r="BM30" s="24">
        <v>89.879448811938474</v>
      </c>
      <c r="BN30" s="24">
        <v>3063.0270322428969</v>
      </c>
      <c r="BO30" s="24">
        <v>511.16255397989266</v>
      </c>
      <c r="BP30" s="24">
        <v>783.67209568776275</v>
      </c>
      <c r="BQ30" s="24">
        <v>0</v>
      </c>
      <c r="BR30" s="25">
        <v>599781.32527615363</v>
      </c>
      <c r="BS30" s="26">
        <v>970873.08740127401</v>
      </c>
      <c r="BT30" s="26">
        <v>9908.1995001805208</v>
      </c>
      <c r="BU30" s="26">
        <v>4395.9196566670971</v>
      </c>
      <c r="BV30" s="26">
        <v>0</v>
      </c>
      <c r="BW30" s="26">
        <v>0</v>
      </c>
      <c r="BX30" s="27">
        <v>976385.36724478751</v>
      </c>
      <c r="BY30" s="26">
        <v>641086.58508695394</v>
      </c>
      <c r="BZ30" s="26">
        <v>-43211.830440651582</v>
      </c>
      <c r="CA30" s="27">
        <v>597874.75464630232</v>
      </c>
      <c r="CB30" s="26">
        <v>35065.285635042688</v>
      </c>
      <c r="CC30" s="26">
        <v>0</v>
      </c>
      <c r="CD30" s="26">
        <v>12636.113510320856</v>
      </c>
      <c r="CE30" s="27">
        <v>47701.399145363546</v>
      </c>
      <c r="CF30" s="25">
        <v>1621961.5210364533</v>
      </c>
      <c r="CG30" s="26">
        <v>915944.59387401829</v>
      </c>
      <c r="CH30" s="25">
        <v>1305798.2524385885</v>
      </c>
      <c r="CI30" s="39" t="s">
        <v>129</v>
      </c>
      <c r="CJ30" s="35">
        <v>30</v>
      </c>
      <c r="CM30" s="30"/>
    </row>
    <row r="31" spans="1:171" ht="32" customHeight="1" x14ac:dyDescent="0.2">
      <c r="A31" s="35">
        <v>31</v>
      </c>
      <c r="B31" s="36" t="s">
        <v>50</v>
      </c>
      <c r="C31" s="24">
        <v>30067.236213494496</v>
      </c>
      <c r="D31" s="24">
        <v>13627.457351516987</v>
      </c>
      <c r="E31" s="24">
        <v>356.27678713815777</v>
      </c>
      <c r="F31" s="24">
        <v>2447.1851185214678</v>
      </c>
      <c r="G31" s="452">
        <v>53212.941055018324</v>
      </c>
      <c r="H31" s="24">
        <v>6858.0743003286088</v>
      </c>
      <c r="I31" s="24">
        <v>3369.844153441788</v>
      </c>
      <c r="J31" s="24">
        <v>1661.4937174512047</v>
      </c>
      <c r="K31" s="24">
        <v>2955.4974143984336</v>
      </c>
      <c r="L31" s="24">
        <v>289.48884434519499</v>
      </c>
      <c r="M31" s="24">
        <v>510.79620430172935</v>
      </c>
      <c r="N31" s="24">
        <v>4104.2990448876017</v>
      </c>
      <c r="O31" s="24">
        <v>2166.1233384534617</v>
      </c>
      <c r="P31" s="64">
        <v>6254.0100729622882</v>
      </c>
      <c r="Q31" s="24">
        <v>4092.9186015205096</v>
      </c>
      <c r="R31" s="24">
        <v>7768.2180229253909</v>
      </c>
      <c r="S31" s="24">
        <v>628.24657231075787</v>
      </c>
      <c r="T31" s="24">
        <v>38081.29740671067</v>
      </c>
      <c r="U31" s="24">
        <v>4459.9987879173059</v>
      </c>
      <c r="V31" s="24">
        <v>2015.9029884225065</v>
      </c>
      <c r="W31" s="24">
        <v>818.5673678540544</v>
      </c>
      <c r="X31" s="24">
        <v>4209.9734329158618</v>
      </c>
      <c r="Y31" s="24">
        <v>4141.6604983212746</v>
      </c>
      <c r="Z31" s="24">
        <v>1466.2743173886868</v>
      </c>
      <c r="AA31" s="24">
        <v>1315.0545960265849</v>
      </c>
      <c r="AB31" s="24">
        <v>10437.843898737068</v>
      </c>
      <c r="AC31" s="24">
        <v>53.860596456819735</v>
      </c>
      <c r="AD31" s="24">
        <v>2.0390614086757295</v>
      </c>
      <c r="AE31" s="24">
        <v>7.6371236989866542</v>
      </c>
      <c r="AF31" s="24">
        <v>170.49465987847512</v>
      </c>
      <c r="AG31" s="24">
        <v>40825.885548100523</v>
      </c>
      <c r="AH31" s="24">
        <v>26303.915954297925</v>
      </c>
      <c r="AI31" s="24">
        <v>23642.860838252051</v>
      </c>
      <c r="AJ31" s="24">
        <v>596.81583859188333</v>
      </c>
      <c r="AK31" s="24">
        <v>31835.396079786427</v>
      </c>
      <c r="AL31" s="24">
        <v>0</v>
      </c>
      <c r="AM31" s="24">
        <v>0</v>
      </c>
      <c r="AN31" s="24">
        <v>57.684157526374229</v>
      </c>
      <c r="AO31" s="24">
        <v>1.9868481940313685</v>
      </c>
      <c r="AP31" s="24">
        <v>273.54836261851352</v>
      </c>
      <c r="AQ31" s="24">
        <v>36.436645388445953</v>
      </c>
      <c r="AR31" s="24">
        <v>36.436645388445953</v>
      </c>
      <c r="AS31" s="24">
        <v>1253.8979573584172</v>
      </c>
      <c r="AT31" s="24">
        <v>834.96603059861116</v>
      </c>
      <c r="AU31" s="24">
        <v>513.65550063300441</v>
      </c>
      <c r="AV31" s="24">
        <v>3410.1131457156362</v>
      </c>
      <c r="AW31" s="24">
        <v>7.2106295668850553</v>
      </c>
      <c r="AX31" s="24">
        <v>1445.9417137490057</v>
      </c>
      <c r="AY31" s="24">
        <v>1230.7669032155816</v>
      </c>
      <c r="AZ31" s="24">
        <v>15.603239372737489</v>
      </c>
      <c r="BA31" s="24">
        <v>290.71984041714848</v>
      </c>
      <c r="BB31" s="24">
        <v>45.573363445368763</v>
      </c>
      <c r="BC31" s="24">
        <v>9173.2603668382089</v>
      </c>
      <c r="BD31" s="24">
        <v>1.3810372764367158</v>
      </c>
      <c r="BE31" s="24">
        <v>100.26780309722902</v>
      </c>
      <c r="BF31" s="24">
        <v>1852.6429947811273</v>
      </c>
      <c r="BG31" s="24">
        <v>33056.615378930976</v>
      </c>
      <c r="BH31" s="24">
        <v>6575.8979668759466</v>
      </c>
      <c r="BI31" s="24">
        <v>37278.763688392108</v>
      </c>
      <c r="BJ31" s="24">
        <v>11.048134803772623</v>
      </c>
      <c r="BK31" s="24">
        <v>0.11018461788128012</v>
      </c>
      <c r="BL31" s="24">
        <v>0.85216682558832824</v>
      </c>
      <c r="BM31" s="24">
        <v>793.76641295188062</v>
      </c>
      <c r="BN31" s="24">
        <v>33167.499093394807</v>
      </c>
      <c r="BO31" s="24">
        <v>5866.1648229179609</v>
      </c>
      <c r="BP31" s="24">
        <v>921.04631316421273</v>
      </c>
      <c r="BQ31" s="24">
        <v>0</v>
      </c>
      <c r="BR31" s="25">
        <v>469009.44315583829</v>
      </c>
      <c r="BS31" s="26">
        <v>14393374.595424075</v>
      </c>
      <c r="BT31" s="26">
        <v>41605.711037283632</v>
      </c>
      <c r="BU31" s="26">
        <v>18458.990755593291</v>
      </c>
      <c r="BV31" s="26">
        <v>0</v>
      </c>
      <c r="BW31" s="26">
        <v>0</v>
      </c>
      <c r="BX31" s="27">
        <v>14416521.315705765</v>
      </c>
      <c r="BY31" s="26">
        <v>3728853.8519197856</v>
      </c>
      <c r="BZ31" s="26">
        <v>1013192.3389624205</v>
      </c>
      <c r="CA31" s="27">
        <v>4742046.190882206</v>
      </c>
      <c r="CB31" s="26">
        <v>3014151.5154808769</v>
      </c>
      <c r="CC31" s="26">
        <v>0</v>
      </c>
      <c r="CD31" s="26">
        <v>53060.54720992918</v>
      </c>
      <c r="CE31" s="27">
        <v>3067212.0626908061</v>
      </c>
      <c r="CF31" s="25">
        <v>22225779.569278777</v>
      </c>
      <c r="CG31" s="26">
        <v>2313737.1557538658</v>
      </c>
      <c r="CH31" s="25">
        <v>20381051.856680751</v>
      </c>
      <c r="CI31" s="39" t="s">
        <v>130</v>
      </c>
      <c r="CJ31" s="35">
        <v>31</v>
      </c>
      <c r="CM31" s="30"/>
    </row>
    <row r="32" spans="1:171" ht="32" customHeight="1" x14ac:dyDescent="0.2">
      <c r="A32" s="35">
        <v>32</v>
      </c>
      <c r="B32" s="36" t="s">
        <v>51</v>
      </c>
      <c r="C32" s="24">
        <v>19447.420651840876</v>
      </c>
      <c r="D32" s="24">
        <v>6308.9591507085452</v>
      </c>
      <c r="E32" s="24">
        <v>15778.237595689288</v>
      </c>
      <c r="F32" s="24">
        <v>14224.815390348218</v>
      </c>
      <c r="G32" s="452">
        <v>14447698.366696941</v>
      </c>
      <c r="H32" s="24">
        <v>15587.173234411399</v>
      </c>
      <c r="I32" s="24">
        <v>15594.08006405923</v>
      </c>
      <c r="J32" s="24">
        <v>1685.6930506987933</v>
      </c>
      <c r="K32" s="24">
        <v>1588.1321506232439</v>
      </c>
      <c r="L32" s="24">
        <v>556.45952882202812</v>
      </c>
      <c r="M32" s="24">
        <v>85.013537276000335</v>
      </c>
      <c r="N32" s="24">
        <v>27864.840436967701</v>
      </c>
      <c r="O32" s="24">
        <v>3438.8431025163636</v>
      </c>
      <c r="P32" s="64">
        <v>9934.9663882649693</v>
      </c>
      <c r="Q32" s="24">
        <v>9180.3228858226739</v>
      </c>
      <c r="R32" s="24">
        <v>17033.125015872232</v>
      </c>
      <c r="S32" s="24">
        <v>2794.2837446583703</v>
      </c>
      <c r="T32" s="24">
        <v>39547.99992420325</v>
      </c>
      <c r="U32" s="24">
        <v>96156.719404613264</v>
      </c>
      <c r="V32" s="24">
        <v>16015.206572508725</v>
      </c>
      <c r="W32" s="24">
        <v>48380.109365672724</v>
      </c>
      <c r="X32" s="24">
        <v>38022.538573584061</v>
      </c>
      <c r="Y32" s="24">
        <v>9320.5151713434789</v>
      </c>
      <c r="Z32" s="24">
        <v>29544.74002370274</v>
      </c>
      <c r="AA32" s="24">
        <v>966.51145827925291</v>
      </c>
      <c r="AB32" s="24">
        <v>1258.1856837225346</v>
      </c>
      <c r="AC32" s="24">
        <v>2090.9861033099787</v>
      </c>
      <c r="AD32" s="24">
        <v>9.2398653390175554</v>
      </c>
      <c r="AE32" s="24">
        <v>58.735306126505492</v>
      </c>
      <c r="AF32" s="24">
        <v>10105.725495531706</v>
      </c>
      <c r="AG32" s="24">
        <v>164604.39605357812</v>
      </c>
      <c r="AH32" s="24">
        <v>92041.590803987681</v>
      </c>
      <c r="AI32" s="24">
        <v>30337.522399110629</v>
      </c>
      <c r="AJ32" s="24">
        <v>3134.7052307203817</v>
      </c>
      <c r="AK32" s="24">
        <v>14486.102990010984</v>
      </c>
      <c r="AL32" s="24">
        <v>0.66438894460594267</v>
      </c>
      <c r="AM32" s="24">
        <v>0.15679272278335063</v>
      </c>
      <c r="AN32" s="24">
        <v>313.10644838088643</v>
      </c>
      <c r="AO32" s="24">
        <v>28.315869992746975</v>
      </c>
      <c r="AP32" s="24">
        <v>2483.389887749915</v>
      </c>
      <c r="AQ32" s="24">
        <v>303.13163539719505</v>
      </c>
      <c r="AR32" s="24">
        <v>303.13163539719505</v>
      </c>
      <c r="AS32" s="24">
        <v>8971.1528527874543</v>
      </c>
      <c r="AT32" s="24">
        <v>4168.3049244785989</v>
      </c>
      <c r="AU32" s="24">
        <v>2210.1188157132251</v>
      </c>
      <c r="AV32" s="24">
        <v>12853.327542964598</v>
      </c>
      <c r="AW32" s="24">
        <v>38.97782792064703</v>
      </c>
      <c r="AX32" s="24">
        <v>5366.2513806078587</v>
      </c>
      <c r="AY32" s="24">
        <v>4862.4608248229251</v>
      </c>
      <c r="AZ32" s="24">
        <v>63.156741929568284</v>
      </c>
      <c r="BA32" s="24">
        <v>1281.5570760154271</v>
      </c>
      <c r="BB32" s="24">
        <v>333.41365797794714</v>
      </c>
      <c r="BC32" s="24">
        <v>32347.543026930834</v>
      </c>
      <c r="BD32" s="24">
        <v>112.65058663125781</v>
      </c>
      <c r="BE32" s="24">
        <v>349.71899921983663</v>
      </c>
      <c r="BF32" s="24">
        <v>6736.0722202059951</v>
      </c>
      <c r="BG32" s="24">
        <v>443885.14159382036</v>
      </c>
      <c r="BH32" s="24">
        <v>4102249.6603520396</v>
      </c>
      <c r="BI32" s="24">
        <v>687433.40319782798</v>
      </c>
      <c r="BJ32" s="24">
        <v>60.642625308631224</v>
      </c>
      <c r="BK32" s="24">
        <v>4.0332353786970474</v>
      </c>
      <c r="BL32" s="24">
        <v>14.631581770085118</v>
      </c>
      <c r="BM32" s="24">
        <v>568129.13671610516</v>
      </c>
      <c r="BN32" s="24">
        <v>11725.224625131095</v>
      </c>
      <c r="BO32" s="24">
        <v>1784.3890145519767</v>
      </c>
      <c r="BP32" s="24">
        <v>5279.5214020297653</v>
      </c>
      <c r="BQ32" s="24">
        <v>0</v>
      </c>
      <c r="BR32" s="25">
        <v>21108574.65053162</v>
      </c>
      <c r="BS32" s="26">
        <v>5923764.2400418697</v>
      </c>
      <c r="BT32" s="26">
        <v>815.95781375332047</v>
      </c>
      <c r="BU32" s="26">
        <v>893.66572545185682</v>
      </c>
      <c r="BV32" s="26">
        <v>0</v>
      </c>
      <c r="BW32" s="26">
        <v>0</v>
      </c>
      <c r="BX32" s="27">
        <v>5923686.5321301715</v>
      </c>
      <c r="BY32" s="26">
        <v>1553343.857420756</v>
      </c>
      <c r="BZ32" s="26">
        <v>376897.44763825793</v>
      </c>
      <c r="CA32" s="27">
        <v>1930241.3050590139</v>
      </c>
      <c r="CB32" s="26">
        <v>668169.02160886349</v>
      </c>
      <c r="CC32" s="26">
        <v>0</v>
      </c>
      <c r="CD32" s="26">
        <v>1040.6063739463814</v>
      </c>
      <c r="CE32" s="27">
        <v>669209.62798280991</v>
      </c>
      <c r="CF32" s="25">
        <v>8523137.4651719946</v>
      </c>
      <c r="CG32" s="26">
        <v>4528124.9879254987</v>
      </c>
      <c r="CH32" s="25">
        <v>25103587.127778113</v>
      </c>
      <c r="CI32" s="39" t="s">
        <v>131</v>
      </c>
      <c r="CJ32" s="35">
        <v>32</v>
      </c>
      <c r="CM32" s="30"/>
    </row>
    <row r="33" spans="1:91" x14ac:dyDescent="0.2">
      <c r="A33" s="35">
        <v>33</v>
      </c>
      <c r="B33" s="36" t="s">
        <v>52</v>
      </c>
      <c r="C33" s="24">
        <v>4511170.6804473586</v>
      </c>
      <c r="D33" s="24">
        <v>2262912.5894576423</v>
      </c>
      <c r="E33" s="24">
        <v>0</v>
      </c>
      <c r="F33" s="24">
        <v>0</v>
      </c>
      <c r="G33" s="452">
        <v>8505126.6375020687</v>
      </c>
      <c r="H33" s="24">
        <v>584989.07002618047</v>
      </c>
      <c r="I33" s="24">
        <v>37250.816756118242</v>
      </c>
      <c r="J33" s="24">
        <v>173563.64247484587</v>
      </c>
      <c r="K33" s="24">
        <v>249080.29872635385</v>
      </c>
      <c r="L33" s="24">
        <v>16188.889156897683</v>
      </c>
      <c r="M33" s="24">
        <v>3129.2911116979103</v>
      </c>
      <c r="N33" s="24">
        <v>531410.73528720811</v>
      </c>
      <c r="O33" s="24">
        <v>330648.79040462122</v>
      </c>
      <c r="P33" s="64">
        <v>534130.60149562394</v>
      </c>
      <c r="Q33" s="24">
        <v>327243.9481286091</v>
      </c>
      <c r="R33" s="24">
        <v>720409.46429184254</v>
      </c>
      <c r="S33" s="24">
        <v>52740.746784509691</v>
      </c>
      <c r="T33" s="24">
        <v>5384995.6703436207</v>
      </c>
      <c r="U33" s="24">
        <v>454027.20468372561</v>
      </c>
      <c r="V33" s="24">
        <v>239188.37475100838</v>
      </c>
      <c r="W33" s="24">
        <v>83892.187777310726</v>
      </c>
      <c r="X33" s="24">
        <v>512045.28631331807</v>
      </c>
      <c r="Y33" s="24">
        <v>663743.47036745213</v>
      </c>
      <c r="Z33" s="24">
        <v>124604.67151410102</v>
      </c>
      <c r="AA33" s="24">
        <v>213705.45183639062</v>
      </c>
      <c r="AB33" s="24">
        <v>81943.027444854437</v>
      </c>
      <c r="AC33" s="24">
        <v>3331.0872079973215</v>
      </c>
      <c r="AD33" s="24">
        <v>12.899878851363017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11183.394715175389</v>
      </c>
      <c r="BH33" s="24">
        <v>869.32684218255645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5">
        <v>26613538.255727563</v>
      </c>
      <c r="BS33" s="26">
        <v>2942103.3800513465</v>
      </c>
      <c r="BT33" s="26">
        <v>0</v>
      </c>
      <c r="BU33" s="26">
        <v>0</v>
      </c>
      <c r="BV33" s="26">
        <v>0</v>
      </c>
      <c r="BW33" s="26">
        <v>0</v>
      </c>
      <c r="BX33" s="27">
        <v>2942103.3800513465</v>
      </c>
      <c r="BY33" s="26">
        <v>0</v>
      </c>
      <c r="BZ33" s="26">
        <v>0</v>
      </c>
      <c r="CA33" s="27">
        <v>0</v>
      </c>
      <c r="CB33" s="26">
        <v>0</v>
      </c>
      <c r="CC33" s="26">
        <v>0</v>
      </c>
      <c r="CD33" s="26">
        <v>0</v>
      </c>
      <c r="CE33" s="27">
        <v>0</v>
      </c>
      <c r="CF33" s="25">
        <v>2942103.3800513465</v>
      </c>
      <c r="CG33" s="26">
        <v>0</v>
      </c>
      <c r="CH33" s="25">
        <v>29555641.635778911</v>
      </c>
      <c r="CI33" s="39" t="s">
        <v>132</v>
      </c>
      <c r="CJ33" s="35">
        <v>33</v>
      </c>
      <c r="CM33" s="30"/>
    </row>
    <row r="34" spans="1:91" ht="32" customHeight="1" x14ac:dyDescent="0.2">
      <c r="A34" s="35">
        <v>35</v>
      </c>
      <c r="B34" s="36" t="s">
        <v>53</v>
      </c>
      <c r="C34" s="24">
        <v>57260.632111479048</v>
      </c>
      <c r="D34" s="24">
        <v>910.62062220081805</v>
      </c>
      <c r="E34" s="24">
        <v>21183.144251959853</v>
      </c>
      <c r="F34" s="24">
        <v>97091.77578443852</v>
      </c>
      <c r="G34" s="452">
        <v>2546350.6749372282</v>
      </c>
      <c r="H34" s="24">
        <v>92159.433740049193</v>
      </c>
      <c r="I34" s="24">
        <v>43485.272658754511</v>
      </c>
      <c r="J34" s="24">
        <v>130281.00202482103</v>
      </c>
      <c r="K34" s="24">
        <v>23832.708900701655</v>
      </c>
      <c r="L34" s="24">
        <v>7964.8835024086566</v>
      </c>
      <c r="M34" s="24">
        <v>4971.7855104246701</v>
      </c>
      <c r="N34" s="24">
        <v>473261.73607308173</v>
      </c>
      <c r="O34" s="24">
        <v>146743.81939911708</v>
      </c>
      <c r="P34" s="64">
        <v>691453.37523967831</v>
      </c>
      <c r="Q34" s="24">
        <v>655409.92479574913</v>
      </c>
      <c r="R34" s="24">
        <v>195234.86356265523</v>
      </c>
      <c r="S34" s="24">
        <v>72573.949305031056</v>
      </c>
      <c r="T34" s="24">
        <v>3015135.5853212094</v>
      </c>
      <c r="U34" s="24">
        <v>1012497.1360732345</v>
      </c>
      <c r="V34" s="24">
        <v>59184.353450291826</v>
      </c>
      <c r="W34" s="24">
        <v>5032.1623742033935</v>
      </c>
      <c r="X34" s="24">
        <v>172119.85810145584</v>
      </c>
      <c r="Y34" s="24">
        <v>23073.013950162327</v>
      </c>
      <c r="Z34" s="24">
        <v>51700.507758593732</v>
      </c>
      <c r="AA34" s="24">
        <v>2649.2524709053728</v>
      </c>
      <c r="AB34" s="24">
        <v>12848.946472167067</v>
      </c>
      <c r="AC34" s="24">
        <v>3245.7535740338844</v>
      </c>
      <c r="AD34" s="24">
        <v>138.83517749043119</v>
      </c>
      <c r="AE34" s="24">
        <v>1829213.5950958841</v>
      </c>
      <c r="AF34" s="24">
        <v>1572540.2133116478</v>
      </c>
      <c r="AG34" s="24">
        <v>679968.56683574349</v>
      </c>
      <c r="AH34" s="24">
        <v>1983349.728276416</v>
      </c>
      <c r="AI34" s="24">
        <v>421292.5795156309</v>
      </c>
      <c r="AJ34" s="24">
        <v>46846.284008895316</v>
      </c>
      <c r="AK34" s="24">
        <v>831551.66371448687</v>
      </c>
      <c r="AL34" s="24">
        <v>74799.051208636607</v>
      </c>
      <c r="AM34" s="24">
        <v>17652.230663725757</v>
      </c>
      <c r="AN34" s="24">
        <v>36195.959182748542</v>
      </c>
      <c r="AO34" s="24">
        <v>1565790.7013913211</v>
      </c>
      <c r="AP34" s="24">
        <v>170937.78203889058</v>
      </c>
      <c r="AQ34" s="24">
        <v>15884.875329900369</v>
      </c>
      <c r="AR34" s="24">
        <v>15884.875329900369</v>
      </c>
      <c r="AS34" s="24">
        <v>112562.12416646662</v>
      </c>
      <c r="AT34" s="24">
        <v>32017.498157427559</v>
      </c>
      <c r="AU34" s="24">
        <v>7860.6553625511824</v>
      </c>
      <c r="AV34" s="24">
        <v>12363.29596195285</v>
      </c>
      <c r="AW34" s="24">
        <v>1024.42800914537</v>
      </c>
      <c r="AX34" s="24">
        <v>14987.280666272552</v>
      </c>
      <c r="AY34" s="24">
        <v>15565.532494951929</v>
      </c>
      <c r="AZ34" s="24">
        <v>604.07609747789274</v>
      </c>
      <c r="BA34" s="24">
        <v>78825.293029972076</v>
      </c>
      <c r="BB34" s="24">
        <v>4404.3633012143382</v>
      </c>
      <c r="BC34" s="24">
        <v>157910.04765774275</v>
      </c>
      <c r="BD34" s="24">
        <v>8252.5206221761546</v>
      </c>
      <c r="BE34" s="24">
        <v>1595.0491555938511</v>
      </c>
      <c r="BF34" s="24">
        <v>13174.042579056939</v>
      </c>
      <c r="BG34" s="24">
        <v>3863620.6265670238</v>
      </c>
      <c r="BH34" s="24">
        <v>608317.48647440632</v>
      </c>
      <c r="BI34" s="24">
        <v>1746913.7527981917</v>
      </c>
      <c r="BJ34" s="24">
        <v>4641.1923087114883</v>
      </c>
      <c r="BK34" s="24">
        <v>217.34514750118893</v>
      </c>
      <c r="BL34" s="24">
        <v>6230.8283304536671</v>
      </c>
      <c r="BM34" s="24">
        <v>1478849.9140238212</v>
      </c>
      <c r="BN34" s="24">
        <v>411218.00595378329</v>
      </c>
      <c r="BO34" s="24">
        <v>98482.635778706594</v>
      </c>
      <c r="BP34" s="24">
        <v>235452.90978240204</v>
      </c>
      <c r="BQ34" s="24">
        <v>0</v>
      </c>
      <c r="BR34" s="25">
        <v>27794794.017474357</v>
      </c>
      <c r="BS34" s="26">
        <v>89052860.715670571</v>
      </c>
      <c r="BT34" s="26">
        <v>0</v>
      </c>
      <c r="BU34" s="26">
        <v>0</v>
      </c>
      <c r="BV34" s="26">
        <v>0</v>
      </c>
      <c r="BW34" s="26">
        <v>0</v>
      </c>
      <c r="BX34" s="27">
        <v>89052860.715670571</v>
      </c>
      <c r="BY34" s="26">
        <v>0</v>
      </c>
      <c r="BZ34" s="26">
        <v>0</v>
      </c>
      <c r="CA34" s="27">
        <v>0</v>
      </c>
      <c r="CB34" s="26">
        <v>116074.87936529338</v>
      </c>
      <c r="CC34" s="26">
        <v>0</v>
      </c>
      <c r="CD34" s="26">
        <v>0</v>
      </c>
      <c r="CE34" s="27">
        <v>116074.87936529338</v>
      </c>
      <c r="CF34" s="25">
        <v>89168935.595035866</v>
      </c>
      <c r="CG34" s="26">
        <v>217.5415950687119</v>
      </c>
      <c r="CH34" s="25">
        <v>116963512.07091515</v>
      </c>
      <c r="CI34" s="39" t="s">
        <v>133</v>
      </c>
      <c r="CJ34" s="35">
        <v>35</v>
      </c>
      <c r="CM34" s="30"/>
    </row>
    <row r="35" spans="1:91" s="41" customFormat="1" ht="32" customHeight="1" x14ac:dyDescent="0.2">
      <c r="A35" s="22" t="s">
        <v>9</v>
      </c>
      <c r="B35" s="40" t="s">
        <v>54</v>
      </c>
      <c r="C35" s="24">
        <v>8617.9483295796927</v>
      </c>
      <c r="D35" s="24">
        <v>363.31616156690302</v>
      </c>
      <c r="E35" s="24">
        <v>4249.1750141401671</v>
      </c>
      <c r="F35" s="24">
        <v>22462.72085211354</v>
      </c>
      <c r="G35" s="452">
        <v>274141.01608040847</v>
      </c>
      <c r="H35" s="24">
        <v>17004.153743131523</v>
      </c>
      <c r="I35" s="24">
        <v>14124.670552180442</v>
      </c>
      <c r="J35" s="24">
        <v>25082.119860142098</v>
      </c>
      <c r="K35" s="24">
        <v>5793.4223938383111</v>
      </c>
      <c r="L35" s="24">
        <v>1817.1882266675987</v>
      </c>
      <c r="M35" s="24">
        <v>1349.0419850329931</v>
      </c>
      <c r="N35" s="24">
        <v>50730.740125833552</v>
      </c>
      <c r="O35" s="24">
        <v>2088.0347586707639</v>
      </c>
      <c r="P35" s="64">
        <v>107759.4885014528</v>
      </c>
      <c r="Q35" s="24">
        <v>133241.9400865694</v>
      </c>
      <c r="R35" s="24">
        <v>47608.663965278407</v>
      </c>
      <c r="S35" s="24">
        <v>17930.211479683814</v>
      </c>
      <c r="T35" s="24">
        <v>431204.38174567092</v>
      </c>
      <c r="U35" s="24">
        <v>139019.35764852283</v>
      </c>
      <c r="V35" s="24">
        <v>15472.930738292271</v>
      </c>
      <c r="W35" s="24">
        <v>1154.1621237508748</v>
      </c>
      <c r="X35" s="24">
        <v>46981.274459585984</v>
      </c>
      <c r="Y35" s="24">
        <v>6119.0874458443732</v>
      </c>
      <c r="Z35" s="24">
        <v>13730.827999242134</v>
      </c>
      <c r="AA35" s="24">
        <v>774.74742119420216</v>
      </c>
      <c r="AB35" s="24">
        <v>2949.6566872412823</v>
      </c>
      <c r="AC35" s="24">
        <v>822.03328169526037</v>
      </c>
      <c r="AD35" s="24">
        <v>38.122693966860624</v>
      </c>
      <c r="AE35" s="24">
        <v>123307.19514439983</v>
      </c>
      <c r="AF35" s="24">
        <v>232129.74796022763</v>
      </c>
      <c r="AG35" s="24">
        <v>581397.95586201013</v>
      </c>
      <c r="AH35" s="24">
        <v>64491.228612490791</v>
      </c>
      <c r="AI35" s="24">
        <v>13476.354923668694</v>
      </c>
      <c r="AJ35" s="24">
        <v>102.93302446835631</v>
      </c>
      <c r="AK35" s="24">
        <v>28257.325532183044</v>
      </c>
      <c r="AL35" s="24">
        <v>123.01338942565667</v>
      </c>
      <c r="AM35" s="24">
        <v>29.030591829454757</v>
      </c>
      <c r="AN35" s="24">
        <v>0</v>
      </c>
      <c r="AO35" s="24">
        <v>2573.8340504558437</v>
      </c>
      <c r="AP35" s="24">
        <v>32355.514807274798</v>
      </c>
      <c r="AQ35" s="24">
        <v>2530.7815859950038</v>
      </c>
      <c r="AR35" s="24">
        <v>2530.7815859950038</v>
      </c>
      <c r="AS35" s="24">
        <v>80323.137485152751</v>
      </c>
      <c r="AT35" s="24">
        <v>61.299004588143703</v>
      </c>
      <c r="AU35" s="24">
        <v>15.049594030289946</v>
      </c>
      <c r="AV35" s="24">
        <v>23.670111017731575</v>
      </c>
      <c r="AW35" s="24">
        <v>1.9613155570138561</v>
      </c>
      <c r="AX35" s="24">
        <v>24.905269219415896</v>
      </c>
      <c r="AY35" s="24">
        <v>29.800943319601867</v>
      </c>
      <c r="AZ35" s="24">
        <v>1.1565320715820877</v>
      </c>
      <c r="BA35" s="24">
        <v>150.91472717037075</v>
      </c>
      <c r="BB35" s="24">
        <v>8.4323604824306972</v>
      </c>
      <c r="BC35" s="24">
        <v>302.32620576072134</v>
      </c>
      <c r="BD35" s="24">
        <v>15.799838481920041</v>
      </c>
      <c r="BE35" s="24">
        <v>3.0537965529446058</v>
      </c>
      <c r="BF35" s="24">
        <v>25.222323509704715</v>
      </c>
      <c r="BG35" s="24">
        <v>1140481.882812541</v>
      </c>
      <c r="BH35" s="24">
        <v>216194.53670582024</v>
      </c>
      <c r="BI35" s="24">
        <v>320940.49814201478</v>
      </c>
      <c r="BJ35" s="24">
        <v>8.8857807448694697</v>
      </c>
      <c r="BK35" s="24">
        <v>0.41611749701297013</v>
      </c>
      <c r="BL35" s="24">
        <v>11.929213598714917</v>
      </c>
      <c r="BM35" s="24">
        <v>525016.13866913214</v>
      </c>
      <c r="BN35" s="24">
        <v>787.23879907082278</v>
      </c>
      <c r="BO35" s="24">
        <v>188.54963347756001</v>
      </c>
      <c r="BP35" s="24">
        <v>20500.400771663109</v>
      </c>
      <c r="BQ35" s="24">
        <v>0</v>
      </c>
      <c r="BR35" s="25">
        <v>4781053.3375841994</v>
      </c>
      <c r="BS35" s="26">
        <v>12939320.610706359</v>
      </c>
      <c r="BT35" s="26">
        <v>0</v>
      </c>
      <c r="BU35" s="26">
        <v>0</v>
      </c>
      <c r="BV35" s="26">
        <v>1584602.3211173725</v>
      </c>
      <c r="BW35" s="26">
        <v>0</v>
      </c>
      <c r="BX35" s="27">
        <v>14523922.931823732</v>
      </c>
      <c r="BY35" s="26">
        <v>0</v>
      </c>
      <c r="BZ35" s="26">
        <v>769.63877693218637</v>
      </c>
      <c r="CA35" s="27">
        <v>769.63877693218637</v>
      </c>
      <c r="CB35" s="26">
        <v>2071.9667197817944</v>
      </c>
      <c r="CC35" s="26">
        <v>0</v>
      </c>
      <c r="CD35" s="26">
        <v>0</v>
      </c>
      <c r="CE35" s="27">
        <v>2071.9667197817944</v>
      </c>
      <c r="CF35" s="25">
        <v>14526764.537320446</v>
      </c>
      <c r="CG35" s="26">
        <v>1156.8702605869687</v>
      </c>
      <c r="CH35" s="25">
        <v>19306661.004644059</v>
      </c>
      <c r="CI35" s="39" t="s">
        <v>134</v>
      </c>
      <c r="CJ35" s="22" t="s">
        <v>9</v>
      </c>
      <c r="CK35" s="2"/>
      <c r="CL35" s="2"/>
      <c r="CM35" s="30"/>
    </row>
    <row r="36" spans="1:91" ht="32" customHeight="1" x14ac:dyDescent="0.2">
      <c r="A36" s="35" t="s">
        <v>10</v>
      </c>
      <c r="B36" s="36" t="s">
        <v>55</v>
      </c>
      <c r="C36" s="24">
        <v>7817.2558086575764</v>
      </c>
      <c r="D36" s="24">
        <v>0</v>
      </c>
      <c r="E36" s="24">
        <v>621.53897732896633</v>
      </c>
      <c r="F36" s="24">
        <v>85082.539137125888</v>
      </c>
      <c r="G36" s="452">
        <v>27906.575368478836</v>
      </c>
      <c r="H36" s="24">
        <v>16512.371310609731</v>
      </c>
      <c r="I36" s="24">
        <v>0.83396644490897931</v>
      </c>
      <c r="J36" s="24">
        <v>282.44669845677447</v>
      </c>
      <c r="K36" s="24">
        <v>95.072304211648586</v>
      </c>
      <c r="L36" s="24">
        <v>119.53066608257353</v>
      </c>
      <c r="M36" s="24">
        <v>26.407752710649554</v>
      </c>
      <c r="N36" s="24">
        <v>3373.411382772726</v>
      </c>
      <c r="O36" s="24">
        <v>527.60171666981034</v>
      </c>
      <c r="P36" s="64">
        <v>19016.375696249812</v>
      </c>
      <c r="Q36" s="24">
        <v>2387.6415626280632</v>
      </c>
      <c r="R36" s="24">
        <v>2006.1915137097799</v>
      </c>
      <c r="S36" s="24">
        <v>545.44851538927173</v>
      </c>
      <c r="T36" s="24">
        <v>7689.3834240420711</v>
      </c>
      <c r="U36" s="24">
        <v>176.48955136524273</v>
      </c>
      <c r="V36" s="24">
        <v>1178.3757683350686</v>
      </c>
      <c r="W36" s="24">
        <v>496.88123513286939</v>
      </c>
      <c r="X36" s="24">
        <v>6214.7795335311648</v>
      </c>
      <c r="Y36" s="24">
        <v>817.43382821807995</v>
      </c>
      <c r="Z36" s="24">
        <v>2180.9336755503209</v>
      </c>
      <c r="AA36" s="24">
        <v>115.20272516484167</v>
      </c>
      <c r="AB36" s="24">
        <v>787.27038433785856</v>
      </c>
      <c r="AC36" s="24">
        <v>80.019078127558075</v>
      </c>
      <c r="AD36" s="24">
        <v>5.7797268520236926</v>
      </c>
      <c r="AE36" s="24">
        <v>0</v>
      </c>
      <c r="AF36" s="24">
        <v>93973.204217199323</v>
      </c>
      <c r="AG36" s="24">
        <v>20056.928314748817</v>
      </c>
      <c r="AH36" s="24">
        <v>236028.12672831755</v>
      </c>
      <c r="AI36" s="24">
        <v>414952.65022894362</v>
      </c>
      <c r="AJ36" s="24">
        <v>16.554558306495291</v>
      </c>
      <c r="AK36" s="24">
        <v>371828.78965092916</v>
      </c>
      <c r="AL36" s="24">
        <v>0</v>
      </c>
      <c r="AM36" s="24">
        <v>0</v>
      </c>
      <c r="AN36" s="24">
        <v>0</v>
      </c>
      <c r="AO36" s="24">
        <v>0</v>
      </c>
      <c r="AP36" s="24">
        <v>6240.1161535506535</v>
      </c>
      <c r="AQ36" s="24">
        <v>0</v>
      </c>
      <c r="AR36" s="24">
        <v>0</v>
      </c>
      <c r="AS36" s="24">
        <v>5172262.3581392197</v>
      </c>
      <c r="AT36" s="24">
        <v>1237.3346170977723</v>
      </c>
      <c r="AU36" s="24">
        <v>754.31206679048876</v>
      </c>
      <c r="AV36" s="24">
        <v>5104.2788229602829</v>
      </c>
      <c r="AW36" s="24">
        <v>10.137411628664328</v>
      </c>
      <c r="AX36" s="24">
        <v>2153.8615377515098</v>
      </c>
      <c r="AY36" s="24">
        <v>1752.8294154139069</v>
      </c>
      <c r="AZ36" s="24">
        <v>22.211488009397765</v>
      </c>
      <c r="BA36" s="24">
        <v>280.34444955306748</v>
      </c>
      <c r="BB36" s="24">
        <v>51.377298035792748</v>
      </c>
      <c r="BC36" s="24">
        <v>10073.906763811348</v>
      </c>
      <c r="BD36" s="24">
        <v>0</v>
      </c>
      <c r="BE36" s="24">
        <v>113.83240274343142</v>
      </c>
      <c r="BF36" s="24">
        <v>1874.2307250602983</v>
      </c>
      <c r="BG36" s="24">
        <v>295132.17675481847</v>
      </c>
      <c r="BH36" s="24">
        <v>8637.626880055941</v>
      </c>
      <c r="BI36" s="24">
        <v>152399.28755973835</v>
      </c>
      <c r="BJ36" s="24">
        <v>194.92272598918959</v>
      </c>
      <c r="BK36" s="24">
        <v>0</v>
      </c>
      <c r="BL36" s="24">
        <v>21.061223280200171</v>
      </c>
      <c r="BM36" s="24">
        <v>3546.1504768450591</v>
      </c>
      <c r="BN36" s="24">
        <v>11090.77020111513</v>
      </c>
      <c r="BO36" s="24">
        <v>1383.1666879190122</v>
      </c>
      <c r="BP36" s="24">
        <v>73574.14795030492</v>
      </c>
      <c r="BQ36" s="24">
        <v>0</v>
      </c>
      <c r="BR36" s="25">
        <v>7070830.4867583215</v>
      </c>
      <c r="BS36" s="26">
        <v>23725116.396170184</v>
      </c>
      <c r="BT36" s="26">
        <v>0</v>
      </c>
      <c r="BU36" s="26">
        <v>0</v>
      </c>
      <c r="BV36" s="26">
        <v>0</v>
      </c>
      <c r="BW36" s="26">
        <v>0</v>
      </c>
      <c r="BX36" s="27">
        <v>23725116.396170184</v>
      </c>
      <c r="BY36" s="26">
        <v>185098504.20261836</v>
      </c>
      <c r="BZ36" s="26">
        <v>88230989.251170546</v>
      </c>
      <c r="CA36" s="27">
        <v>273329493.45378888</v>
      </c>
      <c r="CB36" s="26">
        <v>0</v>
      </c>
      <c r="CC36" s="26">
        <v>7500491.2545287749</v>
      </c>
      <c r="CD36" s="26">
        <v>0</v>
      </c>
      <c r="CE36" s="27">
        <v>7500491.2545287749</v>
      </c>
      <c r="CF36" s="25">
        <v>304555101.10448784</v>
      </c>
      <c r="CG36" s="26">
        <v>4203160.4403961878</v>
      </c>
      <c r="CH36" s="25">
        <v>307422771.15084994</v>
      </c>
      <c r="CI36" s="39" t="s">
        <v>135</v>
      </c>
      <c r="CJ36" s="35" t="s">
        <v>10</v>
      </c>
      <c r="CM36" s="30"/>
    </row>
    <row r="37" spans="1:91" s="41" customFormat="1" ht="32" customHeight="1" x14ac:dyDescent="0.2">
      <c r="A37" s="22" t="s">
        <v>11</v>
      </c>
      <c r="B37" s="40" t="s">
        <v>56</v>
      </c>
      <c r="C37" s="24">
        <v>22557631.230723657</v>
      </c>
      <c r="D37" s="24">
        <v>73148.628892177279</v>
      </c>
      <c r="E37" s="24">
        <v>630361.49553024373</v>
      </c>
      <c r="F37" s="24">
        <v>712308.06669055868</v>
      </c>
      <c r="G37" s="452">
        <v>28141190.033138335</v>
      </c>
      <c r="H37" s="24">
        <v>2397226.7725183005</v>
      </c>
      <c r="I37" s="24">
        <v>1685930.4194246223</v>
      </c>
      <c r="J37" s="24">
        <v>3935985.0423059114</v>
      </c>
      <c r="K37" s="24">
        <v>1419103.4309481911</v>
      </c>
      <c r="L37" s="24">
        <v>1158564.4225397063</v>
      </c>
      <c r="M37" s="24">
        <v>115757.09857744414</v>
      </c>
      <c r="N37" s="24">
        <v>2475828.9293997567</v>
      </c>
      <c r="O37" s="24">
        <v>216093.95221564648</v>
      </c>
      <c r="P37" s="64">
        <v>2954754.8055119785</v>
      </c>
      <c r="Q37" s="24">
        <v>4056083.6121748895</v>
      </c>
      <c r="R37" s="24">
        <v>3366996.5591529938</v>
      </c>
      <c r="S37" s="24">
        <v>1921190.4217811381</v>
      </c>
      <c r="T37" s="24">
        <v>3569575.9910828834</v>
      </c>
      <c r="U37" s="24">
        <v>9922088.3854111303</v>
      </c>
      <c r="V37" s="24">
        <v>1829983.1126044141</v>
      </c>
      <c r="W37" s="24">
        <v>618743.06794955058</v>
      </c>
      <c r="X37" s="24">
        <v>2015112.1506369386</v>
      </c>
      <c r="Y37" s="24">
        <v>765292.73361312901</v>
      </c>
      <c r="Z37" s="24">
        <v>1730900.906383029</v>
      </c>
      <c r="AA37" s="24">
        <v>31873.668592071921</v>
      </c>
      <c r="AB37" s="24">
        <v>1481431.1993015716</v>
      </c>
      <c r="AC37" s="24">
        <v>63384.733143830941</v>
      </c>
      <c r="AD37" s="24">
        <v>882.72847072643606</v>
      </c>
      <c r="AE37" s="24">
        <v>1276467.609139761</v>
      </c>
      <c r="AF37" s="24">
        <v>534435.93634945084</v>
      </c>
      <c r="AG37" s="24">
        <v>17527806.982012</v>
      </c>
      <c r="AH37" s="24">
        <v>5244688.8483543219</v>
      </c>
      <c r="AI37" s="24">
        <v>6476501.94828388</v>
      </c>
      <c r="AJ37" s="24">
        <v>243002.70442457357</v>
      </c>
      <c r="AK37" s="24">
        <v>6026250.963285164</v>
      </c>
      <c r="AL37" s="24">
        <v>278275.4303871356</v>
      </c>
      <c r="AM37" s="24">
        <v>65671.716497308764</v>
      </c>
      <c r="AN37" s="24">
        <v>17723.522018736832</v>
      </c>
      <c r="AO37" s="24">
        <v>5832801.8148863213</v>
      </c>
      <c r="AP37" s="24">
        <v>641112.07740519149</v>
      </c>
      <c r="AQ37" s="24">
        <v>51171.248602839296</v>
      </c>
      <c r="AR37" s="24">
        <v>51171.248602839296</v>
      </c>
      <c r="AS37" s="24">
        <v>4345126.0072597302</v>
      </c>
      <c r="AT37" s="24">
        <v>167372.84034368434</v>
      </c>
      <c r="AU37" s="24">
        <v>76834.082452868359</v>
      </c>
      <c r="AV37" s="24">
        <v>483866.73974933324</v>
      </c>
      <c r="AW37" s="24">
        <v>2036.6410455917285</v>
      </c>
      <c r="AX37" s="24">
        <v>202976.9471982547</v>
      </c>
      <c r="AY37" s="24">
        <v>216606.17088666116</v>
      </c>
      <c r="AZ37" s="24">
        <v>2465.8353271681385</v>
      </c>
      <c r="BA37" s="24">
        <v>116922.68962878011</v>
      </c>
      <c r="BB37" s="24">
        <v>16807.467587515741</v>
      </c>
      <c r="BC37" s="24">
        <v>1925284.956195323</v>
      </c>
      <c r="BD37" s="24">
        <v>11993.08488263136</v>
      </c>
      <c r="BE37" s="24">
        <v>16185.233739252988</v>
      </c>
      <c r="BF37" s="24">
        <v>297030.26267155522</v>
      </c>
      <c r="BG37" s="24">
        <v>4766948.1852596467</v>
      </c>
      <c r="BH37" s="24">
        <v>1583872.7636384452</v>
      </c>
      <c r="BI37" s="24">
        <v>10435606.088944718</v>
      </c>
      <c r="BJ37" s="24">
        <v>4939.8990351979683</v>
      </c>
      <c r="BK37" s="24">
        <v>371.9771225264073</v>
      </c>
      <c r="BL37" s="24">
        <v>2201.2831910273962</v>
      </c>
      <c r="BM37" s="24">
        <v>555623.64552236861</v>
      </c>
      <c r="BN37" s="24">
        <v>1456694.8173347453</v>
      </c>
      <c r="BO37" s="24">
        <v>211163.59034547221</v>
      </c>
      <c r="BP37" s="24">
        <v>233238.13744492849</v>
      </c>
      <c r="BQ37" s="24">
        <v>0</v>
      </c>
      <c r="BR37" s="25">
        <v>171246674.99577174</v>
      </c>
      <c r="BS37" s="26">
        <v>376782798.29030442</v>
      </c>
      <c r="BT37" s="26">
        <v>0</v>
      </c>
      <c r="BU37" s="26">
        <v>4907260.4704325404</v>
      </c>
      <c r="BV37" s="26">
        <v>0</v>
      </c>
      <c r="BW37" s="26">
        <v>0</v>
      </c>
      <c r="BX37" s="27">
        <v>371875537.8198719</v>
      </c>
      <c r="BY37" s="26">
        <v>26526774.549664065</v>
      </c>
      <c r="BZ37" s="26">
        <v>5251551.8927129041</v>
      </c>
      <c r="CA37" s="27">
        <v>31778326.442376971</v>
      </c>
      <c r="CB37" s="26">
        <v>0</v>
      </c>
      <c r="CC37" s="26">
        <v>0</v>
      </c>
      <c r="CD37" s="26">
        <v>0</v>
      </c>
      <c r="CE37" s="27">
        <v>0</v>
      </c>
      <c r="CF37" s="25">
        <v>403653864.26224887</v>
      </c>
      <c r="CG37" s="26">
        <v>0</v>
      </c>
      <c r="CH37" s="25">
        <v>574900539.25802064</v>
      </c>
      <c r="CI37" s="39" t="s">
        <v>136</v>
      </c>
      <c r="CJ37" s="22" t="s">
        <v>11</v>
      </c>
      <c r="CK37" s="2"/>
      <c r="CL37" s="2"/>
      <c r="CM37" s="30"/>
    </row>
    <row r="38" spans="1:91" s="41" customFormat="1" ht="32" customHeight="1" x14ac:dyDescent="0.2">
      <c r="A38" s="22" t="s">
        <v>12</v>
      </c>
      <c r="B38" s="40" t="s">
        <v>57</v>
      </c>
      <c r="C38" s="24">
        <v>5347983.9243050441</v>
      </c>
      <c r="D38" s="24">
        <v>8354.0613967547615</v>
      </c>
      <c r="E38" s="24">
        <v>94437.871809289078</v>
      </c>
      <c r="F38" s="24">
        <v>135374.91817480308</v>
      </c>
      <c r="G38" s="452">
        <v>4015054.3295069924</v>
      </c>
      <c r="H38" s="24">
        <v>278459.89935947477</v>
      </c>
      <c r="I38" s="24">
        <v>55387.106086216911</v>
      </c>
      <c r="J38" s="24">
        <v>222179.68891150062</v>
      </c>
      <c r="K38" s="24">
        <v>50333.391334321954</v>
      </c>
      <c r="L38" s="24">
        <v>28701.760454228879</v>
      </c>
      <c r="M38" s="24">
        <v>4727.1525071386659</v>
      </c>
      <c r="N38" s="24">
        <v>97882.387199804711</v>
      </c>
      <c r="O38" s="24">
        <v>14319.931313611876</v>
      </c>
      <c r="P38" s="64">
        <v>167431.2282004701</v>
      </c>
      <c r="Q38" s="24">
        <v>193807.52326862019</v>
      </c>
      <c r="R38" s="24">
        <v>148893.32420884111</v>
      </c>
      <c r="S38" s="24">
        <v>82409.903586673405</v>
      </c>
      <c r="T38" s="24">
        <v>274942.73881332733</v>
      </c>
      <c r="U38" s="24">
        <v>366596.18461189809</v>
      </c>
      <c r="V38" s="24">
        <v>45062.104540171567</v>
      </c>
      <c r="W38" s="24">
        <v>62778.684944466455</v>
      </c>
      <c r="X38" s="24">
        <v>219455.58636415619</v>
      </c>
      <c r="Y38" s="24">
        <v>37770.747307610458</v>
      </c>
      <c r="Z38" s="24">
        <v>199316.75803569224</v>
      </c>
      <c r="AA38" s="24">
        <v>6831.8377374730344</v>
      </c>
      <c r="AB38" s="24">
        <v>101872.39629757449</v>
      </c>
      <c r="AC38" s="24">
        <v>5440.3265006873125</v>
      </c>
      <c r="AD38" s="24">
        <v>267.51796471687948</v>
      </c>
      <c r="AE38" s="24">
        <v>471403.83934018342</v>
      </c>
      <c r="AF38" s="24">
        <v>71560.215640080976</v>
      </c>
      <c r="AG38" s="24">
        <v>2532534.8352313256</v>
      </c>
      <c r="AH38" s="24">
        <v>2722924.0501779132</v>
      </c>
      <c r="AI38" s="24">
        <v>1240535.1028197615</v>
      </c>
      <c r="AJ38" s="24">
        <v>13655.379143241196</v>
      </c>
      <c r="AK38" s="24">
        <v>299273.64970387513</v>
      </c>
      <c r="AL38" s="24">
        <v>53206.001469309034</v>
      </c>
      <c r="AM38" s="24">
        <v>12556.370641802065</v>
      </c>
      <c r="AN38" s="24">
        <v>18907.670775899784</v>
      </c>
      <c r="AO38" s="24">
        <v>1123925.5174185766</v>
      </c>
      <c r="AP38" s="24">
        <v>498726.0198675461</v>
      </c>
      <c r="AQ38" s="24">
        <v>38852.200517546531</v>
      </c>
      <c r="AR38" s="24">
        <v>38852.200517546531</v>
      </c>
      <c r="AS38" s="24">
        <v>493021.67239345692</v>
      </c>
      <c r="AT38" s="24">
        <v>25715.903914579627</v>
      </c>
      <c r="AU38" s="24">
        <v>9264.9377141381028</v>
      </c>
      <c r="AV38" s="24">
        <v>62531.220602914356</v>
      </c>
      <c r="AW38" s="24">
        <v>606.0956315686592</v>
      </c>
      <c r="AX38" s="24">
        <v>24577.084704076089</v>
      </c>
      <c r="AY38" s="24">
        <v>20438.760395764704</v>
      </c>
      <c r="AZ38" s="24">
        <v>362.38848892179078</v>
      </c>
      <c r="BA38" s="24">
        <v>13283.458857607233</v>
      </c>
      <c r="BB38" s="24">
        <v>1897.3393777023373</v>
      </c>
      <c r="BC38" s="24">
        <v>1963048.0119134118</v>
      </c>
      <c r="BD38" s="24">
        <v>1452.2500148964864</v>
      </c>
      <c r="BE38" s="24">
        <v>2288.0790255409734</v>
      </c>
      <c r="BF38" s="24">
        <v>31647.789698544217</v>
      </c>
      <c r="BG38" s="24">
        <v>1578384.6193737881</v>
      </c>
      <c r="BH38" s="24">
        <v>1779687.2771057186</v>
      </c>
      <c r="BI38" s="24">
        <v>1221973.4868908478</v>
      </c>
      <c r="BJ38" s="24">
        <v>2098.3654475211856</v>
      </c>
      <c r="BK38" s="24">
        <v>50.324073938231805</v>
      </c>
      <c r="BL38" s="24">
        <v>227.54211715525005</v>
      </c>
      <c r="BM38" s="24">
        <v>518631.90292680182</v>
      </c>
      <c r="BN38" s="24">
        <v>104351.17899230562</v>
      </c>
      <c r="BO38" s="24">
        <v>15015.973081628006</v>
      </c>
      <c r="BP38" s="24">
        <v>74932.173687353119</v>
      </c>
      <c r="BQ38" s="24">
        <v>0</v>
      </c>
      <c r="BR38" s="25">
        <v>29348474.174436349</v>
      </c>
      <c r="BS38" s="26">
        <v>150286426.47552559</v>
      </c>
      <c r="BT38" s="26">
        <v>5482892.9611619236</v>
      </c>
      <c r="BU38" s="26">
        <v>4931942.345057888</v>
      </c>
      <c r="BV38" s="26">
        <v>0</v>
      </c>
      <c r="BW38" s="26">
        <v>0</v>
      </c>
      <c r="BX38" s="27">
        <v>150837377.09162962</v>
      </c>
      <c r="BY38" s="26">
        <v>1744808.1100463897</v>
      </c>
      <c r="BZ38" s="26">
        <v>748556.34368663782</v>
      </c>
      <c r="CA38" s="27">
        <v>2493364.4537330274</v>
      </c>
      <c r="CB38" s="26">
        <v>0</v>
      </c>
      <c r="CC38" s="26">
        <v>44772242.01846198</v>
      </c>
      <c r="CD38" s="26">
        <v>4448706.015213008</v>
      </c>
      <c r="CE38" s="27">
        <v>49220948.033674985</v>
      </c>
      <c r="CF38" s="25">
        <v>202551689.57903764</v>
      </c>
      <c r="CG38" s="26">
        <v>14257171.561163789</v>
      </c>
      <c r="CH38" s="25">
        <v>217642992.19231021</v>
      </c>
      <c r="CI38" s="39" t="s">
        <v>137</v>
      </c>
      <c r="CJ38" s="22" t="s">
        <v>12</v>
      </c>
      <c r="CK38" s="2"/>
      <c r="CL38" s="2"/>
      <c r="CM38" s="30"/>
    </row>
    <row r="39" spans="1:91" s="41" customFormat="1" ht="32" customHeight="1" x14ac:dyDescent="0.2">
      <c r="A39" s="22">
        <v>52</v>
      </c>
      <c r="B39" s="40" t="s">
        <v>58</v>
      </c>
      <c r="C39" s="24">
        <v>465485.63483092404</v>
      </c>
      <c r="D39" s="24">
        <v>3.8784828535661724E-2</v>
      </c>
      <c r="E39" s="24">
        <v>6981.4543743995173</v>
      </c>
      <c r="F39" s="24">
        <v>347687.75855863851</v>
      </c>
      <c r="G39" s="452">
        <v>18.640417676579148</v>
      </c>
      <c r="H39" s="24">
        <v>386609.54385097418</v>
      </c>
      <c r="I39" s="24">
        <v>118467.06749927042</v>
      </c>
      <c r="J39" s="24">
        <v>406752.7095464624</v>
      </c>
      <c r="K39" s="24">
        <v>93618.204243144733</v>
      </c>
      <c r="L39" s="24">
        <v>44686.829752992744</v>
      </c>
      <c r="M39" s="24">
        <v>9778.2320850563628</v>
      </c>
      <c r="N39" s="24">
        <v>196935.7328170604</v>
      </c>
      <c r="O39" s="24">
        <v>21759.475788758387</v>
      </c>
      <c r="P39" s="64">
        <v>977396.75632480346</v>
      </c>
      <c r="Q39" s="24">
        <v>368345.45618128486</v>
      </c>
      <c r="R39" s="24">
        <v>231895.65637200073</v>
      </c>
      <c r="S39" s="24">
        <v>102742.32365710927</v>
      </c>
      <c r="T39" s="24">
        <v>489036.27506403776</v>
      </c>
      <c r="U39" s="24">
        <v>420144.89004176029</v>
      </c>
      <c r="V39" s="24">
        <v>91658.858164184829</v>
      </c>
      <c r="W39" s="24">
        <v>22912.126409988854</v>
      </c>
      <c r="X39" s="24">
        <v>91891.417714179581</v>
      </c>
      <c r="Y39" s="24">
        <v>34975.106133954949</v>
      </c>
      <c r="Z39" s="24">
        <v>65285.104177395631</v>
      </c>
      <c r="AA39" s="24">
        <v>1297.4367010179108</v>
      </c>
      <c r="AB39" s="24">
        <v>69933.576032178273</v>
      </c>
      <c r="AC39" s="24">
        <v>5484.6307835556299</v>
      </c>
      <c r="AD39" s="24">
        <v>103.05986885097484</v>
      </c>
      <c r="AE39" s="24">
        <v>22826.992579523823</v>
      </c>
      <c r="AF39" s="24">
        <v>31589.970653061275</v>
      </c>
      <c r="AG39" s="24">
        <v>11.75762598335626</v>
      </c>
      <c r="AH39" s="24">
        <v>648702.92624727252</v>
      </c>
      <c r="AI39" s="24">
        <v>1194631.3404973312</v>
      </c>
      <c r="AJ39" s="24">
        <v>49315.955858133355</v>
      </c>
      <c r="AK39" s="24">
        <v>633287.00090558711</v>
      </c>
      <c r="AL39" s="24">
        <v>0.2470158580420467</v>
      </c>
      <c r="AM39" s="24">
        <v>5.8294601780361548E-2</v>
      </c>
      <c r="AN39" s="24">
        <v>8.7781347804899615E-2</v>
      </c>
      <c r="AO39" s="24">
        <v>5.2179720030388976</v>
      </c>
      <c r="AP39" s="24">
        <v>1.1387111142668984</v>
      </c>
      <c r="AQ39" s="24">
        <v>0.12252679650702902</v>
      </c>
      <c r="AR39" s="24">
        <v>0.12252679650702902</v>
      </c>
      <c r="AS39" s="24">
        <v>14818.594128075178</v>
      </c>
      <c r="AT39" s="24">
        <v>22133.553023281172</v>
      </c>
      <c r="AU39" s="24">
        <v>13543.595297269947</v>
      </c>
      <c r="AV39" s="24">
        <v>93094.374952940052</v>
      </c>
      <c r="AW39" s="24">
        <v>191.29363703514181</v>
      </c>
      <c r="AX39" s="24">
        <v>39095.974088632975</v>
      </c>
      <c r="AY39" s="24">
        <v>32201.326829894089</v>
      </c>
      <c r="AZ39" s="24">
        <v>405.82113651019404</v>
      </c>
      <c r="BA39" s="24">
        <v>12371.557225197515</v>
      </c>
      <c r="BB39" s="24">
        <v>1509.9319626678491</v>
      </c>
      <c r="BC39" s="24">
        <v>213198.93040247212</v>
      </c>
      <c r="BD39" s="24">
        <v>6.7422616549780989E-3</v>
      </c>
      <c r="BE39" s="24">
        <v>3274.5756560639466</v>
      </c>
      <c r="BF39" s="24">
        <v>53337.272306325838</v>
      </c>
      <c r="BG39" s="24">
        <v>6.9268803737295324</v>
      </c>
      <c r="BH39" s="24">
        <v>12300.013173035633</v>
      </c>
      <c r="BI39" s="24">
        <v>1073596.0899575399</v>
      </c>
      <c r="BJ39" s="24">
        <v>2128.1883363996935</v>
      </c>
      <c r="BK39" s="24">
        <v>23.455810578493548</v>
      </c>
      <c r="BL39" s="24">
        <v>234.92526526578044</v>
      </c>
      <c r="BM39" s="24">
        <v>37014.675264928926</v>
      </c>
      <c r="BN39" s="24">
        <v>97077.138238106971</v>
      </c>
      <c r="BO39" s="24">
        <v>13897.350571272887</v>
      </c>
      <c r="BP39" s="24">
        <v>54473.805481646952</v>
      </c>
      <c r="BQ39" s="24">
        <v>0</v>
      </c>
      <c r="BR39" s="25">
        <v>9442186.3117396776</v>
      </c>
      <c r="BS39" s="26">
        <v>25219496.092895105</v>
      </c>
      <c r="BT39" s="26">
        <v>900481.72899057064</v>
      </c>
      <c r="BU39" s="26">
        <v>555745.05775306688</v>
      </c>
      <c r="BV39" s="26">
        <v>0</v>
      </c>
      <c r="BW39" s="26">
        <v>0</v>
      </c>
      <c r="BX39" s="27">
        <v>25564232.764132608</v>
      </c>
      <c r="BY39" s="26">
        <v>8.1005010810752811</v>
      </c>
      <c r="BZ39" s="26">
        <v>3.4752712555411907</v>
      </c>
      <c r="CA39" s="27">
        <v>11.575772336616472</v>
      </c>
      <c r="CB39" s="26">
        <v>0</v>
      </c>
      <c r="CC39" s="26">
        <v>46418428.927696735</v>
      </c>
      <c r="CD39" s="26">
        <v>510368.72345934995</v>
      </c>
      <c r="CE39" s="27">
        <v>46928797.651156083</v>
      </c>
      <c r="CF39" s="25">
        <v>72493041.991061032</v>
      </c>
      <c r="CG39" s="26">
        <v>900481.72898871358</v>
      </c>
      <c r="CH39" s="25">
        <v>81034746.573812008</v>
      </c>
      <c r="CI39" s="39" t="s">
        <v>138</v>
      </c>
      <c r="CJ39" s="22">
        <v>52</v>
      </c>
      <c r="CK39" s="2"/>
      <c r="CL39" s="2"/>
      <c r="CM39" s="30"/>
    </row>
    <row r="40" spans="1:91" s="41" customFormat="1" ht="32" customHeight="1" x14ac:dyDescent="0.2">
      <c r="A40" s="22" t="s">
        <v>13</v>
      </c>
      <c r="B40" s="40" t="s">
        <v>59</v>
      </c>
      <c r="C40" s="24">
        <v>263.77673682357448</v>
      </c>
      <c r="D40" s="24">
        <v>0</v>
      </c>
      <c r="E40" s="24">
        <v>113594.11128557796</v>
      </c>
      <c r="F40" s="24">
        <v>218782.31583396348</v>
      </c>
      <c r="G40" s="452">
        <v>2.4898633486584849</v>
      </c>
      <c r="H40" s="24">
        <v>18738.265378621065</v>
      </c>
      <c r="I40" s="24">
        <v>9716.5768490974697</v>
      </c>
      <c r="J40" s="24">
        <v>422.46706829992888</v>
      </c>
      <c r="K40" s="24">
        <v>211.34000091356174</v>
      </c>
      <c r="L40" s="24">
        <v>478.26519792684547</v>
      </c>
      <c r="M40" s="24">
        <v>170.96033911750206</v>
      </c>
      <c r="N40" s="24">
        <v>3522.4467760906505</v>
      </c>
      <c r="O40" s="24">
        <v>674.99446320948209</v>
      </c>
      <c r="P40" s="64">
        <v>110281.81760344471</v>
      </c>
      <c r="Q40" s="24">
        <v>12274.67672807121</v>
      </c>
      <c r="R40" s="24">
        <v>10697.70734315982</v>
      </c>
      <c r="S40" s="24">
        <v>1211.6365052093679</v>
      </c>
      <c r="T40" s="24">
        <v>23334.626082405794</v>
      </c>
      <c r="U40" s="24">
        <v>564.29694181406478</v>
      </c>
      <c r="V40" s="24">
        <v>2125.5935845936783</v>
      </c>
      <c r="W40" s="24">
        <v>1706.3185142397533</v>
      </c>
      <c r="X40" s="24">
        <v>6703.1961247582349</v>
      </c>
      <c r="Y40" s="24">
        <v>1486.1959780267971</v>
      </c>
      <c r="Z40" s="24">
        <v>3318.2691739632323</v>
      </c>
      <c r="AA40" s="24">
        <v>1069.6592847711897</v>
      </c>
      <c r="AB40" s="24">
        <v>974.8158528231105</v>
      </c>
      <c r="AC40" s="24">
        <v>155.07011641853643</v>
      </c>
      <c r="AD40" s="24">
        <v>23.740536718632658</v>
      </c>
      <c r="AE40" s="24">
        <v>239.5924431322081</v>
      </c>
      <c r="AF40" s="24">
        <v>6468.6673071606965</v>
      </c>
      <c r="AG40" s="24">
        <v>25.82530550019241</v>
      </c>
      <c r="AH40" s="24">
        <v>225124.29666759199</v>
      </c>
      <c r="AI40" s="24">
        <v>96008.669300927591</v>
      </c>
      <c r="AJ40" s="24">
        <v>4531.8655070148898</v>
      </c>
      <c r="AK40" s="24">
        <v>6760.8326350625066</v>
      </c>
      <c r="AL40" s="24">
        <v>115.93529550375537</v>
      </c>
      <c r="AM40" s="24">
        <v>27.360194350475911</v>
      </c>
      <c r="AN40" s="24">
        <v>33.71582220283571</v>
      </c>
      <c r="AO40" s="24">
        <v>2481.1355308670682</v>
      </c>
      <c r="AP40" s="24">
        <v>437.43373102576618</v>
      </c>
      <c r="AQ40" s="24">
        <v>19.074332069223946</v>
      </c>
      <c r="AR40" s="24">
        <v>19.074332069223946</v>
      </c>
      <c r="AS40" s="24">
        <v>517.28398688185553</v>
      </c>
      <c r="AT40" s="24">
        <v>3920.4226352647929</v>
      </c>
      <c r="AU40" s="24">
        <v>2389.9938301533111</v>
      </c>
      <c r="AV40" s="24">
        <v>16172.610026197106</v>
      </c>
      <c r="AW40" s="24">
        <v>32.119798042368792</v>
      </c>
      <c r="AX40" s="24">
        <v>6824.726891577161</v>
      </c>
      <c r="AY40" s="24">
        <v>5553.7378660469758</v>
      </c>
      <c r="AZ40" s="24">
        <v>70.37580550296245</v>
      </c>
      <c r="BA40" s="24">
        <v>1238.6137540915352</v>
      </c>
      <c r="BB40" s="24">
        <v>226.99442809245687</v>
      </c>
      <c r="BC40" s="24">
        <v>3383581.3286674824</v>
      </c>
      <c r="BD40" s="24">
        <v>85.517247021939099</v>
      </c>
      <c r="BE40" s="24">
        <v>502.93265989063934</v>
      </c>
      <c r="BF40" s="24">
        <v>8281.2796678629857</v>
      </c>
      <c r="BG40" s="24">
        <v>335.65704335685979</v>
      </c>
      <c r="BH40" s="24">
        <v>5579.2388144308115</v>
      </c>
      <c r="BI40" s="24">
        <v>43923.432172303605</v>
      </c>
      <c r="BJ40" s="24">
        <v>408.68529421631717</v>
      </c>
      <c r="BK40" s="24">
        <v>3.5335127759063695E-2</v>
      </c>
      <c r="BL40" s="24">
        <v>44.158074381237299</v>
      </c>
      <c r="BM40" s="24">
        <v>8096.1677490423544</v>
      </c>
      <c r="BN40" s="24">
        <v>15321.89917639709</v>
      </c>
      <c r="BO40" s="24">
        <v>2589.9330876132221</v>
      </c>
      <c r="BP40" s="24">
        <v>5972.2092795952231</v>
      </c>
      <c r="BQ40" s="24">
        <v>0</v>
      </c>
      <c r="BR40" s="25">
        <v>4396468.4618584607</v>
      </c>
      <c r="BS40" s="26">
        <v>84786704.449327409</v>
      </c>
      <c r="BT40" s="26">
        <v>18216342.000000004</v>
      </c>
      <c r="BU40" s="26">
        <v>0</v>
      </c>
      <c r="BV40" s="26">
        <v>460669.83871100395</v>
      </c>
      <c r="BW40" s="26">
        <v>0</v>
      </c>
      <c r="BX40" s="27">
        <v>103463716.28803842</v>
      </c>
      <c r="BY40" s="26">
        <v>0</v>
      </c>
      <c r="BZ40" s="26">
        <v>0</v>
      </c>
      <c r="CA40" s="27">
        <v>0</v>
      </c>
      <c r="CB40" s="26">
        <v>0</v>
      </c>
      <c r="CC40" s="26">
        <v>46522859.29020372</v>
      </c>
      <c r="CD40" s="26">
        <v>0</v>
      </c>
      <c r="CE40" s="27">
        <v>46522859.29020372</v>
      </c>
      <c r="CF40" s="25">
        <v>149986575.57824212</v>
      </c>
      <c r="CG40" s="26">
        <v>52672031.978317432</v>
      </c>
      <c r="CH40" s="25">
        <v>101711012.06178313</v>
      </c>
      <c r="CI40" s="39" t="s">
        <v>139</v>
      </c>
      <c r="CJ40" s="22" t="s">
        <v>13</v>
      </c>
      <c r="CK40" s="2"/>
      <c r="CL40" s="2"/>
      <c r="CM40" s="30"/>
    </row>
    <row r="41" spans="1:91" ht="32" customHeight="1" x14ac:dyDescent="0.2">
      <c r="A41" s="35">
        <v>58</v>
      </c>
      <c r="B41" s="40" t="s">
        <v>60</v>
      </c>
      <c r="C41" s="24">
        <v>1.3348548241917748</v>
      </c>
      <c r="D41" s="24">
        <v>0</v>
      </c>
      <c r="E41" s="24">
        <v>205.89924858444573</v>
      </c>
      <c r="F41" s="24">
        <v>6453.6018371971741</v>
      </c>
      <c r="G41" s="452">
        <v>7616.4089063321871</v>
      </c>
      <c r="H41" s="24">
        <v>1789.0225144672245</v>
      </c>
      <c r="I41" s="24">
        <v>38.922679817403164</v>
      </c>
      <c r="J41" s="24">
        <v>44.256150114393535</v>
      </c>
      <c r="K41" s="24">
        <v>51.854664858408185</v>
      </c>
      <c r="L41" s="24">
        <v>45.253397805869085</v>
      </c>
      <c r="M41" s="24">
        <v>4.2469260677159211</v>
      </c>
      <c r="N41" s="24">
        <v>404.3084331598422</v>
      </c>
      <c r="O41" s="24">
        <v>115.09361374691669</v>
      </c>
      <c r="P41" s="64">
        <v>247.7061153587513</v>
      </c>
      <c r="Q41" s="24">
        <v>129.40560940897066</v>
      </c>
      <c r="R41" s="24">
        <v>421.36279310038481</v>
      </c>
      <c r="S41" s="24">
        <v>106.61745954637929</v>
      </c>
      <c r="T41" s="24">
        <v>652.51034801326045</v>
      </c>
      <c r="U41" s="24">
        <v>118.73260994985225</v>
      </c>
      <c r="V41" s="24">
        <v>63.856479387850335</v>
      </c>
      <c r="W41" s="24">
        <v>26.470389651727135</v>
      </c>
      <c r="X41" s="24">
        <v>211.58260375438135</v>
      </c>
      <c r="Y41" s="24">
        <v>63.772032467494313</v>
      </c>
      <c r="Z41" s="24">
        <v>67.901077642892403</v>
      </c>
      <c r="AA41" s="24">
        <v>1.410480732977228</v>
      </c>
      <c r="AB41" s="24">
        <v>121.21541760347404</v>
      </c>
      <c r="AC41" s="24">
        <v>16.881961470873662</v>
      </c>
      <c r="AD41" s="24">
        <v>0.72707620405381579</v>
      </c>
      <c r="AE41" s="24">
        <v>41.526729586364027</v>
      </c>
      <c r="AF41" s="24">
        <v>220.8270863042566</v>
      </c>
      <c r="AG41" s="24">
        <v>12357.817128587007</v>
      </c>
      <c r="AH41" s="24">
        <v>39337.089762377436</v>
      </c>
      <c r="AI41" s="24">
        <v>8228.6045394623488</v>
      </c>
      <c r="AJ41" s="24">
        <v>284.21317530533173</v>
      </c>
      <c r="AK41" s="24">
        <v>3359.9961666398231</v>
      </c>
      <c r="AL41" s="24">
        <v>390.47674544299866</v>
      </c>
      <c r="AM41" s="24">
        <v>92.150708705578609</v>
      </c>
      <c r="AN41" s="24">
        <v>0</v>
      </c>
      <c r="AO41" s="24">
        <v>9018.390868450826</v>
      </c>
      <c r="AP41" s="24">
        <v>2236.95979297549</v>
      </c>
      <c r="AQ41" s="24">
        <v>124.9940486683882</v>
      </c>
      <c r="AR41" s="24">
        <v>124.9940486683882</v>
      </c>
      <c r="AS41" s="24">
        <v>14654.014294217615</v>
      </c>
      <c r="AT41" s="24">
        <v>1894.0958862012951</v>
      </c>
      <c r="AU41" s="24">
        <v>651.59704789444424</v>
      </c>
      <c r="AV41" s="24">
        <v>441.50931115167026</v>
      </c>
      <c r="AW41" s="24">
        <v>37.774863670689761</v>
      </c>
      <c r="AX41" s="24">
        <v>594.80419892310988</v>
      </c>
      <c r="AY41" s="24">
        <v>397.57276003757744</v>
      </c>
      <c r="AZ41" s="24">
        <v>29.88954844049584</v>
      </c>
      <c r="BA41" s="24">
        <v>2226.714164227611</v>
      </c>
      <c r="BB41" s="24">
        <v>356.98080222903889</v>
      </c>
      <c r="BC41" s="24">
        <v>4278.5273211847498</v>
      </c>
      <c r="BD41" s="24">
        <v>143.9255540454937</v>
      </c>
      <c r="BE41" s="24">
        <v>81.177906236890962</v>
      </c>
      <c r="BF41" s="24">
        <v>189.53435826998262</v>
      </c>
      <c r="BG41" s="24">
        <v>3546.4139337881406</v>
      </c>
      <c r="BH41" s="24">
        <v>1758.6224908533095</v>
      </c>
      <c r="BI41" s="24">
        <v>11473.550359823685</v>
      </c>
      <c r="BJ41" s="24">
        <v>43.999187295622868</v>
      </c>
      <c r="BK41" s="24">
        <v>4.1396917616717017</v>
      </c>
      <c r="BL41" s="24">
        <v>22.84444761257236</v>
      </c>
      <c r="BM41" s="24">
        <v>523.56714839825543</v>
      </c>
      <c r="BN41" s="24">
        <v>6387.3467002722382</v>
      </c>
      <c r="BO41" s="24">
        <v>1092.6633372783449</v>
      </c>
      <c r="BP41" s="24">
        <v>2004.4737652987806</v>
      </c>
      <c r="BQ41" s="24">
        <v>0</v>
      </c>
      <c r="BR41" s="25">
        <v>147674.13556155664</v>
      </c>
      <c r="BS41" s="26">
        <v>2352565.8893265082</v>
      </c>
      <c r="BT41" s="26">
        <v>0</v>
      </c>
      <c r="BU41" s="26">
        <v>0</v>
      </c>
      <c r="BV41" s="26">
        <v>0</v>
      </c>
      <c r="BW41" s="26">
        <v>0</v>
      </c>
      <c r="BX41" s="27">
        <v>2352565.8893265082</v>
      </c>
      <c r="BY41" s="26">
        <v>0</v>
      </c>
      <c r="BZ41" s="26">
        <v>0</v>
      </c>
      <c r="CA41" s="27">
        <v>0</v>
      </c>
      <c r="CB41" s="26">
        <v>0</v>
      </c>
      <c r="CC41" s="26">
        <v>302036.22328704305</v>
      </c>
      <c r="CD41" s="26">
        <v>0</v>
      </c>
      <c r="CE41" s="27">
        <v>302036.22328704305</v>
      </c>
      <c r="CF41" s="25">
        <v>2654602.1126135513</v>
      </c>
      <c r="CG41" s="26">
        <v>176871.91434534299</v>
      </c>
      <c r="CH41" s="25">
        <v>2625404.3338297647</v>
      </c>
      <c r="CI41" s="39" t="s">
        <v>140</v>
      </c>
      <c r="CJ41" s="35">
        <v>58</v>
      </c>
      <c r="CM41" s="30"/>
    </row>
    <row r="42" spans="1:91" ht="32" customHeight="1" x14ac:dyDescent="0.2">
      <c r="A42" s="43">
        <v>59</v>
      </c>
      <c r="B42" s="36" t="s">
        <v>61</v>
      </c>
      <c r="C42" s="24">
        <v>0.3436670795417518</v>
      </c>
      <c r="D42" s="24">
        <v>0</v>
      </c>
      <c r="E42" s="24">
        <v>0</v>
      </c>
      <c r="F42" s="24">
        <v>0</v>
      </c>
      <c r="G42" s="452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64">
        <v>0</v>
      </c>
      <c r="Q42" s="24">
        <v>24.030539085014873</v>
      </c>
      <c r="R42" s="24">
        <v>20.943474202940212</v>
      </c>
      <c r="S42" s="24">
        <v>1.4734035771294707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286.2261263181735</v>
      </c>
      <c r="AG42" s="24">
        <v>0</v>
      </c>
      <c r="AH42" s="24">
        <v>6.5168953985752454E-2</v>
      </c>
      <c r="AI42" s="24">
        <v>12936.041064977617</v>
      </c>
      <c r="AJ42" s="24">
        <v>1.9270215283840675</v>
      </c>
      <c r="AK42" s="24">
        <v>0.21076458985459642</v>
      </c>
      <c r="AL42" s="24">
        <v>0</v>
      </c>
      <c r="AM42" s="24">
        <v>0</v>
      </c>
      <c r="AN42" s="24">
        <v>53356.692850359366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6.9067085224981355</v>
      </c>
      <c r="AU42" s="24">
        <v>4.210513072482299</v>
      </c>
      <c r="AV42" s="24">
        <v>28.491699464802739</v>
      </c>
      <c r="AW42" s="24">
        <v>5.6586267226559774E-2</v>
      </c>
      <c r="AX42" s="24">
        <v>146.46739602849664</v>
      </c>
      <c r="AY42" s="24">
        <v>9.784161612095323</v>
      </c>
      <c r="AZ42" s="24">
        <v>0.12398285105099491</v>
      </c>
      <c r="BA42" s="24">
        <v>8.9724863284880048</v>
      </c>
      <c r="BB42" s="24">
        <v>1.6443418264770864</v>
      </c>
      <c r="BC42" s="24">
        <v>365.62934373129923</v>
      </c>
      <c r="BD42" s="24">
        <v>0</v>
      </c>
      <c r="BE42" s="24">
        <v>3.6432313141303743</v>
      </c>
      <c r="BF42" s="24">
        <v>59.985170328305024</v>
      </c>
      <c r="BG42" s="24">
        <v>3161.7357356902153</v>
      </c>
      <c r="BH42" s="24">
        <v>12430.692183809751</v>
      </c>
      <c r="BI42" s="24">
        <v>353.88145282263457</v>
      </c>
      <c r="BJ42" s="24">
        <v>1.1624614453949076</v>
      </c>
      <c r="BK42" s="24">
        <v>1.0643279362312954E-2</v>
      </c>
      <c r="BL42" s="24">
        <v>0.12560290203126051</v>
      </c>
      <c r="BM42" s="24">
        <v>7171.3102853864675</v>
      </c>
      <c r="BN42" s="24">
        <v>458.10226937097332</v>
      </c>
      <c r="BO42" s="24">
        <v>93.120903581266134</v>
      </c>
      <c r="BP42" s="24">
        <v>1640.5565271180035</v>
      </c>
      <c r="BQ42" s="24">
        <v>0</v>
      </c>
      <c r="BR42" s="25">
        <v>92574.567767425469</v>
      </c>
      <c r="BS42" s="26">
        <v>1893801.3885964837</v>
      </c>
      <c r="BT42" s="26">
        <v>171513.96300758873</v>
      </c>
      <c r="BU42" s="26">
        <v>416026.14111815335</v>
      </c>
      <c r="BV42" s="26">
        <v>1827148.6873678302</v>
      </c>
      <c r="BW42" s="26">
        <v>0</v>
      </c>
      <c r="BX42" s="27">
        <v>3476437.8978537489</v>
      </c>
      <c r="BY42" s="26">
        <v>0</v>
      </c>
      <c r="BZ42" s="26">
        <v>0</v>
      </c>
      <c r="CA42" s="27">
        <v>0</v>
      </c>
      <c r="CB42" s="26">
        <v>0</v>
      </c>
      <c r="CC42" s="26">
        <v>217835.25228701046</v>
      </c>
      <c r="CD42" s="26">
        <v>416026.14111815335</v>
      </c>
      <c r="CE42" s="27">
        <v>633861.39340516378</v>
      </c>
      <c r="CF42" s="25">
        <v>4110299.2912589125</v>
      </c>
      <c r="CG42" s="26">
        <v>250984.09502633815</v>
      </c>
      <c r="CH42" s="25">
        <v>3951889.764</v>
      </c>
      <c r="CI42" s="37" t="s">
        <v>141</v>
      </c>
      <c r="CJ42" s="43">
        <v>59</v>
      </c>
      <c r="CM42" s="30"/>
    </row>
    <row r="43" spans="1:91" ht="32" customHeight="1" x14ac:dyDescent="0.2">
      <c r="A43" s="43">
        <v>60</v>
      </c>
      <c r="B43" s="36" t="s">
        <v>62</v>
      </c>
      <c r="C43" s="24">
        <v>2.0092901684421252</v>
      </c>
      <c r="D43" s="24">
        <v>0</v>
      </c>
      <c r="E43" s="24">
        <v>309.929835344335</v>
      </c>
      <c r="F43" s="24">
        <v>9714.283896281866</v>
      </c>
      <c r="G43" s="452">
        <v>11464.599188600365</v>
      </c>
      <c r="H43" s="24">
        <v>2692.9260652873581</v>
      </c>
      <c r="I43" s="24">
        <v>58.588362171805088</v>
      </c>
      <c r="J43" s="24">
        <v>66.616568113907789</v>
      </c>
      <c r="K43" s="24">
        <v>78.054232115425989</v>
      </c>
      <c r="L43" s="24">
        <v>68.117675159909339</v>
      </c>
      <c r="M43" s="24">
        <v>6.3926852863036281</v>
      </c>
      <c r="N43" s="24">
        <v>608.58525215143527</v>
      </c>
      <c r="O43" s="24">
        <v>173.24465729235826</v>
      </c>
      <c r="P43" s="64">
        <v>372.8596198127272</v>
      </c>
      <c r="Q43" s="24">
        <v>194.78778816575723</v>
      </c>
      <c r="R43" s="24">
        <v>634.256326740654</v>
      </c>
      <c r="S43" s="24">
        <v>160.48592653551273</v>
      </c>
      <c r="T43" s="24">
        <v>982.19117413283163</v>
      </c>
      <c r="U43" s="24">
        <v>178.72225617505606</v>
      </c>
      <c r="V43" s="24">
        <v>96.119962935311321</v>
      </c>
      <c r="W43" s="24">
        <v>39.844552919266619</v>
      </c>
      <c r="X43" s="24">
        <v>318.48470547684593</v>
      </c>
      <c r="Y43" s="24">
        <v>95.992849211967439</v>
      </c>
      <c r="Z43" s="24">
        <v>102.20809429002608</v>
      </c>
      <c r="AA43" s="24">
        <v>2.1231260644873129</v>
      </c>
      <c r="AB43" s="24">
        <v>182.45950229212025</v>
      </c>
      <c r="AC43" s="24">
        <v>25.411571799939729</v>
      </c>
      <c r="AD43" s="24">
        <v>1.0944314258279733</v>
      </c>
      <c r="AE43" s="24">
        <v>62.508107977926812</v>
      </c>
      <c r="AF43" s="24">
        <v>332.3999624494877</v>
      </c>
      <c r="AG43" s="24">
        <v>18601.603717400394</v>
      </c>
      <c r="AH43" s="24">
        <v>59212.152724193904</v>
      </c>
      <c r="AI43" s="24">
        <v>12386.106639836811</v>
      </c>
      <c r="AJ43" s="24">
        <v>427.81187027472413</v>
      </c>
      <c r="AK43" s="24">
        <v>5057.6340896998545</v>
      </c>
      <c r="AL43" s="24">
        <v>587.76510479253227</v>
      </c>
      <c r="AM43" s="24">
        <v>138.70985043575959</v>
      </c>
      <c r="AN43" s="24">
        <v>0</v>
      </c>
      <c r="AO43" s="24">
        <v>13574.932478607245</v>
      </c>
      <c r="AP43" s="24">
        <v>3367.1836350798872</v>
      </c>
      <c r="AQ43" s="24">
        <v>188.14728654498765</v>
      </c>
      <c r="AR43" s="24">
        <v>188.14728654498765</v>
      </c>
      <c r="AS43" s="24">
        <v>22057.954405198798</v>
      </c>
      <c r="AT43" s="24">
        <v>2851.0877537077922</v>
      </c>
      <c r="AU43" s="24">
        <v>980.81642916707449</v>
      </c>
      <c r="AV43" s="24">
        <v>664.58187219710442</v>
      </c>
      <c r="AW43" s="24">
        <v>56.860611964836494</v>
      </c>
      <c r="AX43" s="24">
        <v>895.3289956216222</v>
      </c>
      <c r="AY43" s="24">
        <v>598.44638046506975</v>
      </c>
      <c r="AZ43" s="24">
        <v>44.991241543458486</v>
      </c>
      <c r="BA43" s="24">
        <v>3351.7614028344547</v>
      </c>
      <c r="BB43" s="24">
        <v>537.34533766672837</v>
      </c>
      <c r="BC43" s="24">
        <v>6440.2530717695954</v>
      </c>
      <c r="BD43" s="24">
        <v>216.64393422430285</v>
      </c>
      <c r="BE43" s="24">
        <v>122.19303997740818</v>
      </c>
      <c r="BF43" s="24">
        <v>285.29658488101683</v>
      </c>
      <c r="BG43" s="24">
        <v>5338.2394259249677</v>
      </c>
      <c r="BH43" s="24">
        <v>2647.1664310104006</v>
      </c>
      <c r="BI43" s="24">
        <v>17270.561200599353</v>
      </c>
      <c r="BJ43" s="24">
        <v>66.229774841670348</v>
      </c>
      <c r="BK43" s="24">
        <v>6.2312708516029689</v>
      </c>
      <c r="BL43" s="24">
        <v>34.386603816055384</v>
      </c>
      <c r="BM43" s="24">
        <v>788.09942829015563</v>
      </c>
      <c r="BN43" s="24">
        <v>9614.5533541888963</v>
      </c>
      <c r="BO43" s="24">
        <v>1644.7314428667205</v>
      </c>
      <c r="BP43" s="24">
        <v>3017.2340516157724</v>
      </c>
      <c r="BQ43" s="24">
        <v>0</v>
      </c>
      <c r="BR43" s="25">
        <v>222286.48639501524</v>
      </c>
      <c r="BS43" s="26">
        <v>3541199.7067906954</v>
      </c>
      <c r="BT43" s="26">
        <v>0</v>
      </c>
      <c r="BU43" s="26">
        <v>0</v>
      </c>
      <c r="BV43" s="26">
        <v>0</v>
      </c>
      <c r="BW43" s="26">
        <v>0</v>
      </c>
      <c r="BX43" s="27">
        <v>3541199.7067906954</v>
      </c>
      <c r="BY43" s="26">
        <v>0</v>
      </c>
      <c r="BZ43" s="26">
        <v>0</v>
      </c>
      <c r="CA43" s="27">
        <v>0</v>
      </c>
      <c r="CB43" s="26">
        <v>0</v>
      </c>
      <c r="CC43" s="26">
        <v>454640.01250585256</v>
      </c>
      <c r="CD43" s="26">
        <v>0</v>
      </c>
      <c r="CE43" s="27">
        <v>454640.01250585256</v>
      </c>
      <c r="CF43" s="25">
        <v>3995839.719296548</v>
      </c>
      <c r="CG43" s="26">
        <v>266236.44169156323</v>
      </c>
      <c r="CH43" s="25">
        <v>3951889.7639999995</v>
      </c>
      <c r="CI43" s="37" t="s">
        <v>142</v>
      </c>
      <c r="CJ43" s="43">
        <v>60</v>
      </c>
      <c r="CM43" s="30"/>
    </row>
    <row r="44" spans="1:91" ht="32" customHeight="1" x14ac:dyDescent="0.2">
      <c r="A44" s="43" t="s">
        <v>14</v>
      </c>
      <c r="B44" s="36" t="s">
        <v>63</v>
      </c>
      <c r="C44" s="24">
        <v>143.1480820415785</v>
      </c>
      <c r="D44" s="24">
        <v>0</v>
      </c>
      <c r="E44" s="24">
        <v>8684.5821604017074</v>
      </c>
      <c r="F44" s="24">
        <v>241813.56649034302</v>
      </c>
      <c r="G44" s="452">
        <v>441577.88575740549</v>
      </c>
      <c r="H44" s="24">
        <v>118825.74350562895</v>
      </c>
      <c r="I44" s="24">
        <v>1730.8515281804093</v>
      </c>
      <c r="J44" s="24">
        <v>1930.6219432818946</v>
      </c>
      <c r="K44" s="24">
        <v>2155.7466473076406</v>
      </c>
      <c r="L44" s="24">
        <v>1728.3737863413974</v>
      </c>
      <c r="M44" s="24">
        <v>159.58463154466816</v>
      </c>
      <c r="N44" s="24">
        <v>16507.753281533071</v>
      </c>
      <c r="O44" s="24">
        <v>4566.5503170659586</v>
      </c>
      <c r="P44" s="64">
        <v>12159.570903035727</v>
      </c>
      <c r="Q44" s="24">
        <v>7042.8797347740156</v>
      </c>
      <c r="R44" s="24">
        <v>19540.668257200981</v>
      </c>
      <c r="S44" s="24">
        <v>4225.0323773147393</v>
      </c>
      <c r="T44" s="24">
        <v>32789.519801989074</v>
      </c>
      <c r="U44" s="24">
        <v>5206.9032612629962</v>
      </c>
      <c r="V44" s="24">
        <v>2668.2731104562549</v>
      </c>
      <c r="W44" s="24">
        <v>1006.2514137934138</v>
      </c>
      <c r="X44" s="24">
        <v>10398.970160994662</v>
      </c>
      <c r="Y44" s="24">
        <v>3643.1215597896648</v>
      </c>
      <c r="Z44" s="24">
        <v>3070.1371349797801</v>
      </c>
      <c r="AA44" s="24">
        <v>66.465239670406959</v>
      </c>
      <c r="AB44" s="24">
        <v>4887.4029395272073</v>
      </c>
      <c r="AC44" s="24">
        <v>692.11687934192889</v>
      </c>
      <c r="AD44" s="24">
        <v>27.835675727560862</v>
      </c>
      <c r="AE44" s="24">
        <v>2010.0714996500199</v>
      </c>
      <c r="AF44" s="24">
        <v>21695.836099374719</v>
      </c>
      <c r="AG44" s="24">
        <v>438297.20544413198</v>
      </c>
      <c r="AH44" s="24">
        <v>1948615.0531102777</v>
      </c>
      <c r="AI44" s="24">
        <v>337596.96970543312</v>
      </c>
      <c r="AJ44" s="24">
        <v>21400.459354090894</v>
      </c>
      <c r="AK44" s="24">
        <v>219917.82520881933</v>
      </c>
      <c r="AL44" s="24">
        <v>59273.711309674189</v>
      </c>
      <c r="AM44" s="24">
        <v>13988.322143485215</v>
      </c>
      <c r="AN44" s="24">
        <v>527.41658756456252</v>
      </c>
      <c r="AO44" s="24">
        <v>1272287.1789667862</v>
      </c>
      <c r="AP44" s="24">
        <v>80436.769378339217</v>
      </c>
      <c r="AQ44" s="24">
        <v>4554.8653122860087</v>
      </c>
      <c r="AR44" s="24">
        <v>4554.8653122860087</v>
      </c>
      <c r="AS44" s="24">
        <v>2637440.7092099381</v>
      </c>
      <c r="AT44" s="24">
        <v>78553.629189495841</v>
      </c>
      <c r="AU44" s="24">
        <v>28979.325495626119</v>
      </c>
      <c r="AV44" s="24">
        <v>27198.627661457896</v>
      </c>
      <c r="AW44" s="24">
        <v>1597.4130859877243</v>
      </c>
      <c r="AX44" s="24">
        <v>26338.046030794696</v>
      </c>
      <c r="AY44" s="24">
        <v>18107.798370100376</v>
      </c>
      <c r="AZ44" s="24">
        <v>1189.372718594266</v>
      </c>
      <c r="BA44" s="24">
        <v>84595.201812165818</v>
      </c>
      <c r="BB44" s="24">
        <v>14678.871658442726</v>
      </c>
      <c r="BC44" s="24">
        <v>184310.26655497259</v>
      </c>
      <c r="BD44" s="24">
        <v>6320.4133940503871</v>
      </c>
      <c r="BE44" s="24">
        <v>3505.3228932367115</v>
      </c>
      <c r="BF44" s="24">
        <v>16602.107015793186</v>
      </c>
      <c r="BG44" s="24">
        <v>203796.93753548255</v>
      </c>
      <c r="BH44" s="24">
        <v>72728.840888811421</v>
      </c>
      <c r="BI44" s="24">
        <v>496149.94480369223</v>
      </c>
      <c r="BJ44" s="24">
        <v>1843.9592988737893</v>
      </c>
      <c r="BK44" s="24">
        <v>172.67076919289931</v>
      </c>
      <c r="BL44" s="24">
        <v>1312.8190252099043</v>
      </c>
      <c r="BM44" s="24">
        <v>26493.529916802094</v>
      </c>
      <c r="BN44" s="24">
        <v>261512.96199461893</v>
      </c>
      <c r="BO44" s="24">
        <v>44715.796061910929</v>
      </c>
      <c r="BP44" s="24">
        <v>84140.176268309471</v>
      </c>
      <c r="BQ44" s="24">
        <v>0</v>
      </c>
      <c r="BR44" s="25">
        <v>9694690.8476666901</v>
      </c>
      <c r="BS44" s="26">
        <v>86289310.310876518</v>
      </c>
      <c r="BT44" s="26">
        <v>0</v>
      </c>
      <c r="BU44" s="26">
        <v>0</v>
      </c>
      <c r="BV44" s="26">
        <v>0</v>
      </c>
      <c r="BW44" s="26">
        <v>0</v>
      </c>
      <c r="BX44" s="27">
        <v>86289310.310876518</v>
      </c>
      <c r="BY44" s="26">
        <v>3293703.395872578</v>
      </c>
      <c r="BZ44" s="26">
        <v>0</v>
      </c>
      <c r="CA44" s="27">
        <v>3293703.395872578</v>
      </c>
      <c r="CB44" s="26">
        <v>0</v>
      </c>
      <c r="CC44" s="26">
        <v>11115198.31248928</v>
      </c>
      <c r="CD44" s="26">
        <v>0</v>
      </c>
      <c r="CE44" s="27">
        <v>11115198.31248928</v>
      </c>
      <c r="CF44" s="25">
        <v>100698212.01923838</v>
      </c>
      <c r="CG44" s="26">
        <v>11226280.717891395</v>
      </c>
      <c r="CH44" s="25">
        <v>99166622.149013683</v>
      </c>
      <c r="CI44" s="37" t="s">
        <v>143</v>
      </c>
      <c r="CJ44" s="43" t="s">
        <v>14</v>
      </c>
      <c r="CM44" s="30"/>
    </row>
    <row r="45" spans="1:91" ht="32" customHeight="1" x14ac:dyDescent="0.2">
      <c r="A45" s="43">
        <v>64</v>
      </c>
      <c r="B45" s="36" t="s">
        <v>64</v>
      </c>
      <c r="C45" s="24">
        <v>572324.57352805056</v>
      </c>
      <c r="D45" s="24">
        <v>0</v>
      </c>
      <c r="E45" s="24">
        <v>3308243.7265315508</v>
      </c>
      <c r="F45" s="24">
        <v>321905.83229305357</v>
      </c>
      <c r="G45" s="452">
        <v>1881753.7681874654</v>
      </c>
      <c r="H45" s="24">
        <v>500119.6733278496</v>
      </c>
      <c r="I45" s="24">
        <v>284622.70269689825</v>
      </c>
      <c r="J45" s="24">
        <v>938768.83579540567</v>
      </c>
      <c r="K45" s="24">
        <v>355424.2224695615</v>
      </c>
      <c r="L45" s="24">
        <v>22154.25876909219</v>
      </c>
      <c r="M45" s="24">
        <v>7908.0081635725946</v>
      </c>
      <c r="N45" s="24">
        <v>216814.20967511443</v>
      </c>
      <c r="O45" s="24">
        <v>116640.48567657171</v>
      </c>
      <c r="P45" s="64">
        <v>868751.78699267516</v>
      </c>
      <c r="Q45" s="24">
        <v>356459.48427922657</v>
      </c>
      <c r="R45" s="24">
        <v>723309.26144044788</v>
      </c>
      <c r="S45" s="24">
        <v>104280.6790474609</v>
      </c>
      <c r="T45" s="24">
        <v>902496.91330721101</v>
      </c>
      <c r="U45" s="24">
        <v>1109682.4499339045</v>
      </c>
      <c r="V45" s="24">
        <v>105054.78432609729</v>
      </c>
      <c r="W45" s="24">
        <v>98284.57386655263</v>
      </c>
      <c r="X45" s="24">
        <v>736251.54090406233</v>
      </c>
      <c r="Y45" s="24">
        <v>874860.97074337292</v>
      </c>
      <c r="Z45" s="24">
        <v>452122.32743084733</v>
      </c>
      <c r="AA45" s="24">
        <v>9136.5004662310184</v>
      </c>
      <c r="AB45" s="24">
        <v>11906.785783012936</v>
      </c>
      <c r="AC45" s="24">
        <v>28634.123066233056</v>
      </c>
      <c r="AD45" s="24">
        <v>33.874843517079775</v>
      </c>
      <c r="AE45" s="24">
        <v>7811612.0241625085</v>
      </c>
      <c r="AF45" s="24">
        <v>46128.835107142266</v>
      </c>
      <c r="AG45" s="24">
        <v>5226283.2636433961</v>
      </c>
      <c r="AH45" s="24">
        <v>6073317.6011361778</v>
      </c>
      <c r="AI45" s="24">
        <v>1460153.1182653473</v>
      </c>
      <c r="AJ45" s="24">
        <v>1361591.5006605121</v>
      </c>
      <c r="AK45" s="24">
        <v>278773.62129078759</v>
      </c>
      <c r="AL45" s="24">
        <v>40846.727478771281</v>
      </c>
      <c r="AM45" s="24">
        <v>76822.961034747059</v>
      </c>
      <c r="AN45" s="24">
        <v>171161.23357446233</v>
      </c>
      <c r="AO45" s="24">
        <v>8376116.7645471618</v>
      </c>
      <c r="AP45" s="24">
        <v>1091417.218461429</v>
      </c>
      <c r="AQ45" s="24">
        <v>277226.73095273663</v>
      </c>
      <c r="AR45" s="24">
        <v>73672.473867286084</v>
      </c>
      <c r="AS45" s="24">
        <v>628480.58042694698</v>
      </c>
      <c r="AT45" s="24">
        <v>1658.1777792826763</v>
      </c>
      <c r="AU45" s="24">
        <v>7861.585735303106</v>
      </c>
      <c r="AV45" s="24">
        <v>83831.212837221829</v>
      </c>
      <c r="AW45" s="24">
        <v>167.98927746634291</v>
      </c>
      <c r="AX45" s="24">
        <v>31072.848327116761</v>
      </c>
      <c r="AY45" s="24">
        <v>106.44987712509072</v>
      </c>
      <c r="AZ45" s="24">
        <v>13.245508449052414</v>
      </c>
      <c r="BA45" s="24">
        <v>620.95967039390814</v>
      </c>
      <c r="BB45" s="24">
        <v>674.03462253351915</v>
      </c>
      <c r="BC45" s="24">
        <v>165261.88376547303</v>
      </c>
      <c r="BD45" s="24">
        <v>21365.869559132338</v>
      </c>
      <c r="BE45" s="24">
        <v>46803.893339644455</v>
      </c>
      <c r="BF45" s="24">
        <v>13713.841961366868</v>
      </c>
      <c r="BG45" s="24">
        <v>23471119.725919269</v>
      </c>
      <c r="BH45" s="24">
        <v>33255.909067881381</v>
      </c>
      <c r="BI45" s="24">
        <v>164544.27243650437</v>
      </c>
      <c r="BJ45" s="24">
        <v>0</v>
      </c>
      <c r="BK45" s="24">
        <v>11.567957039962232</v>
      </c>
      <c r="BL45" s="24">
        <v>22742.842263872441</v>
      </c>
      <c r="BM45" s="24">
        <v>70316.699514682492</v>
      </c>
      <c r="BN45" s="24">
        <v>262708.94814149069</v>
      </c>
      <c r="BO45" s="24">
        <v>1079.3692906200195</v>
      </c>
      <c r="BP45" s="24">
        <v>184.14321001134081</v>
      </c>
      <c r="BQ45" s="24">
        <v>0</v>
      </c>
      <c r="BR45" s="25">
        <v>72300666.47821635</v>
      </c>
      <c r="BS45" s="26">
        <v>35485400.038249567</v>
      </c>
      <c r="BT45" s="26">
        <v>0</v>
      </c>
      <c r="BU45" s="26">
        <v>0</v>
      </c>
      <c r="BV45" s="26">
        <v>18941314.660861708</v>
      </c>
      <c r="BW45" s="26">
        <v>0</v>
      </c>
      <c r="BX45" s="27">
        <v>54426714.699111275</v>
      </c>
      <c r="BY45" s="26">
        <v>0</v>
      </c>
      <c r="BZ45" s="26">
        <v>0</v>
      </c>
      <c r="CA45" s="27">
        <v>0</v>
      </c>
      <c r="CB45" s="26">
        <v>0</v>
      </c>
      <c r="CC45" s="26">
        <v>4753356.0286843739</v>
      </c>
      <c r="CD45" s="26">
        <v>0</v>
      </c>
      <c r="CE45" s="27">
        <v>4753356.0286843739</v>
      </c>
      <c r="CF45" s="25">
        <v>59180070.727795646</v>
      </c>
      <c r="CG45" s="26">
        <v>-0.18196648191599599</v>
      </c>
      <c r="CH45" s="25">
        <v>131480737.38797848</v>
      </c>
      <c r="CI45" s="39" t="s">
        <v>144</v>
      </c>
      <c r="CJ45" s="43">
        <v>64</v>
      </c>
      <c r="CM45" s="30"/>
    </row>
    <row r="46" spans="1:91" s="41" customFormat="1" ht="32" customHeight="1" x14ac:dyDescent="0.2">
      <c r="A46" s="22">
        <v>65</v>
      </c>
      <c r="B46" s="40" t="s">
        <v>65</v>
      </c>
      <c r="C46" s="24">
        <v>47000.889371162819</v>
      </c>
      <c r="D46" s="24">
        <v>0</v>
      </c>
      <c r="E46" s="24">
        <v>271682.19677349221</v>
      </c>
      <c r="F46" s="24">
        <v>27115.163094504518</v>
      </c>
      <c r="G46" s="452">
        <v>154534.86495807968</v>
      </c>
      <c r="H46" s="24">
        <v>41071.221690732244</v>
      </c>
      <c r="I46" s="24">
        <v>23697.468976893666</v>
      </c>
      <c r="J46" s="24">
        <v>77099.370273752837</v>
      </c>
      <c r="K46" s="24">
        <v>29190.739231645017</v>
      </c>
      <c r="L46" s="24">
        <v>1826.1592622146279</v>
      </c>
      <c r="M46" s="24">
        <v>650.56884500259446</v>
      </c>
      <c r="N46" s="24">
        <v>17904.714912288815</v>
      </c>
      <c r="O46" s="24">
        <v>9578.8418269175672</v>
      </c>
      <c r="P46" s="64">
        <v>71910.144267387688</v>
      </c>
      <c r="Q46" s="24">
        <v>29375.823510316786</v>
      </c>
      <c r="R46" s="24">
        <v>59489.398044989728</v>
      </c>
      <c r="S46" s="24">
        <v>8563.8200527470908</v>
      </c>
      <c r="T46" s="24">
        <v>74474.367622913487</v>
      </c>
      <c r="U46" s="24">
        <v>91153.863574577932</v>
      </c>
      <c r="V46" s="24">
        <v>8665.9748704627928</v>
      </c>
      <c r="W46" s="24">
        <v>8075.5548292098547</v>
      </c>
      <c r="X46" s="24">
        <v>60556.570459362512</v>
      </c>
      <c r="Y46" s="24">
        <v>71877.595673053278</v>
      </c>
      <c r="Z46" s="24">
        <v>37162.002974727679</v>
      </c>
      <c r="AA46" s="24">
        <v>750.31488689320611</v>
      </c>
      <c r="AB46" s="24">
        <v>977.81843946299989</v>
      </c>
      <c r="AC46" s="24">
        <v>2353.528863720398</v>
      </c>
      <c r="AD46" s="24">
        <v>2.7818965780152451</v>
      </c>
      <c r="AE46" s="24">
        <v>641511.35481536784</v>
      </c>
      <c r="AF46" s="24">
        <v>3788.2285262125711</v>
      </c>
      <c r="AG46" s="24">
        <v>429196.9502246505</v>
      </c>
      <c r="AH46" s="24">
        <v>498757.77118444321</v>
      </c>
      <c r="AI46" s="24">
        <v>126458.63427644812</v>
      </c>
      <c r="AJ46" s="24">
        <v>111817.68956164479</v>
      </c>
      <c r="AK46" s="24">
        <v>22893.666880519799</v>
      </c>
      <c r="AL46" s="24">
        <v>3354.4471235423398</v>
      </c>
      <c r="AM46" s="24">
        <v>6308.9157093170488</v>
      </c>
      <c r="AN46" s="24">
        <v>14056.237624524745</v>
      </c>
      <c r="AO46" s="24">
        <v>687870.05769048689</v>
      </c>
      <c r="AP46" s="24">
        <v>89630.224378568804</v>
      </c>
      <c r="AQ46" s="24">
        <v>39590.706406032565</v>
      </c>
      <c r="AR46" s="24">
        <v>22874.263393065215</v>
      </c>
      <c r="AS46" s="24">
        <v>51612.577196326463</v>
      </c>
      <c r="AT46" s="24">
        <v>136.17418151619128</v>
      </c>
      <c r="AU46" s="24">
        <v>645.61533527929703</v>
      </c>
      <c r="AV46" s="24">
        <v>6884.4528833070535</v>
      </c>
      <c r="AW46" s="24">
        <v>13.795747746886112</v>
      </c>
      <c r="AX46" s="24">
        <v>2551.7889222664271</v>
      </c>
      <c r="AY46" s="24">
        <v>8.7419606456668202</v>
      </c>
      <c r="AZ46" s="24">
        <v>1.0877580765771586</v>
      </c>
      <c r="BA46" s="24">
        <v>50.994939099373426</v>
      </c>
      <c r="BB46" s="24">
        <v>55.35360211905828</v>
      </c>
      <c r="BC46" s="24">
        <v>13571.766573378263</v>
      </c>
      <c r="BD46" s="24">
        <v>1754.624766986798</v>
      </c>
      <c r="BE46" s="24">
        <v>3843.666190035638</v>
      </c>
      <c r="BF46" s="24">
        <v>1126.2189301194205</v>
      </c>
      <c r="BG46" s="24">
        <v>1927513.7792090299</v>
      </c>
      <c r="BH46" s="24">
        <v>2757.4293179392243</v>
      </c>
      <c r="BI46" s="24">
        <v>48180.527942067522</v>
      </c>
      <c r="BJ46" s="24">
        <v>2.3710802337071115</v>
      </c>
      <c r="BK46" s="24">
        <v>0.97170204529085602</v>
      </c>
      <c r="BL46" s="24">
        <v>1867.9617969665837</v>
      </c>
      <c r="BM46" s="24">
        <v>5817.7394822977212</v>
      </c>
      <c r="BN46" s="24">
        <v>21665.044900578774</v>
      </c>
      <c r="BO46" s="24">
        <v>103.75486892427294</v>
      </c>
      <c r="BP46" s="24">
        <v>218.05023934346497</v>
      </c>
      <c r="BQ46" s="24">
        <v>0</v>
      </c>
      <c r="BR46" s="25">
        <v>6015235.3965042429</v>
      </c>
      <c r="BS46" s="26">
        <v>6610680.2056757957</v>
      </c>
      <c r="BT46" s="26">
        <v>87877.848012371905</v>
      </c>
      <c r="BU46" s="26">
        <v>112072.27534193512</v>
      </c>
      <c r="BV46" s="26">
        <v>2771202.3241519202</v>
      </c>
      <c r="BW46" s="26">
        <v>527918.91038696549</v>
      </c>
      <c r="BX46" s="27">
        <v>9885607.012885116</v>
      </c>
      <c r="BY46" s="26">
        <v>0</v>
      </c>
      <c r="BZ46" s="26">
        <v>0</v>
      </c>
      <c r="CA46" s="27">
        <v>0</v>
      </c>
      <c r="CB46" s="26">
        <v>0</v>
      </c>
      <c r="CC46" s="26">
        <v>390358.84737350763</v>
      </c>
      <c r="CD46" s="26">
        <v>112072.27534193512</v>
      </c>
      <c r="CE46" s="27">
        <v>502431.12271544273</v>
      </c>
      <c r="CF46" s="25">
        <v>10388038.135600559</v>
      </c>
      <c r="CG46" s="26">
        <v>231504.53210481448</v>
      </c>
      <c r="CH46" s="25">
        <v>16171768.999999987</v>
      </c>
      <c r="CI46" s="39" t="s">
        <v>145</v>
      </c>
      <c r="CJ46" s="22">
        <v>65</v>
      </c>
      <c r="CK46" s="2"/>
      <c r="CL46" s="2"/>
      <c r="CM46" s="30"/>
    </row>
    <row r="47" spans="1:91" ht="32" customHeight="1" x14ac:dyDescent="0.2">
      <c r="A47" s="35">
        <v>66</v>
      </c>
      <c r="B47" s="36" t="s">
        <v>66</v>
      </c>
      <c r="C47" s="24">
        <v>9718.4973182098747</v>
      </c>
      <c r="D47" s="24">
        <v>0</v>
      </c>
      <c r="E47" s="24">
        <v>56176.441256205719</v>
      </c>
      <c r="F47" s="24">
        <v>5466.2006710128253</v>
      </c>
      <c r="G47" s="452">
        <v>31953.579831331313</v>
      </c>
      <c r="H47" s="24">
        <v>8492.4043607966614</v>
      </c>
      <c r="I47" s="24">
        <v>4833.1053755214671</v>
      </c>
      <c r="J47" s="24">
        <v>15940.993686250489</v>
      </c>
      <c r="K47" s="24">
        <v>6035.3678885464951</v>
      </c>
      <c r="L47" s="24">
        <v>376.19580635357352</v>
      </c>
      <c r="M47" s="24">
        <v>134.2838656329254</v>
      </c>
      <c r="N47" s="24">
        <v>3681.6666848468294</v>
      </c>
      <c r="O47" s="24">
        <v>1980.6422783048674</v>
      </c>
      <c r="P47" s="64">
        <v>14752.052074284291</v>
      </c>
      <c r="Q47" s="24">
        <v>6052.9474047620115</v>
      </c>
      <c r="R47" s="24">
        <v>12282.329717580844</v>
      </c>
      <c r="S47" s="24">
        <v>1770.7635606427139</v>
      </c>
      <c r="T47" s="24">
        <v>15325.069440232492</v>
      </c>
      <c r="U47" s="24">
        <v>18843.23408877472</v>
      </c>
      <c r="V47" s="24">
        <v>1783.9084445467267</v>
      </c>
      <c r="W47" s="24">
        <v>1668.945230947134</v>
      </c>
      <c r="X47" s="24">
        <v>12502.099257587317</v>
      </c>
      <c r="Y47" s="24">
        <v>14855.790562274793</v>
      </c>
      <c r="Z47" s="24">
        <v>7677.3736964557274</v>
      </c>
      <c r="AA47" s="24">
        <v>155.14457946743667</v>
      </c>
      <c r="AB47" s="24">
        <v>202.18608644984079</v>
      </c>
      <c r="AC47" s="24">
        <v>486.22872597106561</v>
      </c>
      <c r="AD47" s="24">
        <v>0.57522006061370645</v>
      </c>
      <c r="AE47" s="24">
        <v>132646.98742486991</v>
      </c>
      <c r="AF47" s="24">
        <v>783.30196014016792</v>
      </c>
      <c r="AG47" s="24">
        <v>88746.180456349262</v>
      </c>
      <c r="AH47" s="24">
        <v>103129.45407084803</v>
      </c>
      <c r="AI47" s="24">
        <v>24794.486940445982</v>
      </c>
      <c r="AJ47" s="24">
        <v>23120.837300581148</v>
      </c>
      <c r="AK47" s="24">
        <v>4733.7836189719183</v>
      </c>
      <c r="AL47" s="24">
        <v>693.60784041301042</v>
      </c>
      <c r="AM47" s="24">
        <v>1304.5110682400898</v>
      </c>
      <c r="AN47" s="24">
        <v>2906.4451648840113</v>
      </c>
      <c r="AO47" s="24">
        <v>142232.6981549302</v>
      </c>
      <c r="AP47" s="24">
        <v>18533.076861054295</v>
      </c>
      <c r="AQ47" s="24">
        <v>4707.5162694690998</v>
      </c>
      <c r="AR47" s="24">
        <v>1251.0134507967537</v>
      </c>
      <c r="AS47" s="24">
        <v>10672.068119973732</v>
      </c>
      <c r="AT47" s="24">
        <v>28.157093101444605</v>
      </c>
      <c r="AU47" s="24">
        <v>133.4955782423269</v>
      </c>
      <c r="AV47" s="24">
        <v>1423.516401049467</v>
      </c>
      <c r="AW47" s="24">
        <v>2.8525829888460166</v>
      </c>
      <c r="AX47" s="24">
        <v>527.64009637867809</v>
      </c>
      <c r="AY47" s="24">
        <v>1.8075981588326135</v>
      </c>
      <c r="AZ47" s="24">
        <v>0.22491859391414554</v>
      </c>
      <c r="BA47" s="24">
        <v>10.544357468767519</v>
      </c>
      <c r="BB47" s="24">
        <v>11.445609667066927</v>
      </c>
      <c r="BC47" s="24">
        <v>2806.2698134319135</v>
      </c>
      <c r="BD47" s="24">
        <v>362.80837066219846</v>
      </c>
      <c r="BE47" s="24">
        <v>794.76495146651621</v>
      </c>
      <c r="BF47" s="24">
        <v>232.87124559813401</v>
      </c>
      <c r="BG47" s="24">
        <v>398557.08572078217</v>
      </c>
      <c r="BH47" s="24">
        <v>564.71009290848895</v>
      </c>
      <c r="BI47" s="24">
        <v>2794.0842388494561</v>
      </c>
      <c r="BJ47" s="24">
        <v>0</v>
      </c>
      <c r="BK47" s="24">
        <v>0.19643252215611876</v>
      </c>
      <c r="BL47" s="24">
        <v>386.19039225839157</v>
      </c>
      <c r="BM47" s="24">
        <v>1194.0299041262786</v>
      </c>
      <c r="BN47" s="24">
        <v>4460.9935097565422</v>
      </c>
      <c r="BO47" s="24">
        <v>18.328494077381478</v>
      </c>
      <c r="BP47" s="24">
        <v>3.1268887890484098</v>
      </c>
      <c r="BQ47" s="24">
        <v>0</v>
      </c>
      <c r="BR47" s="25">
        <v>1227719.1401058959</v>
      </c>
      <c r="BS47" s="26">
        <v>602568.50930135825</v>
      </c>
      <c r="BT47" s="26">
        <v>0</v>
      </c>
      <c r="BU47" s="26">
        <v>0</v>
      </c>
      <c r="BV47" s="26">
        <v>321637.62356070109</v>
      </c>
      <c r="BW47" s="26">
        <v>0</v>
      </c>
      <c r="BX47" s="27">
        <v>924206.1328620594</v>
      </c>
      <c r="BY47" s="26">
        <v>0</v>
      </c>
      <c r="BZ47" s="26">
        <v>0</v>
      </c>
      <c r="CA47" s="27">
        <v>0</v>
      </c>
      <c r="CB47" s="26">
        <v>0</v>
      </c>
      <c r="CC47" s="26">
        <v>80715.523942118001</v>
      </c>
      <c r="CD47" s="26">
        <v>0</v>
      </c>
      <c r="CE47" s="27">
        <v>80715.523942118001</v>
      </c>
      <c r="CF47" s="25">
        <v>1004921.6568041774</v>
      </c>
      <c r="CG47" s="26">
        <v>-3.0899263255520842E-3</v>
      </c>
      <c r="CH47" s="25">
        <v>2232640.7999999998</v>
      </c>
      <c r="CI47" s="37" t="s">
        <v>146</v>
      </c>
      <c r="CJ47" s="35">
        <v>66</v>
      </c>
      <c r="CM47" s="30"/>
    </row>
    <row r="48" spans="1:91" ht="32" customHeight="1" x14ac:dyDescent="0.2">
      <c r="A48" s="35">
        <v>68</v>
      </c>
      <c r="B48" s="36" t="s">
        <v>67</v>
      </c>
      <c r="C48" s="24">
        <v>1564.6851883922759</v>
      </c>
      <c r="D48" s="24">
        <v>0</v>
      </c>
      <c r="E48" s="24">
        <v>671.39829724834908</v>
      </c>
      <c r="F48" s="24">
        <v>15810.903697903424</v>
      </c>
      <c r="G48" s="452">
        <v>22387.351794427406</v>
      </c>
      <c r="H48" s="24">
        <v>2162.8217094233792</v>
      </c>
      <c r="I48" s="24">
        <v>110.11779620696129</v>
      </c>
      <c r="J48" s="24">
        <v>91.476141856510722</v>
      </c>
      <c r="K48" s="24">
        <v>127.45172294534402</v>
      </c>
      <c r="L48" s="24">
        <v>496.15457277452578</v>
      </c>
      <c r="M48" s="24">
        <v>2.6467840791377579</v>
      </c>
      <c r="N48" s="24">
        <v>203.43622176288559</v>
      </c>
      <c r="O48" s="24">
        <v>357.16313232614471</v>
      </c>
      <c r="P48" s="64">
        <v>10518.769343633547</v>
      </c>
      <c r="Q48" s="24">
        <v>216.20807313438283</v>
      </c>
      <c r="R48" s="24">
        <v>203.42203704155997</v>
      </c>
      <c r="S48" s="24">
        <v>120.55384142075506</v>
      </c>
      <c r="T48" s="24">
        <v>1451.3015928519399</v>
      </c>
      <c r="U48" s="24">
        <v>295.92502026640364</v>
      </c>
      <c r="V48" s="24">
        <v>70.749452125666537</v>
      </c>
      <c r="W48" s="24">
        <v>49.485280635396251</v>
      </c>
      <c r="X48" s="24">
        <v>134.36329332881331</v>
      </c>
      <c r="Y48" s="24">
        <v>89.432658964421137</v>
      </c>
      <c r="Z48" s="24">
        <v>627.09320990538004</v>
      </c>
      <c r="AA48" s="24">
        <v>15.414538718848862</v>
      </c>
      <c r="AB48" s="24">
        <v>1001.001096981234</v>
      </c>
      <c r="AC48" s="24">
        <v>16.694045385309813</v>
      </c>
      <c r="AD48" s="24">
        <v>1.8537280503151441</v>
      </c>
      <c r="AE48" s="24">
        <v>90.313223900734997</v>
      </c>
      <c r="AF48" s="24">
        <v>35663.017961829995</v>
      </c>
      <c r="AG48" s="24">
        <v>810.71173847818147</v>
      </c>
      <c r="AH48" s="24">
        <v>786393.67559815291</v>
      </c>
      <c r="AI48" s="24">
        <v>36780.616342695255</v>
      </c>
      <c r="AJ48" s="24">
        <v>1836.7681203094619</v>
      </c>
      <c r="AK48" s="24">
        <v>99505.897156936961</v>
      </c>
      <c r="AL48" s="24">
        <v>19672.248101826564</v>
      </c>
      <c r="AM48" s="24">
        <v>4642.5597057223986</v>
      </c>
      <c r="AN48" s="24">
        <v>1028.9301500632207</v>
      </c>
      <c r="AO48" s="24">
        <v>412674.87664458505</v>
      </c>
      <c r="AP48" s="24">
        <v>5.5771676835901793</v>
      </c>
      <c r="AQ48" s="24">
        <v>322.53051153003116</v>
      </c>
      <c r="AR48" s="24">
        <v>322.53051153003116</v>
      </c>
      <c r="AS48" s="24">
        <v>72066.97866323909</v>
      </c>
      <c r="AT48" s="24">
        <v>19673.769648173526</v>
      </c>
      <c r="AU48" s="24">
        <v>5234.751658038329</v>
      </c>
      <c r="AV48" s="24">
        <v>9240.4171150673192</v>
      </c>
      <c r="AW48" s="24">
        <v>866.49956355170218</v>
      </c>
      <c r="AX48" s="24">
        <v>5713.0100956740453</v>
      </c>
      <c r="AY48" s="24">
        <v>13730.04422720296</v>
      </c>
      <c r="AZ48" s="24">
        <v>348.76196158775076</v>
      </c>
      <c r="BA48" s="24">
        <v>31041.790493717486</v>
      </c>
      <c r="BB48" s="24">
        <v>3288.5909513597562</v>
      </c>
      <c r="BC48" s="24">
        <v>20970.610513682281</v>
      </c>
      <c r="BD48" s="24">
        <v>1959.7312042990509</v>
      </c>
      <c r="BE48" s="24">
        <v>579.69804575563819</v>
      </c>
      <c r="BF48" s="24">
        <v>3612.1398663458576</v>
      </c>
      <c r="BG48" s="24">
        <v>461160.16019141942</v>
      </c>
      <c r="BH48" s="24">
        <v>68276.982198532452</v>
      </c>
      <c r="BI48" s="24">
        <v>201168.78396238782</v>
      </c>
      <c r="BJ48" s="24">
        <v>1558.0935437778637</v>
      </c>
      <c r="BK48" s="24">
        <v>113.24651950236706</v>
      </c>
      <c r="BL48" s="24">
        <v>11051.913105651538</v>
      </c>
      <c r="BM48" s="24">
        <v>28771.852217241933</v>
      </c>
      <c r="BN48" s="24">
        <v>123867.18764988084</v>
      </c>
      <c r="BO48" s="24">
        <v>20691.426187256733</v>
      </c>
      <c r="BP48" s="24">
        <v>75795.042226436737</v>
      </c>
      <c r="BQ48" s="24">
        <v>0</v>
      </c>
      <c r="BR48" s="25">
        <v>2639329.6090168175</v>
      </c>
      <c r="BS48" s="26">
        <v>274116931.90913081</v>
      </c>
      <c r="BT48" s="26">
        <v>0</v>
      </c>
      <c r="BU48" s="26">
        <v>0</v>
      </c>
      <c r="BV48" s="26">
        <v>0</v>
      </c>
      <c r="BW48" s="26">
        <v>0</v>
      </c>
      <c r="BX48" s="27">
        <v>274116931.90913081</v>
      </c>
      <c r="BY48" s="26">
        <v>0</v>
      </c>
      <c r="BZ48" s="26">
        <v>0</v>
      </c>
      <c r="CA48" s="27">
        <v>0</v>
      </c>
      <c r="CB48" s="26">
        <v>0</v>
      </c>
      <c r="CC48" s="26">
        <v>0</v>
      </c>
      <c r="CD48" s="26">
        <v>0</v>
      </c>
      <c r="CE48" s="27">
        <v>0</v>
      </c>
      <c r="CF48" s="25">
        <v>274116931.90913081</v>
      </c>
      <c r="CG48" s="26">
        <v>0</v>
      </c>
      <c r="CH48" s="25">
        <v>276756261.51814765</v>
      </c>
      <c r="CI48" s="37" t="s">
        <v>147</v>
      </c>
      <c r="CJ48" s="35">
        <v>68</v>
      </c>
      <c r="CM48" s="30"/>
    </row>
    <row r="49" spans="1:91" ht="32" customHeight="1" x14ac:dyDescent="0.2">
      <c r="A49" s="35">
        <v>69</v>
      </c>
      <c r="B49" s="36" t="s">
        <v>68</v>
      </c>
      <c r="C49" s="24">
        <v>742.94657654486582</v>
      </c>
      <c r="D49" s="24">
        <v>0</v>
      </c>
      <c r="E49" s="24">
        <v>166.0781212890553</v>
      </c>
      <c r="F49" s="24">
        <v>18890.412139344266</v>
      </c>
      <c r="G49" s="452">
        <v>44356.647086207435</v>
      </c>
      <c r="H49" s="24">
        <v>32333.955318528744</v>
      </c>
      <c r="I49" s="24">
        <v>109.44251200166956</v>
      </c>
      <c r="J49" s="24">
        <v>268.10681837258227</v>
      </c>
      <c r="K49" s="24">
        <v>235.98906791624037</v>
      </c>
      <c r="L49" s="24">
        <v>381.81709725063854</v>
      </c>
      <c r="M49" s="24">
        <v>19.95550921961232</v>
      </c>
      <c r="N49" s="24">
        <v>3649.1759368386774</v>
      </c>
      <c r="O49" s="24">
        <v>391.31314664805961</v>
      </c>
      <c r="P49" s="64">
        <v>606.62160284925108</v>
      </c>
      <c r="Q49" s="24">
        <v>875.94784286936203</v>
      </c>
      <c r="R49" s="24">
        <v>7484.6586635721451</v>
      </c>
      <c r="S49" s="24">
        <v>1271.6118996234588</v>
      </c>
      <c r="T49" s="24">
        <v>16888.519075507971</v>
      </c>
      <c r="U49" s="24">
        <v>3223.4589788982507</v>
      </c>
      <c r="V49" s="24">
        <v>654.41011491738266</v>
      </c>
      <c r="W49" s="24">
        <v>194.52860930660495</v>
      </c>
      <c r="X49" s="24">
        <v>5355.4182987302047</v>
      </c>
      <c r="Y49" s="24">
        <v>2916.6025026486159</v>
      </c>
      <c r="Z49" s="24">
        <v>613.94190456948854</v>
      </c>
      <c r="AA49" s="24">
        <v>11.741374403052337</v>
      </c>
      <c r="AB49" s="24">
        <v>758.20314564237322</v>
      </c>
      <c r="AC49" s="24">
        <v>145.69811915771811</v>
      </c>
      <c r="AD49" s="24">
        <v>4.6865296037013984</v>
      </c>
      <c r="AE49" s="24">
        <v>709.32729887218898</v>
      </c>
      <c r="AF49" s="24">
        <v>5682.4661885931664</v>
      </c>
      <c r="AG49" s="24">
        <v>338451.82317761704</v>
      </c>
      <c r="AH49" s="24">
        <v>275460.37126307643</v>
      </c>
      <c r="AI49" s="24">
        <v>84424.284726617523</v>
      </c>
      <c r="AJ49" s="24">
        <v>57404.277926330746</v>
      </c>
      <c r="AK49" s="24">
        <v>33635.256722619568</v>
      </c>
      <c r="AL49" s="24">
        <v>4695.193656434375</v>
      </c>
      <c r="AM49" s="24">
        <v>1108.0440205459699</v>
      </c>
      <c r="AN49" s="24">
        <v>0</v>
      </c>
      <c r="AO49" s="24">
        <v>126075.88412518054</v>
      </c>
      <c r="AP49" s="24">
        <v>29173.7204695562</v>
      </c>
      <c r="AQ49" s="24">
        <v>0</v>
      </c>
      <c r="AR49" s="24">
        <v>0</v>
      </c>
      <c r="AS49" s="24">
        <v>627737.43040188123</v>
      </c>
      <c r="AT49" s="24">
        <v>76285.867533206503</v>
      </c>
      <c r="AU49" s="24">
        <v>5359.6802502241608</v>
      </c>
      <c r="AV49" s="24">
        <v>7848.957776962262</v>
      </c>
      <c r="AW49" s="24">
        <v>246.82856624010557</v>
      </c>
      <c r="AX49" s="24">
        <v>5377.476092214135</v>
      </c>
      <c r="AY49" s="24">
        <v>106112.81949520692</v>
      </c>
      <c r="AZ49" s="24">
        <v>25.283576204770558</v>
      </c>
      <c r="BA49" s="24">
        <v>3654.5151180338617</v>
      </c>
      <c r="BB49" s="24">
        <v>2064.2683941774053</v>
      </c>
      <c r="BC49" s="24">
        <v>46095.295104969104</v>
      </c>
      <c r="BD49" s="24">
        <v>835.45070577086733</v>
      </c>
      <c r="BE49" s="24">
        <v>1028.2806169116641</v>
      </c>
      <c r="BF49" s="24">
        <v>1685.7068618262604</v>
      </c>
      <c r="BG49" s="24">
        <v>14369.401438984522</v>
      </c>
      <c r="BH49" s="24">
        <v>6063.0248028723427</v>
      </c>
      <c r="BI49" s="24">
        <v>69411.431794522883</v>
      </c>
      <c r="BJ49" s="24">
        <v>129.4651218365039</v>
      </c>
      <c r="BK49" s="24">
        <v>34.826974013997052</v>
      </c>
      <c r="BL49" s="24">
        <v>393.31696810140056</v>
      </c>
      <c r="BM49" s="24">
        <v>14594.842173870373</v>
      </c>
      <c r="BN49" s="24">
        <v>13562.132168633949</v>
      </c>
      <c r="BO49" s="24">
        <v>2177.6805155149013</v>
      </c>
      <c r="BP49" s="24">
        <v>7995.6874162797048</v>
      </c>
      <c r="BQ49" s="24">
        <v>0</v>
      </c>
      <c r="BR49" s="25">
        <v>2112462.2074363651</v>
      </c>
      <c r="BS49" s="26">
        <v>6421606.3779497426</v>
      </c>
      <c r="BT49" s="26">
        <v>0</v>
      </c>
      <c r="BU49" s="26">
        <v>0</v>
      </c>
      <c r="BV49" s="26">
        <v>0</v>
      </c>
      <c r="BW49" s="26">
        <v>0</v>
      </c>
      <c r="BX49" s="27">
        <v>6421606.3779497426</v>
      </c>
      <c r="BY49" s="26">
        <v>399582.77024294058</v>
      </c>
      <c r="BZ49" s="26">
        <v>0</v>
      </c>
      <c r="CA49" s="27">
        <v>399582.77024294058</v>
      </c>
      <c r="CB49" s="26">
        <v>0</v>
      </c>
      <c r="CC49" s="26">
        <v>3477799.5999999996</v>
      </c>
      <c r="CD49" s="26">
        <v>0</v>
      </c>
      <c r="CE49" s="27">
        <v>3477799.5999999996</v>
      </c>
      <c r="CF49" s="25">
        <v>10298988.748192683</v>
      </c>
      <c r="CG49" s="26">
        <v>2752396.2</v>
      </c>
      <c r="CH49" s="25">
        <v>9659054.7556290478</v>
      </c>
      <c r="CI49" s="37" t="s">
        <v>148</v>
      </c>
      <c r="CJ49" s="35">
        <v>69</v>
      </c>
      <c r="CM49" s="30"/>
    </row>
    <row r="50" spans="1:91" ht="44.25" customHeight="1" x14ac:dyDescent="0.2">
      <c r="A50" s="35">
        <v>70</v>
      </c>
      <c r="B50" s="36" t="s">
        <v>69</v>
      </c>
      <c r="C50" s="24">
        <v>67.805723932011418</v>
      </c>
      <c r="D50" s="24">
        <v>0</v>
      </c>
      <c r="E50" s="24">
        <v>1100.6421545308078</v>
      </c>
      <c r="F50" s="24">
        <v>14529.851388149958</v>
      </c>
      <c r="G50" s="452">
        <v>187327.7457173164</v>
      </c>
      <c r="H50" s="24">
        <v>62139.900535765024</v>
      </c>
      <c r="I50" s="24">
        <v>393.00726544334697</v>
      </c>
      <c r="J50" s="24">
        <v>264.38332245249597</v>
      </c>
      <c r="K50" s="24">
        <v>334.8578436359557</v>
      </c>
      <c r="L50" s="24">
        <v>103.636485829487</v>
      </c>
      <c r="M50" s="24">
        <v>9.6585505203087045</v>
      </c>
      <c r="N50" s="24">
        <v>2199.8145059118865</v>
      </c>
      <c r="O50" s="24">
        <v>402.01139515016871</v>
      </c>
      <c r="P50" s="64">
        <v>2743.398835933036</v>
      </c>
      <c r="Q50" s="24">
        <v>2368.9638007004537</v>
      </c>
      <c r="R50" s="24">
        <v>5085.6382885098674</v>
      </c>
      <c r="S50" s="24">
        <v>431.4946703495313</v>
      </c>
      <c r="T50" s="24">
        <v>8530.4671958071067</v>
      </c>
      <c r="U50" s="24">
        <v>950.79837981306071</v>
      </c>
      <c r="V50" s="24">
        <v>414.81709438311213</v>
      </c>
      <c r="W50" s="24">
        <v>74.076385935373366</v>
      </c>
      <c r="X50" s="24">
        <v>3007.9216132385168</v>
      </c>
      <c r="Y50" s="24">
        <v>1512.9177404371346</v>
      </c>
      <c r="Z50" s="24">
        <v>592.42833216202098</v>
      </c>
      <c r="AA50" s="24">
        <v>17.305398620201718</v>
      </c>
      <c r="AB50" s="24">
        <v>584.48219099470248</v>
      </c>
      <c r="AC50" s="24">
        <v>94.940091443319318</v>
      </c>
      <c r="AD50" s="24">
        <v>2.1849153431799491</v>
      </c>
      <c r="AE50" s="24">
        <v>562.51456922744615</v>
      </c>
      <c r="AF50" s="24">
        <v>4285.9546638773581</v>
      </c>
      <c r="AG50" s="24">
        <v>0</v>
      </c>
      <c r="AH50" s="24">
        <v>557026.52310285612</v>
      </c>
      <c r="AI50" s="24">
        <v>29795.589919132821</v>
      </c>
      <c r="AJ50" s="24">
        <v>1401.9757652197154</v>
      </c>
      <c r="AK50" s="24">
        <v>76286.57388161245</v>
      </c>
      <c r="AL50" s="24">
        <v>51090.250206527351</v>
      </c>
      <c r="AM50" s="24">
        <v>12057.063114310577</v>
      </c>
      <c r="AN50" s="24">
        <v>593.19948501902104</v>
      </c>
      <c r="AO50" s="24">
        <v>1071223.4831156551</v>
      </c>
      <c r="AP50" s="24">
        <v>1235.0205863833951</v>
      </c>
      <c r="AQ50" s="24">
        <v>131.11401280677245</v>
      </c>
      <c r="AR50" s="24">
        <v>131.11401280677245</v>
      </c>
      <c r="AS50" s="24">
        <v>2381193.6155961934</v>
      </c>
      <c r="AT50" s="24">
        <v>11014.434107504256</v>
      </c>
      <c r="AU50" s="24">
        <v>5516.0564269059305</v>
      </c>
      <c r="AV50" s="24">
        <v>5637.0713360997916</v>
      </c>
      <c r="AW50" s="24">
        <v>275.19829771140718</v>
      </c>
      <c r="AX50" s="24">
        <v>2797.814523390186</v>
      </c>
      <c r="AY50" s="24">
        <v>1985.6016604429099</v>
      </c>
      <c r="AZ50" s="24">
        <v>113.45005410213081</v>
      </c>
      <c r="BA50" s="24">
        <v>5778.5667112085594</v>
      </c>
      <c r="BB50" s="24">
        <v>2170.0523248939294</v>
      </c>
      <c r="BC50" s="24">
        <v>17138.702018846459</v>
      </c>
      <c r="BD50" s="24">
        <v>1367.4163160484995</v>
      </c>
      <c r="BE50" s="24">
        <v>484.08740155987044</v>
      </c>
      <c r="BF50" s="24">
        <v>7486.8716617730752</v>
      </c>
      <c r="BG50" s="24">
        <v>82656.607217139841</v>
      </c>
      <c r="BH50" s="24">
        <v>9648.285612214886</v>
      </c>
      <c r="BI50" s="24">
        <v>82319.075079962291</v>
      </c>
      <c r="BJ50" s="24">
        <v>296.37410200722798</v>
      </c>
      <c r="BK50" s="24">
        <v>28.866183539128901</v>
      </c>
      <c r="BL50" s="24">
        <v>562.85555686421185</v>
      </c>
      <c r="BM50" s="24">
        <v>3266.8635400193029</v>
      </c>
      <c r="BN50" s="24">
        <v>28930.72984494366</v>
      </c>
      <c r="BO50" s="24">
        <v>5021.0920731615388</v>
      </c>
      <c r="BP50" s="24">
        <v>12827.558362380971</v>
      </c>
      <c r="BQ50" s="24">
        <v>0</v>
      </c>
      <c r="BR50" s="25">
        <v>4769622.7722666562</v>
      </c>
      <c r="BS50" s="26">
        <v>2895961.8996160198</v>
      </c>
      <c r="BT50" s="26">
        <v>0</v>
      </c>
      <c r="BU50" s="26">
        <v>0</v>
      </c>
      <c r="BV50" s="26">
        <v>0</v>
      </c>
      <c r="BW50" s="26">
        <v>0</v>
      </c>
      <c r="BX50" s="27">
        <v>2895961.8996160198</v>
      </c>
      <c r="BY50" s="26">
        <v>3704515.9448987581</v>
      </c>
      <c r="BZ50" s="26">
        <v>0</v>
      </c>
      <c r="CA50" s="27">
        <v>3704515.9448987581</v>
      </c>
      <c r="CB50" s="26">
        <v>0</v>
      </c>
      <c r="CC50" s="26">
        <v>453060.52633004822</v>
      </c>
      <c r="CD50" s="26">
        <v>0</v>
      </c>
      <c r="CE50" s="27">
        <v>453060.52633004822</v>
      </c>
      <c r="CF50" s="25">
        <v>7053538.3708448261</v>
      </c>
      <c r="CG50" s="26">
        <v>5570915.7578354385</v>
      </c>
      <c r="CH50" s="25">
        <v>6252245.3852760438</v>
      </c>
      <c r="CI50" s="37" t="s">
        <v>149</v>
      </c>
      <c r="CJ50" s="35">
        <v>70</v>
      </c>
      <c r="CM50" s="30"/>
    </row>
    <row r="51" spans="1:91" ht="32" customHeight="1" x14ac:dyDescent="0.2">
      <c r="A51" s="35">
        <v>71</v>
      </c>
      <c r="B51" s="36" t="s">
        <v>70</v>
      </c>
      <c r="C51" s="24">
        <v>180.9753580341515</v>
      </c>
      <c r="D51" s="24">
        <v>0</v>
      </c>
      <c r="E51" s="24">
        <v>2937.6444411008597</v>
      </c>
      <c r="F51" s="24">
        <v>38780.576397799217</v>
      </c>
      <c r="G51" s="452">
        <v>499982.94959456456</v>
      </c>
      <c r="H51" s="24">
        <v>165853.11822557572</v>
      </c>
      <c r="I51" s="24">
        <v>1048.9472930773361</v>
      </c>
      <c r="J51" s="24">
        <v>705.64642134157998</v>
      </c>
      <c r="K51" s="24">
        <v>893.74487326948167</v>
      </c>
      <c r="L51" s="24">
        <v>276.60865544624096</v>
      </c>
      <c r="M51" s="24">
        <v>25.778939256757756</v>
      </c>
      <c r="N51" s="24">
        <v>5871.3659368242943</v>
      </c>
      <c r="O51" s="24">
        <v>1072.9795650299509</v>
      </c>
      <c r="P51" s="64">
        <v>7322.207592109512</v>
      </c>
      <c r="Q51" s="24">
        <v>6322.8300966388797</v>
      </c>
      <c r="R51" s="24">
        <v>13573.709662301077</v>
      </c>
      <c r="S51" s="24">
        <v>1151.6712443721581</v>
      </c>
      <c r="T51" s="24">
        <v>22768.053571815606</v>
      </c>
      <c r="U51" s="24">
        <v>2537.7072498701577</v>
      </c>
      <c r="V51" s="24">
        <v>1107.1583314993327</v>
      </c>
      <c r="W51" s="24">
        <v>197.71192886270683</v>
      </c>
      <c r="X51" s="24">
        <v>8028.2262223220396</v>
      </c>
      <c r="Y51" s="24">
        <v>4038.0194159768744</v>
      </c>
      <c r="Z51" s="24">
        <v>1581.2076518805557</v>
      </c>
      <c r="AA51" s="24">
        <v>46.188588950912376</v>
      </c>
      <c r="AB51" s="24">
        <v>1559.999180687367</v>
      </c>
      <c r="AC51" s="24">
        <v>253.39773760070685</v>
      </c>
      <c r="AD51" s="24">
        <v>5.8315996582056178</v>
      </c>
      <c r="AE51" s="24">
        <v>1501.3669888317891</v>
      </c>
      <c r="AF51" s="24">
        <v>11439.33188577251</v>
      </c>
      <c r="AG51" s="24">
        <v>0</v>
      </c>
      <c r="AH51" s="24">
        <v>1486719.241492619</v>
      </c>
      <c r="AI51" s="24">
        <v>79525.255992556413</v>
      </c>
      <c r="AJ51" s="24">
        <v>3741.9122067076346</v>
      </c>
      <c r="AK51" s="24">
        <v>203610.98179951275</v>
      </c>
      <c r="AL51" s="24">
        <v>136361.29499113793</v>
      </c>
      <c r="AM51" s="24">
        <v>32180.635902370635</v>
      </c>
      <c r="AN51" s="24">
        <v>1583.26588024686</v>
      </c>
      <c r="AO51" s="24">
        <v>2859125.1910507493</v>
      </c>
      <c r="AP51" s="24">
        <v>3296.3042032320709</v>
      </c>
      <c r="AQ51" s="24">
        <v>349.94693714637373</v>
      </c>
      <c r="AR51" s="24">
        <v>349.94693714637373</v>
      </c>
      <c r="AS51" s="24">
        <v>6355471.8118378371</v>
      </c>
      <c r="AT51" s="24">
        <v>29397.830161770256</v>
      </c>
      <c r="AU51" s="24">
        <v>14722.507613027561</v>
      </c>
      <c r="AV51" s="24">
        <v>15045.49976249254</v>
      </c>
      <c r="AW51" s="24">
        <v>734.51189030367641</v>
      </c>
      <c r="AX51" s="24">
        <v>7467.444571366701</v>
      </c>
      <c r="AY51" s="24">
        <v>5299.625910228101</v>
      </c>
      <c r="AZ51" s="24">
        <v>302.80134138401081</v>
      </c>
      <c r="BA51" s="24">
        <v>15423.154843591035</v>
      </c>
      <c r="BB51" s="24">
        <v>5791.9298501157045</v>
      </c>
      <c r="BC51" s="24">
        <v>45743.67109790643</v>
      </c>
      <c r="BD51" s="24">
        <v>3649.672078226813</v>
      </c>
      <c r="BE51" s="24">
        <v>1292.0427028397157</v>
      </c>
      <c r="BF51" s="24">
        <v>19982.668143234019</v>
      </c>
      <c r="BG51" s="24">
        <v>220612.77747007413</v>
      </c>
      <c r="BH51" s="24">
        <v>25751.541932317581</v>
      </c>
      <c r="BI51" s="24">
        <v>219711.89483316004</v>
      </c>
      <c r="BJ51" s="24">
        <v>791.030699363807</v>
      </c>
      <c r="BK51" s="24">
        <v>77.044644583568484</v>
      </c>
      <c r="BL51" s="24">
        <v>1502.2770942929558</v>
      </c>
      <c r="BM51" s="24">
        <v>8719.3494076772222</v>
      </c>
      <c r="BN51" s="24">
        <v>77216.920464234849</v>
      </c>
      <c r="BO51" s="24">
        <v>13401.434023092121</v>
      </c>
      <c r="BP51" s="24">
        <v>34237.109092199986</v>
      </c>
      <c r="BQ51" s="24">
        <v>0</v>
      </c>
      <c r="BR51" s="25">
        <v>12730255.483509216</v>
      </c>
      <c r="BS51" s="26">
        <v>7729402.6410186524</v>
      </c>
      <c r="BT51" s="26">
        <v>0</v>
      </c>
      <c r="BU51" s="26">
        <v>0</v>
      </c>
      <c r="BV51" s="26">
        <v>0</v>
      </c>
      <c r="BW51" s="26">
        <v>0</v>
      </c>
      <c r="BX51" s="27">
        <v>7729402.6410186524</v>
      </c>
      <c r="BY51" s="26">
        <v>9887455.8163188398</v>
      </c>
      <c r="BZ51" s="26">
        <v>0</v>
      </c>
      <c r="CA51" s="27">
        <v>9887455.8163188398</v>
      </c>
      <c r="CB51" s="26">
        <v>0</v>
      </c>
      <c r="CC51" s="26">
        <v>1209231.112198367</v>
      </c>
      <c r="CD51" s="26">
        <v>0</v>
      </c>
      <c r="CE51" s="27">
        <v>1209231.112198367</v>
      </c>
      <c r="CF51" s="25">
        <v>18826089.569535859</v>
      </c>
      <c r="CG51" s="26">
        <v>14868928.689018678</v>
      </c>
      <c r="CH51" s="25">
        <v>16687416.364026397</v>
      </c>
      <c r="CI51" s="37" t="s">
        <v>150</v>
      </c>
      <c r="CJ51" s="35">
        <v>71</v>
      </c>
      <c r="CM51" s="30"/>
    </row>
    <row r="52" spans="1:91" ht="32" customHeight="1" x14ac:dyDescent="0.2">
      <c r="A52" s="35">
        <v>72</v>
      </c>
      <c r="B52" s="36" t="s">
        <v>71</v>
      </c>
      <c r="C52" s="24">
        <v>21.951372586763213</v>
      </c>
      <c r="D52" s="24">
        <v>0</v>
      </c>
      <c r="E52" s="24">
        <v>8088.1085487468054</v>
      </c>
      <c r="F52" s="24">
        <v>890.72186623122855</v>
      </c>
      <c r="G52" s="452">
        <v>23603.300894169482</v>
      </c>
      <c r="H52" s="24">
        <v>360.50465490279782</v>
      </c>
      <c r="I52" s="24">
        <v>51.650597565706882</v>
      </c>
      <c r="J52" s="24">
        <v>62.832537359495348</v>
      </c>
      <c r="K52" s="24">
        <v>79.142072895847534</v>
      </c>
      <c r="L52" s="24">
        <v>29.522474651634202</v>
      </c>
      <c r="M52" s="24">
        <v>1.7743906093964919E-2</v>
      </c>
      <c r="N52" s="24">
        <v>749.77874086300073</v>
      </c>
      <c r="O52" s="24">
        <v>30.538495666754894</v>
      </c>
      <c r="P52" s="64">
        <v>998.56541026921661</v>
      </c>
      <c r="Q52" s="24">
        <v>271.37132087977869</v>
      </c>
      <c r="R52" s="24">
        <v>3828.2538683371454</v>
      </c>
      <c r="S52" s="24">
        <v>63.595664560078454</v>
      </c>
      <c r="T52" s="24">
        <v>2418.4974891247703</v>
      </c>
      <c r="U52" s="24">
        <v>154.62883800093346</v>
      </c>
      <c r="V52" s="24">
        <v>450.98825560597282</v>
      </c>
      <c r="W52" s="24">
        <v>90.37522744305781</v>
      </c>
      <c r="X52" s="24">
        <v>2592.9881914285843</v>
      </c>
      <c r="Y52" s="24">
        <v>152.43890903378662</v>
      </c>
      <c r="Z52" s="24">
        <v>1092.0680394451863</v>
      </c>
      <c r="AA52" s="24">
        <v>32.699316981454217</v>
      </c>
      <c r="AB52" s="24">
        <v>199.82586877652815</v>
      </c>
      <c r="AC52" s="24">
        <v>21.071102021071756</v>
      </c>
      <c r="AD52" s="24">
        <v>0</v>
      </c>
      <c r="AE52" s="24">
        <v>6924.0893298780984</v>
      </c>
      <c r="AF52" s="24">
        <v>76.750757047998746</v>
      </c>
      <c r="AG52" s="24">
        <v>1423.1604033366461</v>
      </c>
      <c r="AH52" s="24">
        <v>11938.450256556805</v>
      </c>
      <c r="AI52" s="24">
        <v>12585.049329783846</v>
      </c>
      <c r="AJ52" s="24">
        <v>4870.9017877010883</v>
      </c>
      <c r="AK52" s="24">
        <v>259.9373482035632</v>
      </c>
      <c r="AL52" s="24">
        <v>6776.9698339397628</v>
      </c>
      <c r="AM52" s="24">
        <v>1599.3335848089316</v>
      </c>
      <c r="AN52" s="24">
        <v>273.02408684352588</v>
      </c>
      <c r="AO52" s="24">
        <v>142645.69185878546</v>
      </c>
      <c r="AP52" s="24">
        <v>192940.62943551369</v>
      </c>
      <c r="AQ52" s="24">
        <v>7872.5510178359582</v>
      </c>
      <c r="AR52" s="24">
        <v>7872.5510178359582</v>
      </c>
      <c r="AS52" s="24">
        <v>93.138766510215774</v>
      </c>
      <c r="AT52" s="24">
        <v>46.308457756636543</v>
      </c>
      <c r="AU52" s="24">
        <v>3657.2617617514798</v>
      </c>
      <c r="AV52" s="24">
        <v>5966.2505289754772</v>
      </c>
      <c r="AW52" s="24">
        <v>17.784068847548745</v>
      </c>
      <c r="AX52" s="24">
        <v>99.036397843000117</v>
      </c>
      <c r="AY52" s="24">
        <v>65223.257598226402</v>
      </c>
      <c r="AZ52" s="24">
        <v>0</v>
      </c>
      <c r="BA52" s="24">
        <v>31.42854517989716</v>
      </c>
      <c r="BB52" s="24">
        <v>0.37341902580337794</v>
      </c>
      <c r="BC52" s="24">
        <v>19.676667476793636</v>
      </c>
      <c r="BD52" s="24">
        <v>84.100172763990315</v>
      </c>
      <c r="BE52" s="24">
        <v>0</v>
      </c>
      <c r="BF52" s="24">
        <v>20.42152718080423</v>
      </c>
      <c r="BG52" s="24">
        <v>105221.25548093986</v>
      </c>
      <c r="BH52" s="24">
        <v>54530.533516138559</v>
      </c>
      <c r="BI52" s="24">
        <v>61759.977567133858</v>
      </c>
      <c r="BJ52" s="24">
        <v>3.6329763184528829</v>
      </c>
      <c r="BK52" s="24">
        <v>0.4027737812966129</v>
      </c>
      <c r="BL52" s="24">
        <v>0</v>
      </c>
      <c r="BM52" s="24">
        <v>947.82608686306696</v>
      </c>
      <c r="BN52" s="24">
        <v>7.0418700258778406</v>
      </c>
      <c r="BO52" s="24">
        <v>7.0248587614121591</v>
      </c>
      <c r="BP52" s="24">
        <v>30.645835719668241</v>
      </c>
      <c r="BQ52" s="24">
        <v>0</v>
      </c>
      <c r="BR52" s="25">
        <v>742161.90642674477</v>
      </c>
      <c r="BS52" s="26">
        <v>806483.48985044996</v>
      </c>
      <c r="BT52" s="26">
        <v>0</v>
      </c>
      <c r="BU52" s="26">
        <v>0</v>
      </c>
      <c r="BV52" s="26">
        <v>0</v>
      </c>
      <c r="BW52" s="26">
        <v>0</v>
      </c>
      <c r="BX52" s="27">
        <v>806483.48985044996</v>
      </c>
      <c r="BY52" s="26">
        <v>5445879.258745851</v>
      </c>
      <c r="BZ52" s="26">
        <v>0</v>
      </c>
      <c r="CA52" s="27">
        <v>5445879.258745851</v>
      </c>
      <c r="CB52" s="26">
        <v>0</v>
      </c>
      <c r="CC52" s="26">
        <v>0</v>
      </c>
      <c r="CD52" s="26">
        <v>0</v>
      </c>
      <c r="CE52" s="27">
        <v>0</v>
      </c>
      <c r="CF52" s="25">
        <v>6252362.7485963013</v>
      </c>
      <c r="CG52" s="26">
        <v>0</v>
      </c>
      <c r="CH52" s="25">
        <v>6994524.6550230458</v>
      </c>
      <c r="CI52" s="37" t="s">
        <v>151</v>
      </c>
      <c r="CJ52" s="35">
        <v>72</v>
      </c>
      <c r="CM52" s="30"/>
    </row>
    <row r="53" spans="1:91" ht="32" customHeight="1" x14ac:dyDescent="0.2">
      <c r="A53" s="35">
        <v>73</v>
      </c>
      <c r="B53" s="36" t="s">
        <v>72</v>
      </c>
      <c r="C53" s="24">
        <v>142.57324581013387</v>
      </c>
      <c r="D53" s="24">
        <v>0</v>
      </c>
      <c r="E53" s="24">
        <v>2255.7634954174696</v>
      </c>
      <c r="F53" s="24">
        <v>27981.144434676367</v>
      </c>
      <c r="G53" s="452">
        <v>362386.15121063264</v>
      </c>
      <c r="H53" s="24">
        <v>119703.9466882532</v>
      </c>
      <c r="I53" s="24">
        <v>757.12707840327664</v>
      </c>
      <c r="J53" s="24">
        <v>551.66298027359562</v>
      </c>
      <c r="K53" s="24">
        <v>651.20970975767682</v>
      </c>
      <c r="L53" s="24">
        <v>210.11914087503149</v>
      </c>
      <c r="M53" s="24">
        <v>18.724501611137146</v>
      </c>
      <c r="N53" s="24">
        <v>4307.8399125801161</v>
      </c>
      <c r="O53" s="24">
        <v>817.08132232565538</v>
      </c>
      <c r="P53" s="64">
        <v>5598.819959423985</v>
      </c>
      <c r="Q53" s="24">
        <v>4679.1040167592182</v>
      </c>
      <c r="R53" s="24">
        <v>9818.4707540801628</v>
      </c>
      <c r="S53" s="24">
        <v>851.18252599998141</v>
      </c>
      <c r="T53" s="24">
        <v>17123.787911482214</v>
      </c>
      <c r="U53" s="24">
        <v>1881.7626286783179</v>
      </c>
      <c r="V53" s="24">
        <v>810.51198637512425</v>
      </c>
      <c r="W53" s="24">
        <v>143.17428139350116</v>
      </c>
      <c r="X53" s="24">
        <v>5866.7573603837327</v>
      </c>
      <c r="Y53" s="24">
        <v>2925.6162054604915</v>
      </c>
      <c r="Z53" s="24">
        <v>1186.4915164911802</v>
      </c>
      <c r="AA53" s="24">
        <v>33.680512703402755</v>
      </c>
      <c r="AB53" s="24">
        <v>1148.6934752431939</v>
      </c>
      <c r="AC53" s="24">
        <v>185.84815358725425</v>
      </c>
      <c r="AD53" s="24">
        <v>4.2431639050589318</v>
      </c>
      <c r="AE53" s="24">
        <v>1095.7592622056707</v>
      </c>
      <c r="AF53" s="24">
        <v>11650.159517762122</v>
      </c>
      <c r="AG53" s="24">
        <v>0</v>
      </c>
      <c r="AH53" s="24">
        <v>1092314.8035876704</v>
      </c>
      <c r="AI53" s="24">
        <v>63884.465997250569</v>
      </c>
      <c r="AJ53" s="24">
        <v>6103.5150599424378</v>
      </c>
      <c r="AK53" s="24">
        <v>158027.26515907841</v>
      </c>
      <c r="AL53" s="24">
        <v>98383.531054866631</v>
      </c>
      <c r="AM53" s="24">
        <v>23218.058994467581</v>
      </c>
      <c r="AN53" s="24">
        <v>1142.3130581702158</v>
      </c>
      <c r="AO53" s="24">
        <v>2062834.8538474489</v>
      </c>
      <c r="AP53" s="24">
        <v>2378.2558457372093</v>
      </c>
      <c r="AQ53" s="24">
        <v>254.20764824646835</v>
      </c>
      <c r="AR53" s="24">
        <v>254.20764824646835</v>
      </c>
      <c r="AS53" s="24">
        <v>4585613.1762547167</v>
      </c>
      <c r="AT53" s="24">
        <v>21744.943485420848</v>
      </c>
      <c r="AU53" s="24">
        <v>10948.106009127261</v>
      </c>
      <c r="AV53" s="24">
        <v>13060.774068339473</v>
      </c>
      <c r="AW53" s="24">
        <v>534.32457244456884</v>
      </c>
      <c r="AX53" s="24">
        <v>6318.3878132900882</v>
      </c>
      <c r="AY53" s="24">
        <v>4581.0378032487661</v>
      </c>
      <c r="AZ53" s="24">
        <v>228.06627070764316</v>
      </c>
      <c r="BA53" s="24">
        <v>11290.580445647125</v>
      </c>
      <c r="BB53" s="24">
        <v>4208.683326828479</v>
      </c>
      <c r="BC53" s="24">
        <v>38857.456280026512</v>
      </c>
      <c r="BD53" s="24">
        <v>2633.2078048367239</v>
      </c>
      <c r="BE53" s="24">
        <v>998.344109546646</v>
      </c>
      <c r="BF53" s="24">
        <v>15506.412095827807</v>
      </c>
      <c r="BG53" s="24">
        <v>160699.25309880651</v>
      </c>
      <c r="BH53" s="24">
        <v>19179.971257171797</v>
      </c>
      <c r="BI53" s="24">
        <v>163934.86987570213</v>
      </c>
      <c r="BJ53" s="24">
        <v>577.45388129523144</v>
      </c>
      <c r="BK53" s="24">
        <v>55.648700794112905</v>
      </c>
      <c r="BL53" s="24">
        <v>1084.6076999002382</v>
      </c>
      <c r="BM53" s="24">
        <v>7986.9463075715285</v>
      </c>
      <c r="BN53" s="24">
        <v>58836.52361397331</v>
      </c>
      <c r="BO53" s="24">
        <v>10175.108762256075</v>
      </c>
      <c r="BP53" s="24">
        <v>25256.612628355477</v>
      </c>
      <c r="BQ53" s="24">
        <v>0</v>
      </c>
      <c r="BR53" s="25">
        <v>9257893.3810195141</v>
      </c>
      <c r="BS53" s="26">
        <v>5669808.5078311749</v>
      </c>
      <c r="BT53" s="26">
        <v>0</v>
      </c>
      <c r="BU53" s="26">
        <v>0</v>
      </c>
      <c r="BV53" s="26">
        <v>0</v>
      </c>
      <c r="BW53" s="26">
        <v>0</v>
      </c>
      <c r="BX53" s="27">
        <v>5669808.5078311749</v>
      </c>
      <c r="BY53" s="26">
        <v>7133716.4730039099</v>
      </c>
      <c r="BZ53" s="26">
        <v>0</v>
      </c>
      <c r="CA53" s="27">
        <v>7133716.4730039099</v>
      </c>
      <c r="CB53" s="26">
        <v>0</v>
      </c>
      <c r="CC53" s="26">
        <v>872450.10900791653</v>
      </c>
      <c r="CD53" s="26">
        <v>0</v>
      </c>
      <c r="CE53" s="27">
        <v>872450.10900791653</v>
      </c>
      <c r="CF53" s="25">
        <v>13675975.089843001</v>
      </c>
      <c r="CG53" s="26">
        <v>10727807.384960204</v>
      </c>
      <c r="CH53" s="25">
        <v>12206061.085902311</v>
      </c>
      <c r="CI53" s="37" t="s">
        <v>152</v>
      </c>
      <c r="CJ53" s="35">
        <v>73</v>
      </c>
      <c r="CM53" s="30"/>
    </row>
    <row r="54" spans="1:91" ht="32" customHeight="1" x14ac:dyDescent="0.2">
      <c r="A54" s="35">
        <v>74</v>
      </c>
      <c r="B54" s="36" t="s">
        <v>73</v>
      </c>
      <c r="C54" s="24">
        <v>115.81105498981186</v>
      </c>
      <c r="D54" s="24">
        <v>0</v>
      </c>
      <c r="E54" s="24">
        <v>1879.8785956519348</v>
      </c>
      <c r="F54" s="24">
        <v>24816.745851634656</v>
      </c>
      <c r="G54" s="452">
        <v>319952.6913412023</v>
      </c>
      <c r="H54" s="24">
        <v>106133.92234001982</v>
      </c>
      <c r="I54" s="24">
        <v>671.2499091565245</v>
      </c>
      <c r="J54" s="24">
        <v>451.56234192907164</v>
      </c>
      <c r="K54" s="24">
        <v>571.93165848326191</v>
      </c>
      <c r="L54" s="24">
        <v>177.00940368078949</v>
      </c>
      <c r="M54" s="24">
        <v>16.496644539197472</v>
      </c>
      <c r="N54" s="24">
        <v>3757.246791834229</v>
      </c>
      <c r="O54" s="24">
        <v>686.62881377020756</v>
      </c>
      <c r="P54" s="64">
        <v>4685.6798367907613</v>
      </c>
      <c r="Q54" s="24">
        <v>4046.1509896551806</v>
      </c>
      <c r="R54" s="24">
        <v>8686.1860818633904</v>
      </c>
      <c r="S54" s="24">
        <v>736.98576016630886</v>
      </c>
      <c r="T54" s="24">
        <v>14569.896879104037</v>
      </c>
      <c r="U54" s="24">
        <v>1623.9479068045098</v>
      </c>
      <c r="V54" s="24">
        <v>708.5007362577021</v>
      </c>
      <c r="W54" s="24">
        <v>126.52124197671057</v>
      </c>
      <c r="X54" s="24">
        <v>5137.48036530219</v>
      </c>
      <c r="Y54" s="24">
        <v>2584.0384774670651</v>
      </c>
      <c r="Z54" s="24">
        <v>1011.8577927481922</v>
      </c>
      <c r="AA54" s="24">
        <v>29.557334617271501</v>
      </c>
      <c r="AB54" s="24">
        <v>998.28591506117186</v>
      </c>
      <c r="AC54" s="24">
        <v>162.15610590493489</v>
      </c>
      <c r="AD54" s="24">
        <v>3.7317992683157026</v>
      </c>
      <c r="AE54" s="24">
        <v>960.76558042048464</v>
      </c>
      <c r="AF54" s="24">
        <v>7320.339677515145</v>
      </c>
      <c r="AG54" s="24">
        <v>0</v>
      </c>
      <c r="AH54" s="24">
        <v>951392.08841029974</v>
      </c>
      <c r="AI54" s="24">
        <v>50890.374771878247</v>
      </c>
      <c r="AJ54" s="24">
        <v>2394.5514187422609</v>
      </c>
      <c r="AK54" s="24">
        <v>130296.2064330501</v>
      </c>
      <c r="AL54" s="24">
        <v>87261.302335539673</v>
      </c>
      <c r="AM54" s="24">
        <v>20593.264379083415</v>
      </c>
      <c r="AN54" s="24">
        <v>1013.1749090733146</v>
      </c>
      <c r="AO54" s="24">
        <v>1829631.9914507368</v>
      </c>
      <c r="AP54" s="24">
        <v>2109.3947346777363</v>
      </c>
      <c r="AQ54" s="24">
        <v>223.9405652880489</v>
      </c>
      <c r="AR54" s="24">
        <v>223.9405652880489</v>
      </c>
      <c r="AS54" s="24">
        <v>4067039.3112196829</v>
      </c>
      <c r="AT54" s="24">
        <v>18812.471280225072</v>
      </c>
      <c r="AU54" s="24">
        <v>9421.3331432586856</v>
      </c>
      <c r="AV54" s="24">
        <v>9628.0246066119871</v>
      </c>
      <c r="AW54" s="24">
        <v>470.03414079488851</v>
      </c>
      <c r="AX54" s="24">
        <v>4778.620930948643</v>
      </c>
      <c r="AY54" s="24">
        <v>3391.374794788569</v>
      </c>
      <c r="AZ54" s="24">
        <v>193.7708159770288</v>
      </c>
      <c r="BA54" s="24">
        <v>9869.6963670072673</v>
      </c>
      <c r="BB54" s="24">
        <v>3706.4134789129857</v>
      </c>
      <c r="BC54" s="24">
        <v>29272.619579267834</v>
      </c>
      <c r="BD54" s="24">
        <v>2335.5244511606093</v>
      </c>
      <c r="BE54" s="24">
        <v>826.81327520577997</v>
      </c>
      <c r="BF54" s="24">
        <v>12787.452967726833</v>
      </c>
      <c r="BG54" s="24">
        <v>141176.11801171576</v>
      </c>
      <c r="BH54" s="24">
        <v>16479.112245951688</v>
      </c>
      <c r="BI54" s="24">
        <v>140599.61870409545</v>
      </c>
      <c r="BJ54" s="24">
        <v>506.20206429078394</v>
      </c>
      <c r="BK54" s="24">
        <v>49.302964046930576</v>
      </c>
      <c r="BL54" s="24">
        <v>961.34798166424855</v>
      </c>
      <c r="BM54" s="24">
        <v>5579.7488934230123</v>
      </c>
      <c r="BN54" s="24">
        <v>49413.208069685912</v>
      </c>
      <c r="BO54" s="24">
        <v>8575.9422136232279</v>
      </c>
      <c r="BP54" s="24">
        <v>21909.257519030445</v>
      </c>
      <c r="BQ54" s="24">
        <v>0</v>
      </c>
      <c r="BR54" s="25">
        <v>8146436.8069205666</v>
      </c>
      <c r="BS54" s="26">
        <v>4946255.0262145977</v>
      </c>
      <c r="BT54" s="26">
        <v>0</v>
      </c>
      <c r="BU54" s="26">
        <v>0</v>
      </c>
      <c r="BV54" s="26">
        <v>0</v>
      </c>
      <c r="BW54" s="26">
        <v>0</v>
      </c>
      <c r="BX54" s="27">
        <v>4946255.0262145977</v>
      </c>
      <c r="BY54" s="26">
        <v>6327251.9623193741</v>
      </c>
      <c r="BZ54" s="26">
        <v>0</v>
      </c>
      <c r="CA54" s="27">
        <v>6327251.9623193741</v>
      </c>
      <c r="CB54" s="26">
        <v>0</v>
      </c>
      <c r="CC54" s="26">
        <v>773819.88548832899</v>
      </c>
      <c r="CD54" s="26">
        <v>0</v>
      </c>
      <c r="CE54" s="27">
        <v>773819.88548832899</v>
      </c>
      <c r="CF54" s="25">
        <v>12047326.874022301</v>
      </c>
      <c r="CG54" s="26">
        <v>9515031.9731296282</v>
      </c>
      <c r="CH54" s="25">
        <v>10678731.707813239</v>
      </c>
      <c r="CI54" s="37" t="s">
        <v>153</v>
      </c>
      <c r="CJ54" s="35">
        <v>74</v>
      </c>
      <c r="CM54" s="30"/>
    </row>
    <row r="55" spans="1:91" ht="32" customHeight="1" x14ac:dyDescent="0.2">
      <c r="A55" s="35">
        <v>75</v>
      </c>
      <c r="B55" s="36" t="s">
        <v>74</v>
      </c>
      <c r="C55" s="24">
        <v>0</v>
      </c>
      <c r="D55" s="24">
        <v>0</v>
      </c>
      <c r="E55" s="24">
        <v>0</v>
      </c>
      <c r="F55" s="24">
        <v>15.802803064501632</v>
      </c>
      <c r="G55" s="452">
        <v>0</v>
      </c>
      <c r="H55" s="24">
        <v>0</v>
      </c>
      <c r="I55" s="24">
        <v>7.5240982568650914</v>
      </c>
      <c r="J55" s="24">
        <v>0.11762327916960356</v>
      </c>
      <c r="K55" s="24">
        <v>5.3764275493650072E-2</v>
      </c>
      <c r="L55" s="24">
        <v>0.15793934657885311</v>
      </c>
      <c r="M55" s="24">
        <v>2.6545166516657542E-2</v>
      </c>
      <c r="N55" s="24">
        <v>2.3104947507368494</v>
      </c>
      <c r="O55" s="24">
        <v>0</v>
      </c>
      <c r="P55" s="64">
        <v>13.16187229925502</v>
      </c>
      <c r="Q55" s="24">
        <v>2.3814273760184022</v>
      </c>
      <c r="R55" s="24">
        <v>2.0754991238177647</v>
      </c>
      <c r="S55" s="24">
        <v>0</v>
      </c>
      <c r="T55" s="24">
        <v>8.3462963738288494</v>
      </c>
      <c r="U55" s="24">
        <v>0.55007211955056012</v>
      </c>
      <c r="V55" s="24">
        <v>0.89749578969889576</v>
      </c>
      <c r="W55" s="24">
        <v>9.6572947676798471E-2</v>
      </c>
      <c r="X55" s="24">
        <v>2.1759031899508661</v>
      </c>
      <c r="Y55" s="24">
        <v>0.73445437712476436</v>
      </c>
      <c r="Z55" s="24">
        <v>0.75499653921341681</v>
      </c>
      <c r="AA55" s="24">
        <v>0</v>
      </c>
      <c r="AB55" s="24">
        <v>0</v>
      </c>
      <c r="AC55" s="24">
        <v>4.6868316701007127E-2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152.28717145694031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391.35068348613936</v>
      </c>
      <c r="AR55" s="24">
        <v>391.35068348613936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0.61320087098417231</v>
      </c>
      <c r="BI55" s="24">
        <v>806.41735224048216</v>
      </c>
      <c r="BJ55" s="24">
        <v>5.5154527020116279E-2</v>
      </c>
      <c r="BK55" s="24">
        <v>5.0498452357008029E-4</v>
      </c>
      <c r="BL55" s="24">
        <v>5.9593964869387606E-3</v>
      </c>
      <c r="BM55" s="24">
        <v>1.003404047937424</v>
      </c>
      <c r="BN55" s="24">
        <v>2.1087288435271385</v>
      </c>
      <c r="BO55" s="24">
        <v>0.35157329807527798</v>
      </c>
      <c r="BP55" s="24">
        <v>4.72037655739096</v>
      </c>
      <c r="BQ55" s="24">
        <v>0</v>
      </c>
      <c r="BR55" s="25">
        <v>1807.4795197883454</v>
      </c>
      <c r="BS55" s="26">
        <v>85986.050734202174</v>
      </c>
      <c r="BT55" s="26">
        <v>2044.157373405335</v>
      </c>
      <c r="BU55" s="26">
        <v>2606.9524137900671</v>
      </c>
      <c r="BV55" s="26">
        <v>28278.561741610225</v>
      </c>
      <c r="BW55" s="26">
        <v>12280.106507338431</v>
      </c>
      <c r="BX55" s="27">
        <v>125981.92394276609</v>
      </c>
      <c r="BY55" s="26">
        <v>0</v>
      </c>
      <c r="BZ55" s="26">
        <v>0</v>
      </c>
      <c r="CA55" s="27">
        <v>0</v>
      </c>
      <c r="CB55" s="26">
        <v>0</v>
      </c>
      <c r="CC55" s="26">
        <v>0</v>
      </c>
      <c r="CD55" s="26">
        <v>2606.9524137900671</v>
      </c>
      <c r="CE55" s="27">
        <v>2606.9524137900671</v>
      </c>
      <c r="CF55" s="25">
        <v>128588.87635655617</v>
      </c>
      <c r="CG55" s="26">
        <v>5385.1082784735918</v>
      </c>
      <c r="CH55" s="25">
        <v>125011.24759787093</v>
      </c>
      <c r="CI55" s="37" t="s">
        <v>154</v>
      </c>
      <c r="CJ55" s="35">
        <v>75</v>
      </c>
      <c r="CM55" s="30"/>
    </row>
    <row r="56" spans="1:91" ht="32" customHeight="1" x14ac:dyDescent="0.2">
      <c r="A56" s="35">
        <v>77</v>
      </c>
      <c r="B56" s="36" t="s">
        <v>75</v>
      </c>
      <c r="C56" s="24">
        <v>6274.2950148781702</v>
      </c>
      <c r="D56" s="24">
        <v>0</v>
      </c>
      <c r="E56" s="24">
        <v>115941.14049057606</v>
      </c>
      <c r="F56" s="24">
        <v>20128.764848604667</v>
      </c>
      <c r="G56" s="452">
        <v>334059.88902519201</v>
      </c>
      <c r="H56" s="24">
        <v>27875.154622804836</v>
      </c>
      <c r="I56" s="24">
        <v>69755.005983704817</v>
      </c>
      <c r="J56" s="24">
        <v>1332.6843355104538</v>
      </c>
      <c r="K56" s="24">
        <v>1232.8889653799902</v>
      </c>
      <c r="L56" s="24">
        <v>131.27377138701172</v>
      </c>
      <c r="M56" s="24">
        <v>8.7585547120743659</v>
      </c>
      <c r="N56" s="24">
        <v>16004.526082702336</v>
      </c>
      <c r="O56" s="24">
        <v>2067.1619160262467</v>
      </c>
      <c r="P56" s="64">
        <v>4259.4959988854298</v>
      </c>
      <c r="Q56" s="24">
        <v>4530.4903027114378</v>
      </c>
      <c r="R56" s="24">
        <v>3157.695146346528</v>
      </c>
      <c r="S56" s="24">
        <v>2188.2781536958755</v>
      </c>
      <c r="T56" s="24">
        <v>28139.650644156271</v>
      </c>
      <c r="U56" s="24">
        <v>8504.3873629983118</v>
      </c>
      <c r="V56" s="24">
        <v>2318.3773688418983</v>
      </c>
      <c r="W56" s="24">
        <v>434.54342153425569</v>
      </c>
      <c r="X56" s="24">
        <v>4834.3867644412903</v>
      </c>
      <c r="Y56" s="24">
        <v>655.34176497571264</v>
      </c>
      <c r="Z56" s="24">
        <v>1009.7145995549032</v>
      </c>
      <c r="AA56" s="24">
        <v>486.14424253057547</v>
      </c>
      <c r="AB56" s="24">
        <v>1753.4090613030648</v>
      </c>
      <c r="AC56" s="24">
        <v>1160.0858008405119</v>
      </c>
      <c r="AD56" s="24">
        <v>16.683875220245238</v>
      </c>
      <c r="AE56" s="24">
        <v>107.09401784843627</v>
      </c>
      <c r="AF56" s="24">
        <v>648.32543663889032</v>
      </c>
      <c r="AG56" s="24">
        <v>1395176.3991500156</v>
      </c>
      <c r="AH56" s="24">
        <v>49749.307208789127</v>
      </c>
      <c r="AI56" s="24">
        <v>138148.70000745918</v>
      </c>
      <c r="AJ56" s="24">
        <v>35447.632270670591</v>
      </c>
      <c r="AK56" s="24">
        <v>2036.0906794848659</v>
      </c>
      <c r="AL56" s="24">
        <v>45.69021274979481</v>
      </c>
      <c r="AM56" s="24">
        <v>10.782679211858154</v>
      </c>
      <c r="AN56" s="24">
        <v>36043.57154126525</v>
      </c>
      <c r="AO56" s="24">
        <v>2433.3527246665758</v>
      </c>
      <c r="AP56" s="24">
        <v>63473.225413555447</v>
      </c>
      <c r="AQ56" s="24">
        <v>2359.8419125823389</v>
      </c>
      <c r="AR56" s="24">
        <v>2359.8419125823389</v>
      </c>
      <c r="AS56" s="24">
        <v>292.93101627861222</v>
      </c>
      <c r="AT56" s="24">
        <v>139.1240198374756</v>
      </c>
      <c r="AU56" s="24">
        <v>847.34027750346979</v>
      </c>
      <c r="AV56" s="24">
        <v>523.47096330365537</v>
      </c>
      <c r="AW56" s="24">
        <v>0.50473664204735558</v>
      </c>
      <c r="AX56" s="24">
        <v>1018.3928140620965</v>
      </c>
      <c r="AY56" s="24">
        <v>4142.0787980895875</v>
      </c>
      <c r="AZ56" s="24">
        <v>3.2702582554539594</v>
      </c>
      <c r="BA56" s="24">
        <v>980.42243390172541</v>
      </c>
      <c r="BB56" s="24">
        <v>64.227521814194105</v>
      </c>
      <c r="BC56" s="24">
        <v>242628.20580310511</v>
      </c>
      <c r="BD56" s="24">
        <v>35.703145795263424</v>
      </c>
      <c r="BE56" s="24">
        <v>21.004788630667711</v>
      </c>
      <c r="BF56" s="24">
        <v>67.623203828901993</v>
      </c>
      <c r="BG56" s="24">
        <v>31206.69953801508</v>
      </c>
      <c r="BH56" s="24">
        <v>5314.9506633651927</v>
      </c>
      <c r="BI56" s="24">
        <v>10304.505879512551</v>
      </c>
      <c r="BJ56" s="24">
        <v>16.594076793994226</v>
      </c>
      <c r="BK56" s="24">
        <v>0.99261297975354645</v>
      </c>
      <c r="BL56" s="24">
        <v>6.8569250287662475</v>
      </c>
      <c r="BM56" s="24">
        <v>3751.013784808571</v>
      </c>
      <c r="BN56" s="24">
        <v>2407.617768004613</v>
      </c>
      <c r="BO56" s="24">
        <v>360.37958787116037</v>
      </c>
      <c r="BP56" s="24">
        <v>177.87805099917014</v>
      </c>
      <c r="BQ56" s="24">
        <v>0</v>
      </c>
      <c r="BR56" s="25">
        <v>2690611.8719554623</v>
      </c>
      <c r="BS56" s="26">
        <v>2052937.2370360098</v>
      </c>
      <c r="BT56" s="26">
        <v>0</v>
      </c>
      <c r="BU56" s="26">
        <v>584255.64318491926</v>
      </c>
      <c r="BV56" s="26">
        <v>0</v>
      </c>
      <c r="BW56" s="26">
        <v>0</v>
      </c>
      <c r="BX56" s="27">
        <v>1468681.5938510904</v>
      </c>
      <c r="BY56" s="26">
        <v>0</v>
      </c>
      <c r="BZ56" s="26">
        <v>0</v>
      </c>
      <c r="CA56" s="27">
        <v>0</v>
      </c>
      <c r="CB56" s="26">
        <v>0</v>
      </c>
      <c r="CC56" s="26">
        <v>0</v>
      </c>
      <c r="CD56" s="26">
        <v>584255.64318491926</v>
      </c>
      <c r="CE56" s="27">
        <v>584255.64318491926</v>
      </c>
      <c r="CF56" s="25">
        <v>2052937.2370360098</v>
      </c>
      <c r="CG56" s="26">
        <v>0</v>
      </c>
      <c r="CH56" s="25">
        <v>4743549.1089914721</v>
      </c>
      <c r="CI56" s="37" t="s">
        <v>155</v>
      </c>
      <c r="CJ56" s="35">
        <v>77</v>
      </c>
      <c r="CM56" s="30"/>
    </row>
    <row r="57" spans="1:91" ht="32" customHeight="1" x14ac:dyDescent="0.2">
      <c r="A57" s="35">
        <v>78</v>
      </c>
      <c r="B57" s="36" t="s">
        <v>76</v>
      </c>
      <c r="C57" s="24">
        <v>150.8038489267368</v>
      </c>
      <c r="D57" s="24">
        <v>0</v>
      </c>
      <c r="E57" s="24">
        <v>1712.4509059334748</v>
      </c>
      <c r="F57" s="24">
        <v>16.13094139156825</v>
      </c>
      <c r="G57" s="452">
        <v>20766.965567328585</v>
      </c>
      <c r="H57" s="24">
        <v>531.69365832124527</v>
      </c>
      <c r="I57" s="24">
        <v>4.026126107575088</v>
      </c>
      <c r="J57" s="24">
        <v>534.61608723387872</v>
      </c>
      <c r="K57" s="24">
        <v>80.173897251033338</v>
      </c>
      <c r="L57" s="24">
        <v>132.54903000350367</v>
      </c>
      <c r="M57" s="24">
        <v>1.5734144490140505</v>
      </c>
      <c r="N57" s="24">
        <v>900.95734603576113</v>
      </c>
      <c r="O57" s="24">
        <v>539.52380693485327</v>
      </c>
      <c r="P57" s="64">
        <v>3969.6742479823342</v>
      </c>
      <c r="Q57" s="24">
        <v>1473.1642415995216</v>
      </c>
      <c r="R57" s="24">
        <v>316.0704517993571</v>
      </c>
      <c r="S57" s="24">
        <v>254.6023804201331</v>
      </c>
      <c r="T57" s="24">
        <v>8756.2700349564766</v>
      </c>
      <c r="U57" s="24">
        <v>638.70092369182328</v>
      </c>
      <c r="V57" s="24">
        <v>147.10307343779357</v>
      </c>
      <c r="W57" s="24">
        <v>6.6194925248505614</v>
      </c>
      <c r="X57" s="24">
        <v>935.64971609462168</v>
      </c>
      <c r="Y57" s="24">
        <v>153.54334113164629</v>
      </c>
      <c r="Z57" s="24">
        <v>573.80219623150822</v>
      </c>
      <c r="AA57" s="24">
        <v>4.4713608244307084</v>
      </c>
      <c r="AB57" s="24">
        <v>291.11594234750174</v>
      </c>
      <c r="AC57" s="24">
        <v>37.996887402881853</v>
      </c>
      <c r="AD57" s="24">
        <v>0.44877394645677332</v>
      </c>
      <c r="AE57" s="24">
        <v>157.52063710166067</v>
      </c>
      <c r="AF57" s="24">
        <v>42683.552220915415</v>
      </c>
      <c r="AG57" s="24">
        <v>0</v>
      </c>
      <c r="AH57" s="24">
        <v>247037.16793035995</v>
      </c>
      <c r="AI57" s="24">
        <v>81774.585301531799</v>
      </c>
      <c r="AJ57" s="24">
        <v>42771.253427039301</v>
      </c>
      <c r="AK57" s="24">
        <v>139778.61456831076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21.661934866964646</v>
      </c>
      <c r="AR57" s="24">
        <v>21.661934866964646</v>
      </c>
      <c r="AS57" s="24">
        <v>2432.1241444575062</v>
      </c>
      <c r="AT57" s="24">
        <v>6718.4253880553852</v>
      </c>
      <c r="AU57" s="24">
        <v>4095.7306697912395</v>
      </c>
      <c r="AV57" s="24">
        <v>27714.98991301567</v>
      </c>
      <c r="AW57" s="24">
        <v>55.043674293163903</v>
      </c>
      <c r="AX57" s="24">
        <v>11694.943176751221</v>
      </c>
      <c r="AY57" s="24">
        <v>9517.4364983571395</v>
      </c>
      <c r="AZ57" s="24">
        <v>120.60296615546319</v>
      </c>
      <c r="BA57" s="24">
        <v>2047.0288919935786</v>
      </c>
      <c r="BB57" s="24">
        <v>375.14854900640387</v>
      </c>
      <c r="BC57" s="24">
        <v>73558.004211058083</v>
      </c>
      <c r="BD57" s="24">
        <v>0</v>
      </c>
      <c r="BE57" s="24">
        <v>831.18541363075644</v>
      </c>
      <c r="BF57" s="24">
        <v>13685.323360519249</v>
      </c>
      <c r="BG57" s="24">
        <v>19213.051530907189</v>
      </c>
      <c r="BH57" s="24">
        <v>7545.1879313665813</v>
      </c>
      <c r="BI57" s="24">
        <v>68039.047087395171</v>
      </c>
      <c r="BJ57" s="24">
        <v>84.591900814457674</v>
      </c>
      <c r="BK57" s="24">
        <v>0.77450760687506692</v>
      </c>
      <c r="BL57" s="24">
        <v>9.1400779550386826</v>
      </c>
      <c r="BM57" s="24">
        <v>21311.870268442148</v>
      </c>
      <c r="BN57" s="24">
        <v>39270.47179687574</v>
      </c>
      <c r="BO57" s="24">
        <v>6359.4299779685171</v>
      </c>
      <c r="BP57" s="24">
        <v>6971.8791087194086</v>
      </c>
      <c r="BQ57" s="24">
        <v>0</v>
      </c>
      <c r="BR57" s="25">
        <v>918828.1466944376</v>
      </c>
      <c r="BS57" s="26">
        <v>1170001.8652523709</v>
      </c>
      <c r="BT57" s="26">
        <v>0</v>
      </c>
      <c r="BU57" s="26">
        <v>0</v>
      </c>
      <c r="BV57" s="26">
        <v>0</v>
      </c>
      <c r="BW57" s="26">
        <v>0</v>
      </c>
      <c r="BX57" s="27">
        <v>1170001.8652523709</v>
      </c>
      <c r="BY57" s="26">
        <v>0</v>
      </c>
      <c r="BZ57" s="26">
        <v>0</v>
      </c>
      <c r="CA57" s="27">
        <v>0</v>
      </c>
      <c r="CB57" s="26">
        <v>0</v>
      </c>
      <c r="CC57" s="26">
        <v>0</v>
      </c>
      <c r="CD57" s="26">
        <v>0</v>
      </c>
      <c r="CE57" s="27">
        <v>0</v>
      </c>
      <c r="CF57" s="25">
        <v>1170001.8652523709</v>
      </c>
      <c r="CG57" s="26">
        <v>0</v>
      </c>
      <c r="CH57" s="25">
        <v>2088830.0119468085</v>
      </c>
      <c r="CI57" s="37" t="s">
        <v>156</v>
      </c>
      <c r="CJ57" s="35">
        <v>78</v>
      </c>
      <c r="CM57" s="30"/>
    </row>
    <row r="58" spans="1:91" ht="32" customHeight="1" x14ac:dyDescent="0.2">
      <c r="A58" s="35">
        <v>79</v>
      </c>
      <c r="B58" s="36" t="s">
        <v>77</v>
      </c>
      <c r="C58" s="24">
        <v>257600.58965336179</v>
      </c>
      <c r="D58" s="24">
        <v>0</v>
      </c>
      <c r="E58" s="24">
        <v>3863.5368612485845</v>
      </c>
      <c r="F58" s="24">
        <v>192421.02030940572</v>
      </c>
      <c r="G58" s="452">
        <v>0</v>
      </c>
      <c r="H58" s="24">
        <v>213961.31763709718</v>
      </c>
      <c r="I58" s="24">
        <v>65563.341672194394</v>
      </c>
      <c r="J58" s="24">
        <v>225109.40402918606</v>
      </c>
      <c r="K58" s="24">
        <v>51811.167508736769</v>
      </c>
      <c r="L58" s="24">
        <v>24731.068730630242</v>
      </c>
      <c r="M58" s="24">
        <v>5411.5761322916451</v>
      </c>
      <c r="N58" s="24">
        <v>108990.23697908645</v>
      </c>
      <c r="O58" s="24">
        <v>12042.355732336362</v>
      </c>
      <c r="P58" s="64">
        <v>540921.61574979604</v>
      </c>
      <c r="Q58" s="24">
        <v>203853.73795885046</v>
      </c>
      <c r="R58" s="24">
        <v>128338.12834426126</v>
      </c>
      <c r="S58" s="24">
        <v>56860.731790826008</v>
      </c>
      <c r="T58" s="24">
        <v>270647.52670720778</v>
      </c>
      <c r="U58" s="24">
        <v>232520.78914790004</v>
      </c>
      <c r="V58" s="24">
        <v>50726.839466605838</v>
      </c>
      <c r="W58" s="24">
        <v>12680.265813868869</v>
      </c>
      <c r="X58" s="24">
        <v>50855.502854908671</v>
      </c>
      <c r="Y58" s="24">
        <v>19356.288756625338</v>
      </c>
      <c r="Z58" s="24">
        <v>36130.775771634821</v>
      </c>
      <c r="AA58" s="24">
        <v>718.04059577814257</v>
      </c>
      <c r="AB58" s="24">
        <v>38703.378213144395</v>
      </c>
      <c r="AC58" s="24">
        <v>3035.3579321603784</v>
      </c>
      <c r="AD58" s="24">
        <v>57.036274003433022</v>
      </c>
      <c r="AE58" s="24">
        <v>12632.237192309049</v>
      </c>
      <c r="AF58" s="24">
        <v>17482.786292309062</v>
      </c>
      <c r="AG58" s="24">
        <v>0</v>
      </c>
      <c r="AH58" s="24">
        <v>359010.61646015238</v>
      </c>
      <c r="AI58" s="24">
        <v>661144.60479773511</v>
      </c>
      <c r="AJ58" s="24">
        <v>27292.962325452161</v>
      </c>
      <c r="AK58" s="24">
        <v>350480.4630728584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8199.8101990553569</v>
      </c>
      <c r="AT58" s="24">
        <v>12249.360445637622</v>
      </c>
      <c r="AU58" s="24">
        <v>7495.4413760682964</v>
      </c>
      <c r="AV58" s="24">
        <v>51521.28851432482</v>
      </c>
      <c r="AW58" s="24">
        <v>105.86655479827969</v>
      </c>
      <c r="AX58" s="24">
        <v>21636.917984400709</v>
      </c>
      <c r="AY58" s="24">
        <v>17821.207216352359</v>
      </c>
      <c r="AZ58" s="24">
        <v>224.59366021301571</v>
      </c>
      <c r="BA58" s="24">
        <v>6846.7864664758245</v>
      </c>
      <c r="BB58" s="24">
        <v>835.64016984046043</v>
      </c>
      <c r="BC58" s="24">
        <v>117990.83293261648</v>
      </c>
      <c r="BD58" s="24">
        <v>0</v>
      </c>
      <c r="BE58" s="24">
        <v>1812.2498657366771</v>
      </c>
      <c r="BF58" s="24">
        <v>29518.48478594781</v>
      </c>
      <c r="BG58" s="24">
        <v>2.4259045989426624E-2</v>
      </c>
      <c r="BH58" s="24">
        <v>6802.7613181160359</v>
      </c>
      <c r="BI58" s="24">
        <v>594158.8041135635</v>
      </c>
      <c r="BJ58" s="24">
        <v>1177.8051635320676</v>
      </c>
      <c r="BK58" s="24">
        <v>12.981094744968397</v>
      </c>
      <c r="BL58" s="24">
        <v>130.01492607025386</v>
      </c>
      <c r="BM58" s="24">
        <v>20483.848327634529</v>
      </c>
      <c r="BN58" s="24">
        <v>53725.429464852634</v>
      </c>
      <c r="BO58" s="24">
        <v>7691.2112808685533</v>
      </c>
      <c r="BP58" s="24">
        <v>30147.471223345958</v>
      </c>
      <c r="BQ58" s="24">
        <v>0</v>
      </c>
      <c r="BR58" s="25">
        <v>5225544.1321072057</v>
      </c>
      <c r="BS58" s="26">
        <v>13956964.832159732</v>
      </c>
      <c r="BT58" s="26">
        <v>498354.50984750642</v>
      </c>
      <c r="BU58" s="26">
        <v>307557.05356645415</v>
      </c>
      <c r="BV58" s="26">
        <v>0</v>
      </c>
      <c r="BW58" s="26">
        <v>0</v>
      </c>
      <c r="BX58" s="27">
        <v>14147762.288440784</v>
      </c>
      <c r="BY58" s="26">
        <v>0</v>
      </c>
      <c r="BZ58" s="26">
        <v>0</v>
      </c>
      <c r="CA58" s="27">
        <v>0</v>
      </c>
      <c r="CB58" s="26">
        <v>0</v>
      </c>
      <c r="CC58" s="26">
        <v>25689397.853841241</v>
      </c>
      <c r="CD58" s="26">
        <v>282444.98132764112</v>
      </c>
      <c r="CE58" s="27">
        <v>25971842.835168883</v>
      </c>
      <c r="CF58" s="25">
        <v>40119605.12360967</v>
      </c>
      <c r="CG58" s="26">
        <v>498354.50984750642</v>
      </c>
      <c r="CH58" s="25">
        <v>44846794.745869368</v>
      </c>
      <c r="CI58" s="37" t="s">
        <v>157</v>
      </c>
      <c r="CJ58" s="35">
        <v>79</v>
      </c>
      <c r="CM58" s="30"/>
    </row>
    <row r="59" spans="1:91" ht="32" customHeight="1" x14ac:dyDescent="0.2">
      <c r="A59" s="35">
        <v>80</v>
      </c>
      <c r="B59" s="36" t="s">
        <v>78</v>
      </c>
      <c r="C59" s="24">
        <v>250.52848495480896</v>
      </c>
      <c r="D59" s="24">
        <v>0</v>
      </c>
      <c r="E59" s="24">
        <v>2844.8725551522762</v>
      </c>
      <c r="F59" s="24">
        <v>26.798124427763963</v>
      </c>
      <c r="G59" s="452">
        <v>34499.891466424626</v>
      </c>
      <c r="H59" s="24">
        <v>883.29580197926191</v>
      </c>
      <c r="I59" s="24">
        <v>6.6885512614324165</v>
      </c>
      <c r="J59" s="24">
        <v>888.15079535695668</v>
      </c>
      <c r="K59" s="24">
        <v>133.19185918777157</v>
      </c>
      <c r="L59" s="24">
        <v>220.20199023660194</v>
      </c>
      <c r="M59" s="24">
        <v>2.6138930864357297</v>
      </c>
      <c r="N59" s="24">
        <v>1496.7487933341899</v>
      </c>
      <c r="O59" s="24">
        <v>896.30392665976137</v>
      </c>
      <c r="P59" s="64">
        <v>6594.7685167789632</v>
      </c>
      <c r="Q59" s="24">
        <v>2447.3487126766172</v>
      </c>
      <c r="R59" s="24">
        <v>525.08375609659822</v>
      </c>
      <c r="S59" s="24">
        <v>422.96764364105735</v>
      </c>
      <c r="T59" s="24">
        <v>14546.678226883812</v>
      </c>
      <c r="U59" s="24">
        <v>1061.0655887800756</v>
      </c>
      <c r="V59" s="24">
        <v>244.38043447067801</v>
      </c>
      <c r="W59" s="24">
        <v>10.996877368999785</v>
      </c>
      <c r="X59" s="24">
        <v>1554.3827792847765</v>
      </c>
      <c r="Y59" s="24">
        <v>255.07956794457345</v>
      </c>
      <c r="Z59" s="24">
        <v>953.2501717211469</v>
      </c>
      <c r="AA59" s="24">
        <v>7.4282139415097133</v>
      </c>
      <c r="AB59" s="24">
        <v>483.62715210235245</v>
      </c>
      <c r="AC59" s="24">
        <v>63.123737900530003</v>
      </c>
      <c r="AD59" s="24">
        <v>0.74554235646615885</v>
      </c>
      <c r="AE59" s="24">
        <v>261.68699832964705</v>
      </c>
      <c r="AF59" s="24">
        <v>70909.633583626084</v>
      </c>
      <c r="AG59" s="24">
        <v>0</v>
      </c>
      <c r="AH59" s="24">
        <v>410399.65391856141</v>
      </c>
      <c r="AI59" s="24">
        <v>135851.06155581903</v>
      </c>
      <c r="AJ59" s="24">
        <v>71055.330463747508</v>
      </c>
      <c r="AK59" s="24">
        <v>232212.40562562636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35.986692395675554</v>
      </c>
      <c r="AR59" s="24">
        <v>35.986692395675554</v>
      </c>
      <c r="AS59" s="24">
        <v>4040.4564039275065</v>
      </c>
      <c r="AT59" s="24">
        <v>11161.233255851101</v>
      </c>
      <c r="AU59" s="24">
        <v>6804.1844209443261</v>
      </c>
      <c r="AV59" s="24">
        <v>46042.554502828731</v>
      </c>
      <c r="AW59" s="24">
        <v>91.443344617230224</v>
      </c>
      <c r="AX59" s="24">
        <v>19428.657932513845</v>
      </c>
      <c r="AY59" s="24">
        <v>15811.1942338116</v>
      </c>
      <c r="AZ59" s="24">
        <v>200.35614877882213</v>
      </c>
      <c r="BA59" s="24">
        <v>3400.7026386907332</v>
      </c>
      <c r="BB59" s="24">
        <v>623.22943535233674</v>
      </c>
      <c r="BC59" s="24">
        <v>122200.96159646877</v>
      </c>
      <c r="BD59" s="24">
        <v>0</v>
      </c>
      <c r="BE59" s="24">
        <v>1380.8375838909406</v>
      </c>
      <c r="BF59" s="24">
        <v>22735.250804461892</v>
      </c>
      <c r="BG59" s="24">
        <v>31918.394163369761</v>
      </c>
      <c r="BH59" s="24">
        <v>12534.723182449492</v>
      </c>
      <c r="BI59" s="24">
        <v>113032.38946411197</v>
      </c>
      <c r="BJ59" s="24">
        <v>140.53143140125908</v>
      </c>
      <c r="BK59" s="24">
        <v>1.2866794761362594</v>
      </c>
      <c r="BL59" s="24">
        <v>15.184293363474692</v>
      </c>
      <c r="BM59" s="24">
        <v>35405.13460303087</v>
      </c>
      <c r="BN59" s="24">
        <v>65239.527192117559</v>
      </c>
      <c r="BO59" s="24">
        <v>10564.838821392819</v>
      </c>
      <c r="BP59" s="24">
        <v>11582.292645886731</v>
      </c>
      <c r="BQ59" s="24">
        <v>0</v>
      </c>
      <c r="BR59" s="25">
        <v>1526437.3234732496</v>
      </c>
      <c r="BS59" s="26">
        <v>1943708.9754809863</v>
      </c>
      <c r="BT59" s="26">
        <v>0</v>
      </c>
      <c r="BU59" s="26">
        <v>0</v>
      </c>
      <c r="BV59" s="26">
        <v>0</v>
      </c>
      <c r="BW59" s="26">
        <v>0</v>
      </c>
      <c r="BX59" s="27">
        <v>1943708.9754809863</v>
      </c>
      <c r="BY59" s="26">
        <v>0</v>
      </c>
      <c r="BZ59" s="26">
        <v>0</v>
      </c>
      <c r="CA59" s="27">
        <v>0</v>
      </c>
      <c r="CB59" s="26">
        <v>0</v>
      </c>
      <c r="CC59" s="26">
        <v>0</v>
      </c>
      <c r="CD59" s="26">
        <v>0</v>
      </c>
      <c r="CE59" s="27">
        <v>0</v>
      </c>
      <c r="CF59" s="25">
        <v>1943708.9754809863</v>
      </c>
      <c r="CG59" s="26">
        <v>0</v>
      </c>
      <c r="CH59" s="25">
        <v>3470146.2989542359</v>
      </c>
      <c r="CI59" s="37" t="s">
        <v>158</v>
      </c>
      <c r="CJ59" s="35">
        <v>80</v>
      </c>
      <c r="CM59" s="30"/>
    </row>
    <row r="60" spans="1:91" ht="32" customHeight="1" x14ac:dyDescent="0.2">
      <c r="A60" s="35">
        <v>81</v>
      </c>
      <c r="B60" s="36" t="s">
        <v>79</v>
      </c>
      <c r="C60" s="24">
        <v>174.72327271354362</v>
      </c>
      <c r="D60" s="24">
        <v>0</v>
      </c>
      <c r="E60" s="24">
        <v>1984.06757370847</v>
      </c>
      <c r="F60" s="24">
        <v>18.689515499398308</v>
      </c>
      <c r="G60" s="452">
        <v>24060.872544545589</v>
      </c>
      <c r="H60" s="24">
        <v>616.02708899065794</v>
      </c>
      <c r="I60" s="24">
        <v>4.6647213242860426</v>
      </c>
      <c r="J60" s="24">
        <v>619.4130525951814</v>
      </c>
      <c r="K60" s="24">
        <v>92.890505206570552</v>
      </c>
      <c r="L60" s="24">
        <v>153.57300547726138</v>
      </c>
      <c r="M60" s="24">
        <v>1.8229781522358168</v>
      </c>
      <c r="N60" s="24">
        <v>1043.8607316392392</v>
      </c>
      <c r="O60" s="24">
        <v>625.09919955905366</v>
      </c>
      <c r="P60" s="64">
        <v>4599.3154760334346</v>
      </c>
      <c r="Q60" s="24">
        <v>1706.8269766899748</v>
      </c>
      <c r="R60" s="24">
        <v>366.20327756529105</v>
      </c>
      <c r="S60" s="24">
        <v>294.98558202765685</v>
      </c>
      <c r="T60" s="24">
        <v>10145.126720302709</v>
      </c>
      <c r="U60" s="24">
        <v>740.00707851172911</v>
      </c>
      <c r="V60" s="24">
        <v>170.43550678708931</v>
      </c>
      <c r="W60" s="24">
        <v>7.6694289030156977</v>
      </c>
      <c r="X60" s="24">
        <v>1084.0557563552084</v>
      </c>
      <c r="Y60" s="24">
        <v>177.89728350319905</v>
      </c>
      <c r="Z60" s="24">
        <v>664.81458085658358</v>
      </c>
      <c r="AA60" s="24">
        <v>5.1805759752670992</v>
      </c>
      <c r="AB60" s="24">
        <v>337.29066299066267</v>
      </c>
      <c r="AC60" s="24">
        <v>44.023680875577995</v>
      </c>
      <c r="AD60" s="24">
        <v>0.51995524777085511</v>
      </c>
      <c r="AE60" s="24">
        <v>182.50542960409138</v>
      </c>
      <c r="AF60" s="24">
        <v>49453.710818090069</v>
      </c>
      <c r="AG60" s="24">
        <v>0</v>
      </c>
      <c r="AH60" s="24">
        <v>286220.42984889052</v>
      </c>
      <c r="AI60" s="24">
        <v>94745.082903141316</v>
      </c>
      <c r="AJ60" s="24">
        <v>49555.322559858912</v>
      </c>
      <c r="AK60" s="24">
        <v>161949.29483931928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25.097795448857728</v>
      </c>
      <c r="AR60" s="24">
        <v>25.097795448857728</v>
      </c>
      <c r="AS60" s="24">
        <v>2817.8902142722527</v>
      </c>
      <c r="AT60" s="24">
        <v>7784.0537866714585</v>
      </c>
      <c r="AU60" s="24">
        <v>4745.3660624194026</v>
      </c>
      <c r="AV60" s="24">
        <v>32110.942627051238</v>
      </c>
      <c r="AW60" s="24">
        <v>63.774306711178546</v>
      </c>
      <c r="AX60" s="24">
        <v>13549.911096988048</v>
      </c>
      <c r="AY60" s="24">
        <v>11027.023943163171</v>
      </c>
      <c r="AZ60" s="24">
        <v>139.73214275108117</v>
      </c>
      <c r="BA60" s="24">
        <v>2371.7139177399667</v>
      </c>
      <c r="BB60" s="24">
        <v>434.65191838691118</v>
      </c>
      <c r="BC60" s="24">
        <v>85225.246712877779</v>
      </c>
      <c r="BD60" s="24">
        <v>0</v>
      </c>
      <c r="BE60" s="24">
        <v>963.02207625934204</v>
      </c>
      <c r="BF60" s="24">
        <v>15855.991095125793</v>
      </c>
      <c r="BG60" s="24">
        <v>22260.487820340302</v>
      </c>
      <c r="BH60" s="24">
        <v>8741.9514686761377</v>
      </c>
      <c r="BI60" s="24">
        <v>78830.91223484611</v>
      </c>
      <c r="BJ60" s="24">
        <v>98.00926077518082</v>
      </c>
      <c r="BK60" s="24">
        <v>0.89735444272705145</v>
      </c>
      <c r="BL60" s="24">
        <v>10.589811497033576</v>
      </c>
      <c r="BM60" s="24">
        <v>24692.206117084646</v>
      </c>
      <c r="BN60" s="24">
        <v>45499.272082163268</v>
      </c>
      <c r="BO60" s="24">
        <v>7368.1171021244272</v>
      </c>
      <c r="BP60" s="24">
        <v>8077.7085167795512</v>
      </c>
      <c r="BQ60" s="24">
        <v>0</v>
      </c>
      <c r="BR60" s="25">
        <v>1064566.0703909858</v>
      </c>
      <c r="BS60" s="26">
        <v>1355579.1608287052</v>
      </c>
      <c r="BT60" s="26">
        <v>0</v>
      </c>
      <c r="BU60" s="26">
        <v>0</v>
      </c>
      <c r="BV60" s="26">
        <v>0</v>
      </c>
      <c r="BW60" s="26">
        <v>0</v>
      </c>
      <c r="BX60" s="27">
        <v>1355579.1608287052</v>
      </c>
      <c r="BY60" s="26">
        <v>0</v>
      </c>
      <c r="BZ60" s="26">
        <v>0</v>
      </c>
      <c r="CA60" s="27">
        <v>0</v>
      </c>
      <c r="CB60" s="26">
        <v>0</v>
      </c>
      <c r="CC60" s="26">
        <v>0</v>
      </c>
      <c r="CD60" s="26">
        <v>0</v>
      </c>
      <c r="CE60" s="27">
        <v>0</v>
      </c>
      <c r="CF60" s="25">
        <v>1355579.1608287052</v>
      </c>
      <c r="CG60" s="26">
        <v>0</v>
      </c>
      <c r="CH60" s="25">
        <v>2420145.2312196912</v>
      </c>
      <c r="CI60" s="37" t="s">
        <v>159</v>
      </c>
      <c r="CJ60" s="35">
        <v>81</v>
      </c>
      <c r="CM60" s="30"/>
    </row>
    <row r="61" spans="1:91" x14ac:dyDescent="0.2">
      <c r="A61" s="35">
        <v>82</v>
      </c>
      <c r="B61" s="36" t="s">
        <v>80</v>
      </c>
      <c r="C61" s="24">
        <v>883.410775890683</v>
      </c>
      <c r="D61" s="24">
        <v>0</v>
      </c>
      <c r="E61" s="24">
        <v>10161.528690322912</v>
      </c>
      <c r="F61" s="24">
        <v>5802.5415353856479</v>
      </c>
      <c r="G61" s="452">
        <v>191611.48490758741</v>
      </c>
      <c r="H61" s="24">
        <v>27444.53126639207</v>
      </c>
      <c r="I61" s="24">
        <v>177.34343379770726</v>
      </c>
      <c r="J61" s="24">
        <v>3141.2224446493492</v>
      </c>
      <c r="K61" s="24">
        <v>587.10542791434409</v>
      </c>
      <c r="L61" s="24">
        <v>793.78303178991143</v>
      </c>
      <c r="M61" s="24">
        <v>12.735272520948914</v>
      </c>
      <c r="N61" s="24">
        <v>5983.2255492559625</v>
      </c>
      <c r="O61" s="24">
        <v>3223.1987467437602</v>
      </c>
      <c r="P61" s="64">
        <v>23631.142045793735</v>
      </c>
      <c r="Q61" s="24">
        <v>9300.5808488826005</v>
      </c>
      <c r="R61" s="24">
        <v>3794.5758598831426</v>
      </c>
      <c r="S61" s="24">
        <v>1616.0664866691459</v>
      </c>
      <c r="T61" s="24">
        <v>53099.751729314761</v>
      </c>
      <c r="U61" s="24">
        <v>4002.3508777449397</v>
      </c>
      <c r="V61" s="24">
        <v>998.77696706615131</v>
      </c>
      <c r="W61" s="24">
        <v>66.722652255793463</v>
      </c>
      <c r="X61" s="24">
        <v>6497.9459795339335</v>
      </c>
      <c r="Y61" s="24">
        <v>1466.9698230409351</v>
      </c>
      <c r="Z61" s="24">
        <v>3492.7867079770595</v>
      </c>
      <c r="AA61" s="24">
        <v>32.204900530660936</v>
      </c>
      <c r="AB61" s="24">
        <v>1883.6416314294531</v>
      </c>
      <c r="AC61" s="24">
        <v>253.18704515818101</v>
      </c>
      <c r="AD61" s="24">
        <v>3.408385602554838</v>
      </c>
      <c r="AE61" s="24">
        <v>1116.0140129580402</v>
      </c>
      <c r="AF61" s="24">
        <v>244182.10793570307</v>
      </c>
      <c r="AG61" s="24">
        <v>0</v>
      </c>
      <c r="AH61" s="24">
        <v>1622426.106674829</v>
      </c>
      <c r="AI61" s="24">
        <v>476295.96025882475</v>
      </c>
      <c r="AJ61" s="24">
        <v>243546.82791645933</v>
      </c>
      <c r="AK61" s="24">
        <v>824106.61223033967</v>
      </c>
      <c r="AL61" s="24">
        <v>20080.808113570973</v>
      </c>
      <c r="AM61" s="24">
        <v>4738.9779817667077</v>
      </c>
      <c r="AN61" s="24">
        <v>233.15456439503205</v>
      </c>
      <c r="AO61" s="24">
        <v>421039.8877327934</v>
      </c>
      <c r="AP61" s="24">
        <v>485.41965074006146</v>
      </c>
      <c r="AQ61" s="24">
        <v>174.60149134128116</v>
      </c>
      <c r="AR61" s="24">
        <v>174.60149134128116</v>
      </c>
      <c r="AS61" s="24">
        <v>949735.73904449248</v>
      </c>
      <c r="AT61" s="24">
        <v>42498.483175052446</v>
      </c>
      <c r="AU61" s="24">
        <v>25437.086231435402</v>
      </c>
      <c r="AV61" s="24">
        <v>159672.45280918197</v>
      </c>
      <c r="AW61" s="24">
        <v>420.88447270167984</v>
      </c>
      <c r="AX61" s="24">
        <v>67542.003662461299</v>
      </c>
      <c r="AY61" s="24">
        <v>54851.725348448155</v>
      </c>
      <c r="AZ61" s="24">
        <v>729.77119040084096</v>
      </c>
      <c r="BA61" s="24">
        <v>13901.001004468775</v>
      </c>
      <c r="BB61" s="24">
        <v>2984.2567058475042</v>
      </c>
      <c r="BC61" s="24">
        <v>424640.46426618384</v>
      </c>
      <c r="BD61" s="24">
        <v>537.45723583142421</v>
      </c>
      <c r="BE61" s="24">
        <v>4912.4718149524342</v>
      </c>
      <c r="BF61" s="24">
        <v>80692.939910850808</v>
      </c>
      <c r="BG61" s="24">
        <v>141642.70146514292</v>
      </c>
      <c r="BH61" s="24">
        <v>46658.599949371586</v>
      </c>
      <c r="BI61" s="24">
        <v>418904.55385625974</v>
      </c>
      <c r="BJ61" s="24">
        <v>597.07950340978357</v>
      </c>
      <c r="BK61" s="24">
        <v>15.745932498348488</v>
      </c>
      <c r="BL61" s="24">
        <v>273.15542155597376</v>
      </c>
      <c r="BM61" s="24">
        <v>122362.88903202649</v>
      </c>
      <c r="BN61" s="24">
        <v>234477.94210766387</v>
      </c>
      <c r="BO61" s="24">
        <v>38103.269144173079</v>
      </c>
      <c r="BP61" s="24">
        <v>44651.067496682583</v>
      </c>
      <c r="BQ61" s="24">
        <v>0</v>
      </c>
      <c r="BR61" s="25">
        <v>7094807.04385929</v>
      </c>
      <c r="BS61" s="26">
        <v>7785362.6190591296</v>
      </c>
      <c r="BT61" s="26">
        <v>0</v>
      </c>
      <c r="BU61" s="26">
        <v>0</v>
      </c>
      <c r="BV61" s="26">
        <v>0</v>
      </c>
      <c r="BW61" s="26">
        <v>0</v>
      </c>
      <c r="BX61" s="27">
        <v>7785362.6190591296</v>
      </c>
      <c r="BY61" s="26">
        <v>1456044.4222226944</v>
      </c>
      <c r="BZ61" s="26">
        <v>0</v>
      </c>
      <c r="CA61" s="27">
        <v>1456044.4222226944</v>
      </c>
      <c r="CB61" s="26">
        <v>0</v>
      </c>
      <c r="CC61" s="26">
        <v>178073.53568029343</v>
      </c>
      <c r="CD61" s="26">
        <v>0</v>
      </c>
      <c r="CE61" s="27">
        <v>178073.53568029343</v>
      </c>
      <c r="CF61" s="25">
        <v>9419480.5769621171</v>
      </c>
      <c r="CG61" s="26">
        <v>2189625.0243000337</v>
      </c>
      <c r="CH61" s="25">
        <v>14324662.596521374</v>
      </c>
      <c r="CI61" s="37" t="s">
        <v>160</v>
      </c>
      <c r="CJ61" s="35">
        <v>82</v>
      </c>
      <c r="CM61" s="30"/>
    </row>
    <row r="62" spans="1:91" ht="32" customHeight="1" x14ac:dyDescent="0.2">
      <c r="A62" s="35">
        <v>84</v>
      </c>
      <c r="B62" s="36" t="s">
        <v>81</v>
      </c>
      <c r="C62" s="24">
        <v>706.25033879629802</v>
      </c>
      <c r="D62" s="24">
        <v>0</v>
      </c>
      <c r="E62" s="24">
        <v>24.711476286342808</v>
      </c>
      <c r="F62" s="24">
        <v>8244.1516042625226</v>
      </c>
      <c r="G62" s="452">
        <v>935.63477894699076</v>
      </c>
      <c r="H62" s="24">
        <v>38.85344213717201</v>
      </c>
      <c r="I62" s="24">
        <v>7.7155305300540862</v>
      </c>
      <c r="J62" s="24">
        <v>2.9800728893624155</v>
      </c>
      <c r="K62" s="24">
        <v>0.85499556525380138</v>
      </c>
      <c r="L62" s="24">
        <v>21.20106709449734</v>
      </c>
      <c r="M62" s="24">
        <v>1.8677289301407569</v>
      </c>
      <c r="N62" s="24">
        <v>20.065793321120694</v>
      </c>
      <c r="O62" s="24">
        <v>221.11358275216745</v>
      </c>
      <c r="P62" s="64">
        <v>34.734885510946015</v>
      </c>
      <c r="Q62" s="24">
        <v>48.418381144352466</v>
      </c>
      <c r="R62" s="24">
        <v>5.0097572360120637</v>
      </c>
      <c r="S62" s="24">
        <v>3.5972277493895355</v>
      </c>
      <c r="T62" s="24">
        <v>28829.921758463617</v>
      </c>
      <c r="U62" s="24">
        <v>0.61949382891574034</v>
      </c>
      <c r="V62" s="24">
        <v>1.6195941283416624</v>
      </c>
      <c r="W62" s="24">
        <v>9.8666141871439255</v>
      </c>
      <c r="X62" s="24">
        <v>160.24061633431805</v>
      </c>
      <c r="Y62" s="24">
        <v>116.03906785824303</v>
      </c>
      <c r="Z62" s="24">
        <v>14.695882171477901</v>
      </c>
      <c r="AA62" s="24">
        <v>0.14467441095423672</v>
      </c>
      <c r="AB62" s="24">
        <v>1.1632186210768096</v>
      </c>
      <c r="AC62" s="24">
        <v>1.0740441442007713</v>
      </c>
      <c r="AD62" s="24">
        <v>8.1718332411578644E-3</v>
      </c>
      <c r="AE62" s="24">
        <v>0.22347803028880506</v>
      </c>
      <c r="AF62" s="24">
        <v>36062.164980889531</v>
      </c>
      <c r="AG62" s="24">
        <v>8821.6853837048766</v>
      </c>
      <c r="AH62" s="24">
        <v>394.11183685895946</v>
      </c>
      <c r="AI62" s="24">
        <v>68400.233856515173</v>
      </c>
      <c r="AJ62" s="24">
        <v>4316.5036472755892</v>
      </c>
      <c r="AK62" s="24">
        <v>388.87745583998043</v>
      </c>
      <c r="AL62" s="24">
        <v>39585.634180103982</v>
      </c>
      <c r="AM62" s="24">
        <v>9342.0268603136865</v>
      </c>
      <c r="AN62" s="24">
        <v>11506.462970349303</v>
      </c>
      <c r="AO62" s="24">
        <v>847164.81152564543</v>
      </c>
      <c r="AP62" s="24">
        <v>149315.39165938945</v>
      </c>
      <c r="AQ62" s="24">
        <v>6509.5656079907621</v>
      </c>
      <c r="AR62" s="24">
        <v>6509.5656079907621</v>
      </c>
      <c r="AS62" s="24">
        <v>3356.298479698517</v>
      </c>
      <c r="AT62" s="24">
        <v>14.125968797195894</v>
      </c>
      <c r="AU62" s="24">
        <v>8.1353673772232327</v>
      </c>
      <c r="AV62" s="24">
        <v>42.460879403476753</v>
      </c>
      <c r="AW62" s="24">
        <v>0.1892139734874298</v>
      </c>
      <c r="AX62" s="24">
        <v>134.83730373655445</v>
      </c>
      <c r="AY62" s="24">
        <v>14.601021321289448</v>
      </c>
      <c r="AZ62" s="24">
        <v>0.22009686655056643</v>
      </c>
      <c r="BA62" s="24">
        <v>2.4112055504825398</v>
      </c>
      <c r="BB62" s="24">
        <v>0.88328928343988544</v>
      </c>
      <c r="BC62" s="24">
        <v>32.816539320111012</v>
      </c>
      <c r="BD62" s="24">
        <v>29185.086833651654</v>
      </c>
      <c r="BE62" s="24">
        <v>0.23920759905434794</v>
      </c>
      <c r="BF62" s="24">
        <v>201.97066878878658</v>
      </c>
      <c r="BG62" s="24">
        <v>116026.69486160816</v>
      </c>
      <c r="BH62" s="24">
        <v>37032.628410340199</v>
      </c>
      <c r="BI62" s="24">
        <v>98793.520945741635</v>
      </c>
      <c r="BJ62" s="24">
        <v>1317.2683326240451</v>
      </c>
      <c r="BK62" s="24">
        <v>12.07031715774022</v>
      </c>
      <c r="BL62" s="24">
        <v>142.54053670794386</v>
      </c>
      <c r="BM62" s="24">
        <v>250663.32946341016</v>
      </c>
      <c r="BN62" s="24">
        <v>1157.6063064044808</v>
      </c>
      <c r="BO62" s="24">
        <v>120.22612144846315</v>
      </c>
      <c r="BP62" s="24">
        <v>2313.1447648736789</v>
      </c>
      <c r="BQ62" s="24">
        <v>0</v>
      </c>
      <c r="BR62" s="25">
        <v>1768343.1189857165</v>
      </c>
      <c r="BS62" s="26">
        <v>48944006.242689237</v>
      </c>
      <c r="BT62" s="26">
        <v>0</v>
      </c>
      <c r="BU62" s="26">
        <v>0</v>
      </c>
      <c r="BV62" s="26">
        <v>157217274.13692266</v>
      </c>
      <c r="BW62" s="26">
        <v>0</v>
      </c>
      <c r="BX62" s="27">
        <v>206161280.37961191</v>
      </c>
      <c r="BY62" s="26">
        <v>77713.59087104119</v>
      </c>
      <c r="BZ62" s="26">
        <v>36342.235853139355</v>
      </c>
      <c r="CA62" s="27">
        <v>114055.82672418054</v>
      </c>
      <c r="CB62" s="26">
        <v>0</v>
      </c>
      <c r="CC62" s="26">
        <v>11440290.005824944</v>
      </c>
      <c r="CD62" s="26">
        <v>0</v>
      </c>
      <c r="CE62" s="27">
        <v>11440290.005824944</v>
      </c>
      <c r="CF62" s="25">
        <v>217715626.21216103</v>
      </c>
      <c r="CG62" s="26">
        <v>16562876.533911904</v>
      </c>
      <c r="CH62" s="25">
        <v>202921092.79723483</v>
      </c>
      <c r="CI62" s="37" t="s">
        <v>161</v>
      </c>
      <c r="CJ62" s="35">
        <v>84</v>
      </c>
      <c r="CM62" s="30"/>
    </row>
    <row r="63" spans="1:91" ht="32" customHeight="1" x14ac:dyDescent="0.2">
      <c r="A63" s="35">
        <v>85</v>
      </c>
      <c r="B63" s="36" t="s">
        <v>82</v>
      </c>
      <c r="C63" s="24">
        <v>4.7158563344146156</v>
      </c>
      <c r="D63" s="24">
        <v>0</v>
      </c>
      <c r="E63" s="24">
        <v>113955.60804927716</v>
      </c>
      <c r="F63" s="24">
        <v>74813.425766469663</v>
      </c>
      <c r="G63" s="452">
        <v>104185.48228654949</v>
      </c>
      <c r="H63" s="24">
        <v>2695.5191043582545</v>
      </c>
      <c r="I63" s="24">
        <v>17994.710687418818</v>
      </c>
      <c r="J63" s="24">
        <v>251.36370540348602</v>
      </c>
      <c r="K63" s="24">
        <v>104.17544172518589</v>
      </c>
      <c r="L63" s="24">
        <v>32.686924807874604</v>
      </c>
      <c r="M63" s="24">
        <v>0.51565480112573803</v>
      </c>
      <c r="N63" s="24">
        <v>2453.2159449172013</v>
      </c>
      <c r="O63" s="24">
        <v>174.8765446408332</v>
      </c>
      <c r="P63" s="64">
        <v>18989.896777621867</v>
      </c>
      <c r="Q63" s="24">
        <v>1901.369767061519</v>
      </c>
      <c r="R63" s="24">
        <v>3586.4917665429762</v>
      </c>
      <c r="S63" s="24">
        <v>509.15589385461163</v>
      </c>
      <c r="T63" s="24">
        <v>15806.859273429629</v>
      </c>
      <c r="U63" s="24">
        <v>791.79397166967146</v>
      </c>
      <c r="V63" s="24">
        <v>286.39221941135435</v>
      </c>
      <c r="W63" s="24">
        <v>40.212539981880369</v>
      </c>
      <c r="X63" s="24">
        <v>1917.0267156710588</v>
      </c>
      <c r="Y63" s="24">
        <v>380.36402113385776</v>
      </c>
      <c r="Z63" s="24">
        <v>1009.8672334617102</v>
      </c>
      <c r="AA63" s="24">
        <v>69.866413631200373</v>
      </c>
      <c r="AB63" s="24">
        <v>617.96952310815652</v>
      </c>
      <c r="AC63" s="24">
        <v>81.369615620658394</v>
      </c>
      <c r="AD63" s="24">
        <v>38.738491170827281</v>
      </c>
      <c r="AE63" s="24">
        <v>0.70580765988734695</v>
      </c>
      <c r="AF63" s="24">
        <v>513.23214362771489</v>
      </c>
      <c r="AG63" s="24">
        <v>0</v>
      </c>
      <c r="AH63" s="24">
        <v>49426.524494267163</v>
      </c>
      <c r="AI63" s="24">
        <v>227208.73273636354</v>
      </c>
      <c r="AJ63" s="24">
        <v>139.69200746956045</v>
      </c>
      <c r="AK63" s="24">
        <v>23831.827687583165</v>
      </c>
      <c r="AL63" s="24">
        <v>22088.735515506032</v>
      </c>
      <c r="AM63" s="24">
        <v>5212.8395760282356</v>
      </c>
      <c r="AN63" s="24">
        <v>0.7443091490815491</v>
      </c>
      <c r="AO63" s="24">
        <v>462169.9104152933</v>
      </c>
      <c r="AP63" s="24">
        <v>141723.82591879598</v>
      </c>
      <c r="AQ63" s="24">
        <v>4021.8727355345636</v>
      </c>
      <c r="AR63" s="24">
        <v>4021.8727355345636</v>
      </c>
      <c r="AS63" s="24">
        <v>3205.8372489299763</v>
      </c>
      <c r="AT63" s="24">
        <v>451.30522849237008</v>
      </c>
      <c r="AU63" s="24">
        <v>273.62368975955383</v>
      </c>
      <c r="AV63" s="24">
        <v>1811.7954344102616</v>
      </c>
      <c r="AW63" s="24">
        <v>3.9295910528077962</v>
      </c>
      <c r="AX63" s="24">
        <v>765.05241233419292</v>
      </c>
      <c r="AY63" s="24">
        <v>622.24017273054619</v>
      </c>
      <c r="AZ63" s="24">
        <v>7.9956767721114552</v>
      </c>
      <c r="BA63" s="24">
        <v>139.94370962772072</v>
      </c>
      <c r="BB63" s="24">
        <v>27.040837694141015</v>
      </c>
      <c r="BC63" s="24">
        <v>4789.7039014988914</v>
      </c>
      <c r="BD63" s="24">
        <v>1.7157474009028346</v>
      </c>
      <c r="BE63" s="24">
        <v>54.486756151094191</v>
      </c>
      <c r="BF63" s="24">
        <v>910.64206558568299</v>
      </c>
      <c r="BG63" s="24">
        <v>44860.765642730199</v>
      </c>
      <c r="BH63" s="24">
        <v>34683.104291931268</v>
      </c>
      <c r="BI63" s="24">
        <v>241270.23236786932</v>
      </c>
      <c r="BJ63" s="24">
        <v>31.061971130761229</v>
      </c>
      <c r="BK63" s="24">
        <v>0.31721226607956843</v>
      </c>
      <c r="BL63" s="24">
        <v>4.022272869924068</v>
      </c>
      <c r="BM63" s="24">
        <v>1960.2562059129459</v>
      </c>
      <c r="BN63" s="24">
        <v>5232.6689064560387</v>
      </c>
      <c r="BO63" s="24">
        <v>2125.6011410085889</v>
      </c>
      <c r="BP63" s="24">
        <v>10684.310982041727</v>
      </c>
      <c r="BQ63" s="24">
        <v>0</v>
      </c>
      <c r="BR63" s="25">
        <v>1656971.8397395441</v>
      </c>
      <c r="BS63" s="26">
        <v>68548644.399920151</v>
      </c>
      <c r="BT63" s="26">
        <v>775881.2333333334</v>
      </c>
      <c r="BU63" s="26">
        <v>1148604.6299999997</v>
      </c>
      <c r="BV63" s="26">
        <v>87668469.002560318</v>
      </c>
      <c r="BW63" s="26">
        <v>6825991.6330342731</v>
      </c>
      <c r="BX63" s="27">
        <v>162670381.63884807</v>
      </c>
      <c r="BY63" s="26">
        <v>4648.192016920264</v>
      </c>
      <c r="BZ63" s="26">
        <v>0</v>
      </c>
      <c r="CA63" s="27">
        <v>4648.192016920264</v>
      </c>
      <c r="CB63" s="26">
        <v>0</v>
      </c>
      <c r="CC63" s="26">
        <v>568.47165810392437</v>
      </c>
      <c r="CD63" s="26">
        <v>1148604.6299999997</v>
      </c>
      <c r="CE63" s="27">
        <v>1149173.1016581035</v>
      </c>
      <c r="CF63" s="25">
        <v>163824202.9325231</v>
      </c>
      <c r="CG63" s="26">
        <v>2459720.2656446164</v>
      </c>
      <c r="CH63" s="25">
        <v>163021454.50661802</v>
      </c>
      <c r="CI63" s="37" t="s">
        <v>162</v>
      </c>
      <c r="CJ63" s="35">
        <v>85</v>
      </c>
      <c r="CM63" s="30"/>
    </row>
    <row r="64" spans="1:91" s="41" customFormat="1" ht="32" customHeight="1" x14ac:dyDescent="0.2">
      <c r="A64" s="22" t="s">
        <v>15</v>
      </c>
      <c r="B64" s="40" t="s">
        <v>83</v>
      </c>
      <c r="C64" s="24">
        <v>0.46464188927948835</v>
      </c>
      <c r="D64" s="24">
        <v>0</v>
      </c>
      <c r="E64" s="24">
        <v>0</v>
      </c>
      <c r="F64" s="24">
        <v>20094.580342554676</v>
      </c>
      <c r="G64" s="452">
        <v>0</v>
      </c>
      <c r="H64" s="24">
        <v>0</v>
      </c>
      <c r="I64" s="24">
        <v>9567.5176303046155</v>
      </c>
      <c r="J64" s="24">
        <v>149.56779653463818</v>
      </c>
      <c r="K64" s="24">
        <v>68.365754420699417</v>
      </c>
      <c r="L64" s="24">
        <v>200.8330342487528</v>
      </c>
      <c r="M64" s="24">
        <v>33.754390224206041</v>
      </c>
      <c r="N64" s="24">
        <v>2937.986521139796</v>
      </c>
      <c r="O64" s="24">
        <v>0</v>
      </c>
      <c r="P64" s="64">
        <v>16736.416906310773</v>
      </c>
      <c r="Q64" s="24">
        <v>3060.6728306812884</v>
      </c>
      <c r="R64" s="24">
        <v>2667.4858290210423</v>
      </c>
      <c r="S64" s="24">
        <v>1.9920587757822223</v>
      </c>
      <c r="T64" s="24">
        <v>10613.011018495898</v>
      </c>
      <c r="U64" s="24">
        <v>699.46251657959647</v>
      </c>
      <c r="V64" s="24">
        <v>1141.2406507628509</v>
      </c>
      <c r="W64" s="24">
        <v>122.80054671870047</v>
      </c>
      <c r="X64" s="24">
        <v>2766.8421412089265</v>
      </c>
      <c r="Y64" s="24">
        <v>933.91991464015405</v>
      </c>
      <c r="Z64" s="24">
        <v>960.04098473229885</v>
      </c>
      <c r="AA64" s="24">
        <v>0</v>
      </c>
      <c r="AB64" s="24">
        <v>0</v>
      </c>
      <c r="AC64" s="24">
        <v>59.596968438104497</v>
      </c>
      <c r="AD64" s="24">
        <v>0</v>
      </c>
      <c r="AE64" s="24">
        <v>0</v>
      </c>
      <c r="AF64" s="24">
        <v>386.98105233401753</v>
      </c>
      <c r="AG64" s="24">
        <v>0</v>
      </c>
      <c r="AH64" s="24">
        <v>8.8109183872612823E-2</v>
      </c>
      <c r="AI64" s="24">
        <v>211135.50080018159</v>
      </c>
      <c r="AJ64" s="24">
        <v>2.6053555226311462</v>
      </c>
      <c r="AK64" s="24">
        <v>0.2849561772219697</v>
      </c>
      <c r="AL64" s="24">
        <v>0</v>
      </c>
      <c r="AM64" s="24">
        <v>0</v>
      </c>
      <c r="AN64" s="24">
        <v>72138.869410342872</v>
      </c>
      <c r="AO64" s="24">
        <v>0</v>
      </c>
      <c r="AP64" s="24">
        <v>0</v>
      </c>
      <c r="AQ64" s="24">
        <v>497634.99040819803</v>
      </c>
      <c r="AR64" s="24">
        <v>497634.99040819803</v>
      </c>
      <c r="AS64" s="24">
        <v>0</v>
      </c>
      <c r="AT64" s="24">
        <v>9.337950265342192</v>
      </c>
      <c r="AU64" s="24">
        <v>5.6926626531782194</v>
      </c>
      <c r="AV64" s="24">
        <v>38.5211091087385</v>
      </c>
      <c r="AW64" s="24">
        <v>7.6505291535287998E-2</v>
      </c>
      <c r="AX64" s="24">
        <v>198.02562322603785</v>
      </c>
      <c r="AY64" s="24">
        <v>13.228300314716385</v>
      </c>
      <c r="AZ64" s="24">
        <v>0.16762625686290963</v>
      </c>
      <c r="BA64" s="24">
        <v>12.130905889391595</v>
      </c>
      <c r="BB64" s="24">
        <v>2.2231692773551703</v>
      </c>
      <c r="BC64" s="24">
        <v>494.33512594182292</v>
      </c>
      <c r="BD64" s="24">
        <v>0</v>
      </c>
      <c r="BE64" s="24">
        <v>4.9256911169289754</v>
      </c>
      <c r="BF64" s="24">
        <v>81.100648066901798</v>
      </c>
      <c r="BG64" s="24">
        <v>4274.7034938360994</v>
      </c>
      <c r="BH64" s="24">
        <v>17586.176415828846</v>
      </c>
      <c r="BI64" s="24">
        <v>1025905.2832759878</v>
      </c>
      <c r="BJ64" s="24">
        <v>71.705236429954581</v>
      </c>
      <c r="BK64" s="24">
        <v>0.65651972036409356</v>
      </c>
      <c r="BL64" s="24">
        <v>7.7476855874392685</v>
      </c>
      <c r="BM64" s="24">
        <v>10971.60674918853</v>
      </c>
      <c r="BN64" s="24">
        <v>3300.7839617563909</v>
      </c>
      <c r="BO64" s="24">
        <v>572.9552766022822</v>
      </c>
      <c r="BP64" s="24">
        <v>8220.4034706074053</v>
      </c>
      <c r="BQ64" s="24">
        <v>0</v>
      </c>
      <c r="BR64" s="25">
        <v>2423522.6503807749</v>
      </c>
      <c r="BS64" s="26">
        <v>111898866.96026249</v>
      </c>
      <c r="BT64" s="26">
        <v>2831205.2352456097</v>
      </c>
      <c r="BU64" s="26">
        <v>3877429.3144985228</v>
      </c>
      <c r="BV64" s="26">
        <v>38428872.910372399</v>
      </c>
      <c r="BW64" s="26">
        <v>15615178.257910075</v>
      </c>
      <c r="BX64" s="27">
        <v>164896694.04929206</v>
      </c>
      <c r="BY64" s="26">
        <v>0</v>
      </c>
      <c r="BZ64" s="26">
        <v>0</v>
      </c>
      <c r="CA64" s="27">
        <v>0</v>
      </c>
      <c r="CB64" s="26">
        <v>0</v>
      </c>
      <c r="CC64" s="26">
        <v>294515.7950807272</v>
      </c>
      <c r="CD64" s="26">
        <v>3877429.3144985228</v>
      </c>
      <c r="CE64" s="27">
        <v>4171945.1095792502</v>
      </c>
      <c r="CF64" s="25">
        <v>169068639.15887129</v>
      </c>
      <c r="CG64" s="26">
        <v>7186947.1282375017</v>
      </c>
      <c r="CH64" s="25">
        <v>164305214.68101454</v>
      </c>
      <c r="CI64" s="37" t="s">
        <v>163</v>
      </c>
      <c r="CJ64" s="22" t="s">
        <v>15</v>
      </c>
      <c r="CK64" s="2"/>
      <c r="CL64" s="2"/>
      <c r="CM64" s="30"/>
    </row>
    <row r="65" spans="1:120" ht="32" customHeight="1" x14ac:dyDescent="0.2">
      <c r="A65" s="35">
        <v>90</v>
      </c>
      <c r="B65" s="36" t="s">
        <v>84</v>
      </c>
      <c r="C65" s="24">
        <v>1.960660875825198E-2</v>
      </c>
      <c r="D65" s="24">
        <v>0</v>
      </c>
      <c r="E65" s="24">
        <v>0</v>
      </c>
      <c r="F65" s="24">
        <v>0</v>
      </c>
      <c r="G65" s="452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64">
        <v>0</v>
      </c>
      <c r="Q65" s="24">
        <v>1.3709703551414172</v>
      </c>
      <c r="R65" s="24">
        <v>1.1948496937301347</v>
      </c>
      <c r="S65" s="24">
        <v>8.4059397013838355E-2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16.32953520771736</v>
      </c>
      <c r="AG65" s="24">
        <v>0</v>
      </c>
      <c r="AH65" s="24">
        <v>3.7179650308284554E-3</v>
      </c>
      <c r="AI65" s="24">
        <v>738.01626964064189</v>
      </c>
      <c r="AJ65" s="24">
        <v>0.10993883157541436</v>
      </c>
      <c r="AK65" s="24">
        <v>1.2024366310798989E-2</v>
      </c>
      <c r="AL65" s="24">
        <v>0</v>
      </c>
      <c r="AM65" s="24">
        <v>0</v>
      </c>
      <c r="AN65" s="24">
        <v>3044.0617202734484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4">
        <v>0.39403579763436097</v>
      </c>
      <c r="AU65" s="24">
        <v>0.24021469438895299</v>
      </c>
      <c r="AV65" s="24">
        <v>1.6254847715089853</v>
      </c>
      <c r="AW65" s="24">
        <v>3.2283127149694479E-3</v>
      </c>
      <c r="AX65" s="24">
        <v>8.3561362164798219</v>
      </c>
      <c r="AY65" s="24">
        <v>0.5581978611732441</v>
      </c>
      <c r="AZ65" s="24">
        <v>7.0733666329950637E-3</v>
      </c>
      <c r="BA65" s="24">
        <v>0.51189083710317007</v>
      </c>
      <c r="BB65" s="24">
        <v>9.3811624027400911E-2</v>
      </c>
      <c r="BC65" s="24">
        <v>20.859581612049901</v>
      </c>
      <c r="BD65" s="24">
        <v>0</v>
      </c>
      <c r="BE65" s="24">
        <v>0.20785060671861164</v>
      </c>
      <c r="BF65" s="24">
        <v>3.4222241114639504</v>
      </c>
      <c r="BG65" s="24">
        <v>180.38072092712864</v>
      </c>
      <c r="BH65" s="24">
        <v>709.18552503545504</v>
      </c>
      <c r="BI65" s="24">
        <v>20.189350698201689</v>
      </c>
      <c r="BJ65" s="24">
        <v>6.6319784795218023E-2</v>
      </c>
      <c r="BK65" s="24">
        <v>6.0721153344073958E-4</v>
      </c>
      <c r="BL65" s="24">
        <v>7.1657924358413654E-3</v>
      </c>
      <c r="BM65" s="24">
        <v>409.13163762174918</v>
      </c>
      <c r="BN65" s="24">
        <v>26.135270153895668</v>
      </c>
      <c r="BO65" s="24">
        <v>5.3126564411328143</v>
      </c>
      <c r="BP65" s="24">
        <v>93.595668272589137</v>
      </c>
      <c r="BQ65" s="24">
        <v>0</v>
      </c>
      <c r="BR65" s="25">
        <v>5281.4873440901811</v>
      </c>
      <c r="BS65" s="26">
        <v>108043.58375424368</v>
      </c>
      <c r="BT65" s="26">
        <v>9785.072151080305</v>
      </c>
      <c r="BU65" s="26">
        <v>23734.777834948229</v>
      </c>
      <c r="BV65" s="26">
        <v>104240.96920817364</v>
      </c>
      <c r="BW65" s="26">
        <v>0</v>
      </c>
      <c r="BX65" s="27">
        <v>198334.84727854939</v>
      </c>
      <c r="BY65" s="26">
        <v>0</v>
      </c>
      <c r="BZ65" s="26">
        <v>0</v>
      </c>
      <c r="CA65" s="27">
        <v>0</v>
      </c>
      <c r="CB65" s="26">
        <v>0</v>
      </c>
      <c r="CC65" s="26">
        <v>12427.755870715131</v>
      </c>
      <c r="CD65" s="26">
        <v>23734.777834948229</v>
      </c>
      <c r="CE65" s="27">
        <v>36162.533705663358</v>
      </c>
      <c r="CF65" s="25">
        <v>234497.38098421274</v>
      </c>
      <c r="CG65" s="26">
        <v>14318.936111910913</v>
      </c>
      <c r="CH65" s="25">
        <v>225459.93221639202</v>
      </c>
      <c r="CI65" s="37" t="s">
        <v>164</v>
      </c>
      <c r="CJ65" s="35">
        <v>90</v>
      </c>
      <c r="CM65" s="30"/>
    </row>
    <row r="66" spans="1:120" ht="32" customHeight="1" x14ac:dyDescent="0.2">
      <c r="A66" s="35">
        <v>91</v>
      </c>
      <c r="B66" s="36" t="s">
        <v>85</v>
      </c>
      <c r="C66" s="24">
        <v>6.1182350249895114E-4</v>
      </c>
      <c r="D66" s="24">
        <v>0</v>
      </c>
      <c r="E66" s="24">
        <v>0</v>
      </c>
      <c r="F66" s="24">
        <v>0</v>
      </c>
      <c r="G66" s="452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64">
        <v>0</v>
      </c>
      <c r="Q66" s="24">
        <v>4.2781079321115342E-2</v>
      </c>
      <c r="R66" s="24">
        <v>3.7285240583489122E-2</v>
      </c>
      <c r="S66" s="24">
        <v>2.6230703806598339E-3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0.50956254333175655</v>
      </c>
      <c r="AG66" s="24">
        <v>0</v>
      </c>
      <c r="AH66" s="24">
        <v>1.1601896153370735E-4</v>
      </c>
      <c r="AI66" s="24">
        <v>23.029770449349463</v>
      </c>
      <c r="AJ66" s="24">
        <v>3.430637180782359E-3</v>
      </c>
      <c r="AK66" s="24">
        <v>3.7521990683407304E-4</v>
      </c>
      <c r="AL66" s="24">
        <v>0</v>
      </c>
      <c r="AM66" s="24">
        <v>0</v>
      </c>
      <c r="AN66" s="24">
        <v>94.989833605815647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1.2295872518859609E-2</v>
      </c>
      <c r="AU66" s="24">
        <v>7.4958906705836319E-3</v>
      </c>
      <c r="AV66" s="24">
        <v>5.0723192288149664E-2</v>
      </c>
      <c r="AW66" s="24">
        <v>1.0073937909345013E-4</v>
      </c>
      <c r="AX66" s="24">
        <v>0.26075292215811108</v>
      </c>
      <c r="AY66" s="24">
        <v>1.7418543651344091E-2</v>
      </c>
      <c r="AZ66" s="24">
        <v>2.2072414466050083E-4</v>
      </c>
      <c r="BA66" s="24">
        <v>1.5973534674718709E-2</v>
      </c>
      <c r="BB66" s="24">
        <v>2.9273882646024866E-3</v>
      </c>
      <c r="BC66" s="24">
        <v>0.65092247414666682</v>
      </c>
      <c r="BD66" s="24">
        <v>0</v>
      </c>
      <c r="BE66" s="24">
        <v>6.4859705095911026E-3</v>
      </c>
      <c r="BF66" s="24">
        <v>0.10679037706258114</v>
      </c>
      <c r="BG66" s="24">
        <v>5.6287737375528115</v>
      </c>
      <c r="BH66" s="24">
        <v>22.130108128267334</v>
      </c>
      <c r="BI66" s="24">
        <v>0.63000794322243969</v>
      </c>
      <c r="BJ66" s="24">
        <v>2.069506436257593E-3</v>
      </c>
      <c r="BK66" s="24">
        <v>1.8948013485050728E-5</v>
      </c>
      <c r="BL66" s="24">
        <v>2.2360828842630642E-4</v>
      </c>
      <c r="BM66" s="24">
        <v>12.766937648384383</v>
      </c>
      <c r="BN66" s="24">
        <v>0.8155501403363723</v>
      </c>
      <c r="BO66" s="24">
        <v>0.16578124812224182</v>
      </c>
      <c r="BP66" s="24">
        <v>2.9206493732458596</v>
      </c>
      <c r="BQ66" s="24">
        <v>0</v>
      </c>
      <c r="BR66" s="25">
        <v>164.80861759967235</v>
      </c>
      <c r="BS66" s="26">
        <v>3371.4960424881542</v>
      </c>
      <c r="BT66" s="26">
        <v>305.34281524637527</v>
      </c>
      <c r="BU66" s="26">
        <v>740.64286614077128</v>
      </c>
      <c r="BV66" s="26">
        <v>3252.8355959562755</v>
      </c>
      <c r="BW66" s="26">
        <v>0</v>
      </c>
      <c r="BX66" s="27">
        <v>6189.0315875500337</v>
      </c>
      <c r="BY66" s="26">
        <v>0</v>
      </c>
      <c r="BZ66" s="26">
        <v>0</v>
      </c>
      <c r="CA66" s="27">
        <v>0</v>
      </c>
      <c r="CB66" s="26">
        <v>0</v>
      </c>
      <c r="CC66" s="26">
        <v>387.80766315962984</v>
      </c>
      <c r="CD66" s="26">
        <v>740.64286614077128</v>
      </c>
      <c r="CE66" s="27">
        <v>1128.4505293004011</v>
      </c>
      <c r="CF66" s="25">
        <v>7317.482116850435</v>
      </c>
      <c r="CG66" s="26">
        <v>446.82187277087792</v>
      </c>
      <c r="CH66" s="25">
        <v>7035.4688616792291</v>
      </c>
      <c r="CI66" s="37" t="s">
        <v>165</v>
      </c>
      <c r="CJ66" s="35">
        <v>91</v>
      </c>
      <c r="CM66" s="30"/>
    </row>
    <row r="67" spans="1:120" x14ac:dyDescent="0.2">
      <c r="A67" s="35">
        <v>92</v>
      </c>
      <c r="B67" s="36" t="s">
        <v>86</v>
      </c>
      <c r="C67" s="24">
        <v>2.4091309645122912E-2</v>
      </c>
      <c r="D67" s="24">
        <v>0</v>
      </c>
      <c r="E67" s="24">
        <v>0</v>
      </c>
      <c r="F67" s="24">
        <v>0</v>
      </c>
      <c r="G67" s="452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64">
        <v>0</v>
      </c>
      <c r="Q67" s="24">
        <v>1.6845580868795105</v>
      </c>
      <c r="R67" s="24">
        <v>1.4681526165975942</v>
      </c>
      <c r="S67" s="24">
        <v>0.10328665130273387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20.064657478539335</v>
      </c>
      <c r="AG67" s="24">
        <v>0</v>
      </c>
      <c r="AH67" s="24">
        <v>4.5683905825748168E-3</v>
      </c>
      <c r="AI67" s="24">
        <v>906.82578993004699</v>
      </c>
      <c r="AJ67" s="24">
        <v>0.13508559619682314</v>
      </c>
      <c r="AK67" s="24">
        <v>1.4774749455737559E-2</v>
      </c>
      <c r="AL67" s="24">
        <v>0</v>
      </c>
      <c r="AM67" s="24">
        <v>0</v>
      </c>
      <c r="AN67" s="24">
        <v>3740.3425745978602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4">
        <v>0.48416523882933393</v>
      </c>
      <c r="AU67" s="24">
        <v>0.29515999707992241</v>
      </c>
      <c r="AV67" s="24">
        <v>1.9972886406157946</v>
      </c>
      <c r="AW67" s="24">
        <v>3.9667380629953642E-3</v>
      </c>
      <c r="AX67" s="24">
        <v>10.267469887841479</v>
      </c>
      <c r="AY67" s="24">
        <v>0.68587677158142479</v>
      </c>
      <c r="AZ67" s="24">
        <v>8.6912871006947709E-3</v>
      </c>
      <c r="BA67" s="24">
        <v>0.62897774996215661</v>
      </c>
      <c r="BB67" s="24">
        <v>0.11526954562220078</v>
      </c>
      <c r="BC67" s="24">
        <v>25.63088017309984</v>
      </c>
      <c r="BD67" s="24">
        <v>0</v>
      </c>
      <c r="BE67" s="24">
        <v>0.25539313749386866</v>
      </c>
      <c r="BF67" s="24">
        <v>4.2050036169352358</v>
      </c>
      <c r="BG67" s="24">
        <v>221.63995086794347</v>
      </c>
      <c r="BH67" s="24">
        <v>871.40046961346309</v>
      </c>
      <c r="BI67" s="24">
        <v>24.807344564349798</v>
      </c>
      <c r="BJ67" s="24">
        <v>8.1489384054091604E-2</v>
      </c>
      <c r="BK67" s="24">
        <v>7.4610154425884328E-4</v>
      </c>
      <c r="BL67" s="24">
        <v>8.8048538405131587E-3</v>
      </c>
      <c r="BM67" s="24">
        <v>502.71401286637047</v>
      </c>
      <c r="BN67" s="24">
        <v>32.113298821829218</v>
      </c>
      <c r="BO67" s="24">
        <v>6.5278423688451337</v>
      </c>
      <c r="BP67" s="24">
        <v>115.00419341249612</v>
      </c>
      <c r="BQ67" s="24">
        <v>0</v>
      </c>
      <c r="BR67" s="25">
        <v>6489.5438350460699</v>
      </c>
      <c r="BS67" s="26">
        <v>132756.84048608094</v>
      </c>
      <c r="BT67" s="26">
        <v>12023.252261425827</v>
      </c>
      <c r="BU67" s="26">
        <v>29163.731945193187</v>
      </c>
      <c r="BV67" s="26">
        <v>128084.43815378752</v>
      </c>
      <c r="BW67" s="26">
        <v>0</v>
      </c>
      <c r="BX67" s="27">
        <v>243700.79895610112</v>
      </c>
      <c r="BY67" s="26">
        <v>0</v>
      </c>
      <c r="BZ67" s="26">
        <v>0</v>
      </c>
      <c r="CA67" s="27">
        <v>0</v>
      </c>
      <c r="CB67" s="26">
        <v>0</v>
      </c>
      <c r="CC67" s="26">
        <v>15270.407981664917</v>
      </c>
      <c r="CD67" s="26">
        <v>29163.731945193187</v>
      </c>
      <c r="CE67" s="27">
        <v>44434.139926858101</v>
      </c>
      <c r="CF67" s="25">
        <v>288134.93888295919</v>
      </c>
      <c r="CG67" s="26">
        <v>17594.165718005232</v>
      </c>
      <c r="CH67" s="25">
        <v>277030.31700000004</v>
      </c>
      <c r="CI67" s="37" t="s">
        <v>166</v>
      </c>
      <c r="CJ67" s="35">
        <v>92</v>
      </c>
      <c r="CM67" s="30"/>
    </row>
    <row r="68" spans="1:120" ht="32" customHeight="1" x14ac:dyDescent="0.2">
      <c r="A68" s="35">
        <v>93</v>
      </c>
      <c r="B68" s="36" t="s">
        <v>87</v>
      </c>
      <c r="C68" s="24">
        <v>3.8113427450370678</v>
      </c>
      <c r="D68" s="24">
        <v>0</v>
      </c>
      <c r="E68" s="24">
        <v>0</v>
      </c>
      <c r="F68" s="24">
        <v>0</v>
      </c>
      <c r="G68" s="452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64">
        <v>0</v>
      </c>
      <c r="Q68" s="24">
        <v>266.50391106161834</v>
      </c>
      <c r="R68" s="24">
        <v>232.26768931630988</v>
      </c>
      <c r="S68" s="24">
        <v>16.340366501475835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3174.3100661182207</v>
      </c>
      <c r="AG68" s="24">
        <v>0</v>
      </c>
      <c r="AH68" s="24">
        <v>0.72273789013031298</v>
      </c>
      <c r="AI68" s="24">
        <v>143463.51221142834</v>
      </c>
      <c r="AJ68" s="24">
        <v>21.3710883554227</v>
      </c>
      <c r="AK68" s="24">
        <v>2.3374251951165941</v>
      </c>
      <c r="AL68" s="24">
        <v>0</v>
      </c>
      <c r="AM68" s="24">
        <v>0</v>
      </c>
      <c r="AN68" s="24">
        <v>591737.34203913552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76.59690143847746</v>
      </c>
      <c r="AU68" s="24">
        <v>46.695506805851977</v>
      </c>
      <c r="AV68" s="24">
        <v>315.97915108351174</v>
      </c>
      <c r="AW68" s="24">
        <v>0.62755402510549729</v>
      </c>
      <c r="AX68" s="24">
        <v>1624.3553149811139</v>
      </c>
      <c r="AY68" s="24">
        <v>108.50848276260128</v>
      </c>
      <c r="AZ68" s="24">
        <v>1.3749968152093901</v>
      </c>
      <c r="BA68" s="24">
        <v>99.506827126490734</v>
      </c>
      <c r="BB68" s="24">
        <v>18.236108908252454</v>
      </c>
      <c r="BC68" s="24">
        <v>4054.9090371446305</v>
      </c>
      <c r="BD68" s="24">
        <v>0</v>
      </c>
      <c r="BE68" s="24">
        <v>40.404228581096071</v>
      </c>
      <c r="BF68" s="24">
        <v>665.24860060919173</v>
      </c>
      <c r="BG68" s="24">
        <v>35064.337771355669</v>
      </c>
      <c r="BH68" s="24">
        <v>137859.08308042178</v>
      </c>
      <c r="BI68" s="24">
        <v>3924.6223688843779</v>
      </c>
      <c r="BJ68" s="24">
        <v>12.891950553421928</v>
      </c>
      <c r="BK68" s="24">
        <v>0.11803628568393616</v>
      </c>
      <c r="BL68" s="24">
        <v>1.392963533343867</v>
      </c>
      <c r="BM68" s="24">
        <v>79531.392605490575</v>
      </c>
      <c r="BN68" s="24">
        <v>5080.4539183100833</v>
      </c>
      <c r="BO68" s="24">
        <v>1032.7310976337978</v>
      </c>
      <c r="BP68" s="24">
        <v>18194.129114117761</v>
      </c>
      <c r="BQ68" s="24">
        <v>0</v>
      </c>
      <c r="BR68" s="25">
        <v>1026672.1144946151</v>
      </c>
      <c r="BS68" s="26">
        <v>21002669.77154975</v>
      </c>
      <c r="BT68" s="26">
        <v>1902127.1966263854</v>
      </c>
      <c r="BU68" s="26">
        <v>4613820.4939813158</v>
      </c>
      <c r="BV68" s="26">
        <v>20263476.80141224</v>
      </c>
      <c r="BW68" s="26">
        <v>0</v>
      </c>
      <c r="BX68" s="27">
        <v>38554453.275607057</v>
      </c>
      <c r="BY68" s="26">
        <v>0</v>
      </c>
      <c r="BZ68" s="26">
        <v>0</v>
      </c>
      <c r="CA68" s="27">
        <v>0</v>
      </c>
      <c r="CB68" s="26">
        <v>0</v>
      </c>
      <c r="CC68" s="26">
        <v>2415840.3811167227</v>
      </c>
      <c r="CD68" s="26">
        <v>4613820.4939813158</v>
      </c>
      <c r="CE68" s="27">
        <v>7029660.8750980385</v>
      </c>
      <c r="CF68" s="25">
        <v>45584114.150705099</v>
      </c>
      <c r="CG68" s="26">
        <v>2783468.2651997027</v>
      </c>
      <c r="CH68" s="25">
        <v>43827318.000000007</v>
      </c>
      <c r="CI68" s="37" t="s">
        <v>167</v>
      </c>
      <c r="CJ68" s="35">
        <v>93</v>
      </c>
      <c r="CM68" s="30"/>
    </row>
    <row r="69" spans="1:120" ht="32" customHeight="1" x14ac:dyDescent="0.2">
      <c r="A69" s="35">
        <v>94</v>
      </c>
      <c r="B69" s="36" t="s">
        <v>88</v>
      </c>
      <c r="C69" s="24">
        <v>69.626229361506788</v>
      </c>
      <c r="D69" s="24">
        <v>0</v>
      </c>
      <c r="E69" s="24">
        <v>0.40554240483923398</v>
      </c>
      <c r="F69" s="24">
        <v>9.5502057938009752</v>
      </c>
      <c r="G69" s="452">
        <v>13.522555123990307</v>
      </c>
      <c r="H69" s="24">
        <v>1.3064017601367501</v>
      </c>
      <c r="I69" s="24">
        <v>6.6514073795526846E-2</v>
      </c>
      <c r="J69" s="24">
        <v>232.33600309313064</v>
      </c>
      <c r="K69" s="24">
        <v>506.45781447859963</v>
      </c>
      <c r="L69" s="24">
        <v>277.36369984444985</v>
      </c>
      <c r="M69" s="24">
        <v>9.5293934684419934</v>
      </c>
      <c r="N69" s="24">
        <v>2414.2926630910724</v>
      </c>
      <c r="O69" s="24">
        <v>0.21573601868978293</v>
      </c>
      <c r="P69" s="64">
        <v>940393.72928944335</v>
      </c>
      <c r="Q69" s="24">
        <v>3020.3478054239504</v>
      </c>
      <c r="R69" s="24">
        <v>2632.350181124099</v>
      </c>
      <c r="S69" s="24">
        <v>563.14188418685444</v>
      </c>
      <c r="T69" s="24">
        <v>0.87662471073333326</v>
      </c>
      <c r="U69" s="24">
        <v>0.17874657243365757</v>
      </c>
      <c r="V69" s="24">
        <v>4.2734548290771092E-2</v>
      </c>
      <c r="W69" s="24">
        <v>2.9890423903770662E-2</v>
      </c>
      <c r="X69" s="24">
        <v>8.1158998052285186E-2</v>
      </c>
      <c r="Y69" s="24">
        <v>5.4019701474135075E-2</v>
      </c>
      <c r="Z69" s="24">
        <v>1396.8153399609648</v>
      </c>
      <c r="AA69" s="24">
        <v>9.3107908184299811E-3</v>
      </c>
      <c r="AB69" s="24">
        <v>0.6046312506007463</v>
      </c>
      <c r="AC69" s="24">
        <v>1.0083646830503645E-2</v>
      </c>
      <c r="AD69" s="24">
        <v>1.1197009800647012E-3</v>
      </c>
      <c r="AE69" s="24">
        <v>79.899083354324148</v>
      </c>
      <c r="AF69" s="24">
        <v>22169.979583866378</v>
      </c>
      <c r="AG69" s="24">
        <v>0.489691423706759</v>
      </c>
      <c r="AH69" s="24">
        <v>180780.08373480235</v>
      </c>
      <c r="AI69" s="24">
        <v>986626.4645150688</v>
      </c>
      <c r="AJ69" s="24">
        <v>798.97419882464965</v>
      </c>
      <c r="AK69" s="24">
        <v>238122.94833829888</v>
      </c>
      <c r="AL69" s="24">
        <v>11.882560376613196</v>
      </c>
      <c r="AM69" s="24">
        <v>2.8042293752972687</v>
      </c>
      <c r="AN69" s="24">
        <v>0.62150114049795269</v>
      </c>
      <c r="AO69" s="24">
        <v>249.26658672962662</v>
      </c>
      <c r="AP69" s="24">
        <v>539507.60621320177</v>
      </c>
      <c r="AQ69" s="24">
        <v>10041.691036004311</v>
      </c>
      <c r="AR69" s="24">
        <v>10041.691036004311</v>
      </c>
      <c r="AS69" s="24">
        <v>149.32809534170002</v>
      </c>
      <c r="AT69" s="24">
        <v>2546.5359400747675</v>
      </c>
      <c r="AU69" s="24">
        <v>1548.3534316209041</v>
      </c>
      <c r="AV69" s="24">
        <v>10461.58317239626</v>
      </c>
      <c r="AW69" s="24">
        <v>21.289651146923081</v>
      </c>
      <c r="AX69" s="24">
        <v>4415.5882956214573</v>
      </c>
      <c r="AY69" s="24">
        <v>3598.9254083924852</v>
      </c>
      <c r="AZ69" s="24">
        <v>45.710400976534522</v>
      </c>
      <c r="BA69" s="24">
        <v>799.58515198403131</v>
      </c>
      <c r="BB69" s="24">
        <v>145.08606169507996</v>
      </c>
      <c r="BC69" s="24">
        <v>28071.220727306732</v>
      </c>
      <c r="BD69" s="24">
        <v>1.1837297006667074</v>
      </c>
      <c r="BE69" s="24">
        <v>317.40417041887724</v>
      </c>
      <c r="BF69" s="24">
        <v>5222.4211152741291</v>
      </c>
      <c r="BG69" s="24">
        <v>1235.6199204188963</v>
      </c>
      <c r="BH69" s="24">
        <v>4852.3723519187415</v>
      </c>
      <c r="BI69" s="24">
        <v>17678.249429605308</v>
      </c>
      <c r="BJ69" s="24">
        <v>550.54973684523179</v>
      </c>
      <c r="BK69" s="24">
        <v>5.1005174154052328</v>
      </c>
      <c r="BL69" s="24">
        <v>66.060359237808157</v>
      </c>
      <c r="BM69" s="24">
        <v>11493.62138798613</v>
      </c>
      <c r="BN69" s="24">
        <v>222191.08296197871</v>
      </c>
      <c r="BO69" s="24">
        <v>36868.958321322192</v>
      </c>
      <c r="BP69" s="24">
        <v>2783.4982997660936</v>
      </c>
      <c r="BQ69" s="24">
        <v>0</v>
      </c>
      <c r="BR69" s="25">
        <v>3295046.6765259132</v>
      </c>
      <c r="BS69" s="26">
        <v>1694881.9900962014</v>
      </c>
      <c r="BT69" s="26">
        <v>0</v>
      </c>
      <c r="BU69" s="26">
        <v>0</v>
      </c>
      <c r="BV69" s="26">
        <v>0</v>
      </c>
      <c r="BW69" s="26">
        <v>11043040.292463791</v>
      </c>
      <c r="BX69" s="27">
        <v>12737922.282559993</v>
      </c>
      <c r="BY69" s="26">
        <v>0</v>
      </c>
      <c r="BZ69" s="26">
        <v>0</v>
      </c>
      <c r="CA69" s="27">
        <v>0</v>
      </c>
      <c r="CB69" s="26">
        <v>0</v>
      </c>
      <c r="CC69" s="26">
        <v>0</v>
      </c>
      <c r="CD69" s="26">
        <v>0</v>
      </c>
      <c r="CE69" s="27">
        <v>0</v>
      </c>
      <c r="CF69" s="25">
        <v>12737922.282559993</v>
      </c>
      <c r="CG69" s="26">
        <v>0</v>
      </c>
      <c r="CH69" s="25">
        <v>16032968.959085906</v>
      </c>
      <c r="CI69" s="37" t="s">
        <v>168</v>
      </c>
      <c r="CJ69" s="35">
        <v>94</v>
      </c>
      <c r="CM69" s="30"/>
    </row>
    <row r="70" spans="1:120" ht="32" customHeight="1" x14ac:dyDescent="0.2">
      <c r="A70" s="44">
        <v>95</v>
      </c>
      <c r="B70" s="45" t="s">
        <v>89</v>
      </c>
      <c r="C70" s="24">
        <v>115966.00558824232</v>
      </c>
      <c r="D70" s="24">
        <v>0</v>
      </c>
      <c r="E70" s="24">
        <v>149739.19313767416</v>
      </c>
      <c r="F70" s="24">
        <v>33899.569086680654</v>
      </c>
      <c r="G70" s="452">
        <v>249635.42283277825</v>
      </c>
      <c r="H70" s="24">
        <v>68986.397191251832</v>
      </c>
      <c r="I70" s="24">
        <v>14518.572651329485</v>
      </c>
      <c r="J70" s="24">
        <v>2084.3270241203481</v>
      </c>
      <c r="K70" s="24">
        <v>784.31359050380343</v>
      </c>
      <c r="L70" s="24">
        <v>658.08595053182137</v>
      </c>
      <c r="M70" s="24">
        <v>85.302712095470255</v>
      </c>
      <c r="N70" s="24">
        <v>22559.981087508077</v>
      </c>
      <c r="O70" s="24">
        <v>3626.1370343671852</v>
      </c>
      <c r="P70" s="64">
        <v>35662.722011364509</v>
      </c>
      <c r="Q70" s="24">
        <v>5912.1551383203478</v>
      </c>
      <c r="R70" s="24">
        <v>4842.2235794437356</v>
      </c>
      <c r="S70" s="24">
        <v>3579.6672468536099</v>
      </c>
      <c r="T70" s="24">
        <v>67216.219539893093</v>
      </c>
      <c r="U70" s="24">
        <v>16271.520311425505</v>
      </c>
      <c r="V70" s="24">
        <v>1271.2782747613364</v>
      </c>
      <c r="W70" s="24">
        <v>479.80747472865687</v>
      </c>
      <c r="X70" s="24">
        <v>8771.1818790761554</v>
      </c>
      <c r="Y70" s="24">
        <v>1512.8900279438367</v>
      </c>
      <c r="Z70" s="24">
        <v>1319.1536270634278</v>
      </c>
      <c r="AA70" s="24">
        <v>214.14739041768576</v>
      </c>
      <c r="AB70" s="24">
        <v>2910.1997164317081</v>
      </c>
      <c r="AC70" s="24">
        <v>380.25236156560533</v>
      </c>
      <c r="AD70" s="24">
        <v>51.305946191989371</v>
      </c>
      <c r="AE70" s="24">
        <v>10153.774159866927</v>
      </c>
      <c r="AF70" s="24">
        <v>63332.045911130866</v>
      </c>
      <c r="AG70" s="24">
        <v>1880798.5974741131</v>
      </c>
      <c r="AH70" s="24">
        <v>254109.29453237387</v>
      </c>
      <c r="AI70" s="24">
        <v>1414847.359601937</v>
      </c>
      <c r="AJ70" s="24">
        <v>83205.436587376971</v>
      </c>
      <c r="AK70" s="24">
        <v>124964.26244746553</v>
      </c>
      <c r="AL70" s="24">
        <v>137754.97080919897</v>
      </c>
      <c r="AM70" s="24">
        <v>32509.536959447552</v>
      </c>
      <c r="AN70" s="24">
        <v>5112.4554358091409</v>
      </c>
      <c r="AO70" s="24">
        <v>2887288.0644881334</v>
      </c>
      <c r="AP70" s="24">
        <v>275794.30273830844</v>
      </c>
      <c r="AQ70" s="24">
        <v>20528.264372167017</v>
      </c>
      <c r="AR70" s="24">
        <v>20528.264372167017</v>
      </c>
      <c r="AS70" s="24">
        <v>324975.80027920089</v>
      </c>
      <c r="AT70" s="24">
        <v>6873.8157865506982</v>
      </c>
      <c r="AU70" s="24">
        <v>941.68143739907828</v>
      </c>
      <c r="AV70" s="24">
        <v>7904.9672012420597</v>
      </c>
      <c r="AW70" s="24">
        <v>153.92438999486765</v>
      </c>
      <c r="AX70" s="24">
        <v>5640.2686412966714</v>
      </c>
      <c r="AY70" s="24">
        <v>20812.737301962767</v>
      </c>
      <c r="AZ70" s="24">
        <v>62.371511667671633</v>
      </c>
      <c r="BA70" s="24">
        <v>18313.651032623191</v>
      </c>
      <c r="BB70" s="24">
        <v>858.29191294439715</v>
      </c>
      <c r="BC70" s="24">
        <v>310787.99489746417</v>
      </c>
      <c r="BD70" s="24">
        <v>2018.419702607916</v>
      </c>
      <c r="BE70" s="24">
        <v>441.03584779265185</v>
      </c>
      <c r="BF70" s="24">
        <v>3581.2460503749408</v>
      </c>
      <c r="BG70" s="24">
        <v>1599825.1395427275</v>
      </c>
      <c r="BH70" s="24">
        <v>326458.62391196314</v>
      </c>
      <c r="BI70" s="24">
        <v>1230577.2325227794</v>
      </c>
      <c r="BJ70" s="24">
        <v>333.53803118225983</v>
      </c>
      <c r="BK70" s="24">
        <v>65.124116200725368</v>
      </c>
      <c r="BL70" s="24">
        <v>653.75899906971756</v>
      </c>
      <c r="BM70" s="24">
        <v>180847.27536080414</v>
      </c>
      <c r="BN70" s="24">
        <v>19898.5024919436</v>
      </c>
      <c r="BO70" s="24">
        <v>5225.6424574514731</v>
      </c>
      <c r="BP70" s="24">
        <v>25156.422933880749</v>
      </c>
      <c r="BQ70" s="24">
        <v>0</v>
      </c>
      <c r="BR70" s="25">
        <v>12116272.128663188</v>
      </c>
      <c r="BS70" s="26">
        <v>9378692.8367057573</v>
      </c>
      <c r="BT70" s="26">
        <v>0</v>
      </c>
      <c r="BU70" s="26">
        <v>0</v>
      </c>
      <c r="BV70" s="26">
        <v>0</v>
      </c>
      <c r="BW70" s="26">
        <v>0</v>
      </c>
      <c r="BX70" s="27">
        <v>9378692.8367057573</v>
      </c>
      <c r="BY70" s="26">
        <v>0</v>
      </c>
      <c r="BZ70" s="26">
        <v>0</v>
      </c>
      <c r="CA70" s="27">
        <v>0</v>
      </c>
      <c r="CB70" s="26">
        <v>0</v>
      </c>
      <c r="CC70" s="26">
        <v>0</v>
      </c>
      <c r="CD70" s="26">
        <v>0</v>
      </c>
      <c r="CE70" s="27">
        <v>0</v>
      </c>
      <c r="CF70" s="25">
        <v>9378692.8367057573</v>
      </c>
      <c r="CG70" s="26">
        <v>0</v>
      </c>
      <c r="CH70" s="25">
        <v>21494964.965368945</v>
      </c>
      <c r="CI70" s="46" t="s">
        <v>169</v>
      </c>
      <c r="CJ70" s="44">
        <v>95</v>
      </c>
      <c r="CM70" s="30"/>
    </row>
    <row r="71" spans="1:120" s="41" customFormat="1" ht="32" customHeight="1" x14ac:dyDescent="0.2">
      <c r="A71" s="47">
        <v>96</v>
      </c>
      <c r="B71" s="48" t="s">
        <v>90</v>
      </c>
      <c r="C71" s="24">
        <v>0</v>
      </c>
      <c r="D71" s="24">
        <v>0</v>
      </c>
      <c r="E71" s="24">
        <v>0</v>
      </c>
      <c r="F71" s="24">
        <v>0</v>
      </c>
      <c r="G71" s="452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6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336421.95441472833</v>
      </c>
      <c r="AG71" s="24">
        <v>8152478.0667789029</v>
      </c>
      <c r="AH71" s="24">
        <v>2.4761656827000262</v>
      </c>
      <c r="AI71" s="24">
        <v>0</v>
      </c>
      <c r="AJ71" s="24">
        <v>0</v>
      </c>
      <c r="AK71" s="24">
        <v>1969.3480881649186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497.95625134904611</v>
      </c>
      <c r="AU71" s="24">
        <v>303.56736483083688</v>
      </c>
      <c r="AV71" s="24">
        <v>2054.1796159258206</v>
      </c>
      <c r="AW71" s="24">
        <v>4.079727038456439</v>
      </c>
      <c r="AX71" s="24">
        <v>866.80579565396829</v>
      </c>
      <c r="AY71" s="24">
        <v>705.41335617128573</v>
      </c>
      <c r="AZ71" s="24">
        <v>8.9388506174559392</v>
      </c>
      <c r="BA71" s="24">
        <v>144.32110559683252</v>
      </c>
      <c r="BB71" s="24">
        <v>26.448993254278808</v>
      </c>
      <c r="BC71" s="24">
        <v>5186.0394031359174</v>
      </c>
      <c r="BD71" s="24">
        <v>0</v>
      </c>
      <c r="BE71" s="24">
        <v>58.600832807164799</v>
      </c>
      <c r="BF71" s="24">
        <v>48302.082241992153</v>
      </c>
      <c r="BG71" s="24">
        <v>1074181.2206523069</v>
      </c>
      <c r="BH71" s="24">
        <v>297711.30728313763</v>
      </c>
      <c r="BI71" s="24">
        <v>736044.16073648317</v>
      </c>
      <c r="BJ71" s="24">
        <v>51.468336543906197</v>
      </c>
      <c r="BK71" s="24">
        <v>0.4712344536848177</v>
      </c>
      <c r="BL71" s="24">
        <v>5.5611069582097432</v>
      </c>
      <c r="BM71" s="24">
        <v>697540.06039445964</v>
      </c>
      <c r="BN71" s="24">
        <v>24475.372914764561</v>
      </c>
      <c r="BO71" s="24">
        <v>3729.9511117787911</v>
      </c>
      <c r="BP71" s="24">
        <v>2194.6119848893218</v>
      </c>
      <c r="BQ71" s="24">
        <v>0</v>
      </c>
      <c r="BR71" s="25">
        <v>11384964.464741629</v>
      </c>
      <c r="BS71" s="26">
        <v>11063470.833903173</v>
      </c>
      <c r="BT71" s="26">
        <v>0</v>
      </c>
      <c r="BU71" s="26">
        <v>0</v>
      </c>
      <c r="BV71" s="26">
        <v>0</v>
      </c>
      <c r="BW71" s="26">
        <v>14730.94284149829</v>
      </c>
      <c r="BX71" s="27">
        <v>11078201.776744671</v>
      </c>
      <c r="BY71" s="26">
        <v>0</v>
      </c>
      <c r="BZ71" s="26">
        <v>0</v>
      </c>
      <c r="CA71" s="27">
        <v>0</v>
      </c>
      <c r="CB71" s="26">
        <v>0</v>
      </c>
      <c r="CC71" s="26">
        <v>0</v>
      </c>
      <c r="CD71" s="26">
        <v>0</v>
      </c>
      <c r="CE71" s="27">
        <v>0</v>
      </c>
      <c r="CF71" s="25">
        <v>11078201.776744671</v>
      </c>
      <c r="CG71" s="26">
        <v>0</v>
      </c>
      <c r="CH71" s="25">
        <v>22463166.2414863</v>
      </c>
      <c r="CI71" s="46" t="s">
        <v>170</v>
      </c>
      <c r="CJ71" s="47">
        <v>96</v>
      </c>
      <c r="CK71" s="2"/>
      <c r="CL71" s="2"/>
      <c r="CM71" s="30"/>
    </row>
    <row r="72" spans="1:120" s="41" customFormat="1" ht="32" customHeight="1" x14ac:dyDescent="0.2">
      <c r="A72" s="47">
        <v>97</v>
      </c>
      <c r="B72" s="48" t="s">
        <v>91</v>
      </c>
      <c r="C72" s="24">
        <v>0</v>
      </c>
      <c r="D72" s="24">
        <v>0</v>
      </c>
      <c r="E72" s="24">
        <v>0</v>
      </c>
      <c r="F72" s="24">
        <v>0</v>
      </c>
      <c r="G72" s="452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6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>
        <v>0</v>
      </c>
      <c r="AV72" s="24">
        <v>0</v>
      </c>
      <c r="AW72" s="24">
        <v>0</v>
      </c>
      <c r="AX72" s="24">
        <v>0</v>
      </c>
      <c r="AY72" s="24">
        <v>0</v>
      </c>
      <c r="AZ72" s="24">
        <v>0</v>
      </c>
      <c r="BA72" s="24">
        <v>0</v>
      </c>
      <c r="BB72" s="24">
        <v>0</v>
      </c>
      <c r="BC72" s="24">
        <v>0</v>
      </c>
      <c r="BD72" s="24">
        <v>0</v>
      </c>
      <c r="BE72" s="24">
        <v>0</v>
      </c>
      <c r="BF72" s="24">
        <v>0</v>
      </c>
      <c r="BG72" s="24">
        <v>0</v>
      </c>
      <c r="BH72" s="24">
        <v>0</v>
      </c>
      <c r="BI72" s="24">
        <v>0</v>
      </c>
      <c r="BJ72" s="24">
        <v>0</v>
      </c>
      <c r="BK72" s="24">
        <v>0</v>
      </c>
      <c r="BL72" s="24"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5">
        <v>0</v>
      </c>
      <c r="BS72" s="26">
        <v>1731103.8937081348</v>
      </c>
      <c r="BT72" s="26">
        <v>0</v>
      </c>
      <c r="BU72" s="26">
        <v>0</v>
      </c>
      <c r="BV72" s="26">
        <v>0</v>
      </c>
      <c r="BW72" s="26">
        <v>0</v>
      </c>
      <c r="BX72" s="27">
        <v>1731103.8937081348</v>
      </c>
      <c r="BY72" s="26">
        <v>0</v>
      </c>
      <c r="BZ72" s="26">
        <v>0</v>
      </c>
      <c r="CA72" s="27">
        <v>0</v>
      </c>
      <c r="CB72" s="26">
        <v>0</v>
      </c>
      <c r="CC72" s="26">
        <v>0</v>
      </c>
      <c r="CD72" s="26">
        <v>0</v>
      </c>
      <c r="CE72" s="27">
        <v>0</v>
      </c>
      <c r="CF72" s="25">
        <v>1731103.8937081348</v>
      </c>
      <c r="CG72" s="26">
        <v>0</v>
      </c>
      <c r="CH72" s="25">
        <v>1731103.8937081348</v>
      </c>
      <c r="CI72" s="46" t="s">
        <v>171</v>
      </c>
      <c r="CJ72" s="47">
        <v>97</v>
      </c>
      <c r="CK72" s="2"/>
      <c r="CL72" s="2"/>
      <c r="CM72" s="30"/>
    </row>
    <row r="73" spans="1:120" s="49" customFormat="1" ht="32" customHeight="1" x14ac:dyDescent="0.2">
      <c r="A73" s="401" t="s">
        <v>189</v>
      </c>
      <c r="B73" s="401"/>
      <c r="C73" s="25">
        <v>222107816.33869287</v>
      </c>
      <c r="D73" s="25">
        <v>5421838.2897962891</v>
      </c>
      <c r="E73" s="25">
        <v>14546790.214241166</v>
      </c>
      <c r="F73" s="25">
        <v>18962811.179769795</v>
      </c>
      <c r="G73" s="25">
        <v>216106866.39801767</v>
      </c>
      <c r="H73" s="25">
        <v>11347877.974825915</v>
      </c>
      <c r="I73" s="25">
        <v>5026744.6979482183</v>
      </c>
      <c r="J73" s="25">
        <v>21628315.646997847</v>
      </c>
      <c r="K73" s="25">
        <v>7864547.538792883</v>
      </c>
      <c r="L73" s="25">
        <v>5836603.6980198538</v>
      </c>
      <c r="M73" s="25">
        <v>481966.97296950355</v>
      </c>
      <c r="N73" s="25">
        <v>12439030.744468577</v>
      </c>
      <c r="O73" s="25">
        <v>1978662.3894464164</v>
      </c>
      <c r="P73" s="65">
        <v>192593954.5145582</v>
      </c>
      <c r="Q73" s="25">
        <v>33155607.445180658</v>
      </c>
      <c r="R73" s="25">
        <v>18641490.140828539</v>
      </c>
      <c r="S73" s="25">
        <v>10375698.290807102</v>
      </c>
      <c r="T73" s="25">
        <v>38529734.074771076</v>
      </c>
      <c r="U73" s="25">
        <v>79925956.775367156</v>
      </c>
      <c r="V73" s="25">
        <v>11806985.484435475</v>
      </c>
      <c r="W73" s="25">
        <v>5661308.5110039506</v>
      </c>
      <c r="X73" s="25">
        <v>20141290.890929315</v>
      </c>
      <c r="Y73" s="25">
        <v>7509816.0168711748</v>
      </c>
      <c r="Z73" s="25">
        <v>17547434.700054988</v>
      </c>
      <c r="AA73" s="25">
        <v>738992.33890062582</v>
      </c>
      <c r="AB73" s="25">
        <v>4662755.2088778652</v>
      </c>
      <c r="AC73" s="25">
        <v>733834.92375540989</v>
      </c>
      <c r="AD73" s="25">
        <v>6613.0846363198034</v>
      </c>
      <c r="AE73" s="25">
        <v>64529594.135630608</v>
      </c>
      <c r="AF73" s="25">
        <v>7390307.3490407187</v>
      </c>
      <c r="AG73" s="25">
        <v>107887046.28294508</v>
      </c>
      <c r="AH73" s="25">
        <v>76191636.027214691</v>
      </c>
      <c r="AI73" s="25">
        <v>68666136.206769869</v>
      </c>
      <c r="AJ73" s="25">
        <v>3285610.4749168749</v>
      </c>
      <c r="AK73" s="25">
        <v>36088114.435229421</v>
      </c>
      <c r="AL73" s="25">
        <v>1246830.0759249532</v>
      </c>
      <c r="AM73" s="25">
        <v>368087.56654505455</v>
      </c>
      <c r="AN73" s="25">
        <v>1217700.1774681043</v>
      </c>
      <c r="AO73" s="25">
        <v>34490150.771737359</v>
      </c>
      <c r="AP73" s="25">
        <v>12750812.821513694</v>
      </c>
      <c r="AQ73" s="25">
        <v>1036266.7878189367</v>
      </c>
      <c r="AR73" s="25">
        <v>812539.58490184636</v>
      </c>
      <c r="AS73" s="25">
        <v>43427251.397501335</v>
      </c>
      <c r="AT73" s="25">
        <v>1490439.0669644007</v>
      </c>
      <c r="AU73" s="25">
        <v>758815.07790582627</v>
      </c>
      <c r="AV73" s="25">
        <v>4611127.4031215124</v>
      </c>
      <c r="AW73" s="25">
        <v>23300.996187633409</v>
      </c>
      <c r="AX73" s="25">
        <v>1935127.555993424</v>
      </c>
      <c r="AY73" s="25">
        <v>1833115.2797353757</v>
      </c>
      <c r="AZ73" s="25">
        <v>23625.701352543798</v>
      </c>
      <c r="BA73" s="25">
        <v>1442623.1488935652</v>
      </c>
      <c r="BB73" s="25">
        <v>131073.04429390703</v>
      </c>
      <c r="BC73" s="25">
        <v>19493489.77983094</v>
      </c>
      <c r="BD73" s="25">
        <v>154461.311037648</v>
      </c>
      <c r="BE73" s="25">
        <v>215519.4761549957</v>
      </c>
      <c r="BF73" s="25">
        <v>2438571.2023328701</v>
      </c>
      <c r="BG73" s="25">
        <v>48067452.736822695</v>
      </c>
      <c r="BH73" s="25">
        <v>12336300.710105233</v>
      </c>
      <c r="BI73" s="25">
        <v>47570328.205044627</v>
      </c>
      <c r="BJ73" s="25">
        <v>63086.070767497644</v>
      </c>
      <c r="BK73" s="25">
        <v>2227.5048455070396</v>
      </c>
      <c r="BL73" s="25">
        <v>57218.339248922181</v>
      </c>
      <c r="BM73" s="25">
        <v>6405634.1007343689</v>
      </c>
      <c r="BN73" s="25">
        <v>8521301.0179654639</v>
      </c>
      <c r="BO73" s="25">
        <v>1243992.9824591177</v>
      </c>
      <c r="BP73" s="25">
        <v>2276607.4916198016</v>
      </c>
      <c r="BQ73" s="25">
        <v>0</v>
      </c>
      <c r="BR73" s="25">
        <v>1606264866.7835414</v>
      </c>
      <c r="BS73" s="25">
        <v>2685920283.143146</v>
      </c>
      <c r="BT73" s="25">
        <v>40480760.000000007</v>
      </c>
      <c r="BU73" s="25">
        <v>28120360.17175594</v>
      </c>
      <c r="BV73" s="25">
        <v>329748525.11173767</v>
      </c>
      <c r="BW73" s="25">
        <v>34039140.143143937</v>
      </c>
      <c r="BX73" s="27">
        <v>3062068348.2262712</v>
      </c>
      <c r="BY73" s="25">
        <v>379650638.41559917</v>
      </c>
      <c r="BZ73" s="25">
        <v>128645811.43587045</v>
      </c>
      <c r="CA73" s="27">
        <v>508296449.85146952</v>
      </c>
      <c r="CB73" s="25">
        <v>135688738.32318264</v>
      </c>
      <c r="CC73" s="25">
        <v>209866491.85922277</v>
      </c>
      <c r="CD73" s="25">
        <v>30154915.920000002</v>
      </c>
      <c r="CE73" s="27">
        <v>375710146.10240525</v>
      </c>
      <c r="CF73" s="25">
        <v>3946074944.1801462</v>
      </c>
      <c r="CG73" s="25">
        <v>572094521.3034687</v>
      </c>
      <c r="CH73" s="25">
        <v>4980245289.6602182</v>
      </c>
      <c r="CI73" s="400" t="s">
        <v>190</v>
      </c>
      <c r="CJ73" s="400"/>
      <c r="CK73" s="2"/>
      <c r="CL73" s="2"/>
      <c r="CM73" s="30"/>
    </row>
    <row r="74" spans="1:120" ht="32" customHeight="1" x14ac:dyDescent="0.2">
      <c r="A74" s="402" t="s">
        <v>191</v>
      </c>
      <c r="B74" s="402"/>
      <c r="C74" s="26">
        <v>1760704.3137464323</v>
      </c>
      <c r="D74" s="26">
        <v>-46888.160121488974</v>
      </c>
      <c r="E74" s="26">
        <v>78518.362518856113</v>
      </c>
      <c r="F74" s="26">
        <v>203113.80673478177</v>
      </c>
      <c r="G74" s="443">
        <v>920734.96358667954</v>
      </c>
      <c r="H74" s="26">
        <v>262503.9112303367</v>
      </c>
      <c r="I74" s="26">
        <v>1766951.3259156467</v>
      </c>
      <c r="J74" s="26">
        <v>1126295.6362386125</v>
      </c>
      <c r="K74" s="26">
        <v>530524.47480428021</v>
      </c>
      <c r="L74" s="26">
        <v>83017.434888693111</v>
      </c>
      <c r="M74" s="26">
        <v>52989.092037082941</v>
      </c>
      <c r="N74" s="26">
        <v>474527.8249479009</v>
      </c>
      <c r="O74" s="26">
        <v>22007.292533303884</v>
      </c>
      <c r="P74" s="65">
        <v>1039566.3847634373</v>
      </c>
      <c r="Q74" s="26">
        <v>1326355.7605866522</v>
      </c>
      <c r="R74" s="26">
        <v>1155811.7679796966</v>
      </c>
      <c r="S74" s="26">
        <v>737453.16992802743</v>
      </c>
      <c r="T74" s="26">
        <v>-803059.97744049795</v>
      </c>
      <c r="U74" s="26">
        <v>4361138.6917127455</v>
      </c>
      <c r="V74" s="26">
        <v>623500.03515722405</v>
      </c>
      <c r="W74" s="26">
        <v>365559.55999930599</v>
      </c>
      <c r="X74" s="26">
        <v>1086598.5550765635</v>
      </c>
      <c r="Y74" s="26">
        <v>287519.7632620231</v>
      </c>
      <c r="Z74" s="26">
        <v>1170802.3734585245</v>
      </c>
      <c r="AA74" s="26">
        <v>16887.89584511521</v>
      </c>
      <c r="AB74" s="26">
        <v>750456.09422819735</v>
      </c>
      <c r="AC74" s="26">
        <v>37041.1321504191</v>
      </c>
      <c r="AD74" s="26">
        <v>287.53621409443997</v>
      </c>
      <c r="AE74" s="26">
        <v>-7765823.8898562351</v>
      </c>
      <c r="AF74" s="26">
        <v>-632703.85889595281</v>
      </c>
      <c r="AG74" s="26">
        <v>3813046.7432540008</v>
      </c>
      <c r="AH74" s="26">
        <v>-8208353.1092155119</v>
      </c>
      <c r="AI74" s="26">
        <v>-8350025.0750773661</v>
      </c>
      <c r="AJ74" s="26">
        <v>-62659.161501219569</v>
      </c>
      <c r="AK74" s="26">
        <v>620931.7567921743</v>
      </c>
      <c r="AL74" s="26">
        <v>-49837.969092010258</v>
      </c>
      <c r="AM74" s="26">
        <v>-12327.900366056041</v>
      </c>
      <c r="AN74" s="26">
        <v>-14593.686634056459</v>
      </c>
      <c r="AO74" s="26">
        <v>-1103139.9096520368</v>
      </c>
      <c r="AP74" s="26">
        <v>-77298.653927480715</v>
      </c>
      <c r="AQ74" s="26">
        <v>-6250.7004657232592</v>
      </c>
      <c r="AR74" s="26">
        <v>-4534.6944263013766</v>
      </c>
      <c r="AS74" s="26">
        <v>493349.90688129602</v>
      </c>
      <c r="AT74" s="26">
        <v>43061.671102820248</v>
      </c>
      <c r="AU74" s="26">
        <v>25540.403358184969</v>
      </c>
      <c r="AV74" s="26">
        <v>174556.78072150753</v>
      </c>
      <c r="AW74" s="26">
        <v>-1175.7321684047251</v>
      </c>
      <c r="AX74" s="26">
        <v>81894.286750739033</v>
      </c>
      <c r="AY74" s="26">
        <v>71387.225716907065</v>
      </c>
      <c r="AZ74" s="26">
        <v>760.33604350733685</v>
      </c>
      <c r="BA74" s="26">
        <v>-182476.32272871112</v>
      </c>
      <c r="BB74" s="26">
        <v>2782.5857905333951</v>
      </c>
      <c r="BC74" s="26">
        <v>458427.30414213898</v>
      </c>
      <c r="BD74" s="26">
        <v>-12341.38073785473</v>
      </c>
      <c r="BE74" s="26">
        <v>-2001.9648173763258</v>
      </c>
      <c r="BF74" s="26">
        <v>107582.56284953578</v>
      </c>
      <c r="BG74" s="26">
        <v>-201140.77970154723</v>
      </c>
      <c r="BH74" s="26">
        <v>100919.84383729057</v>
      </c>
      <c r="BI74" s="26">
        <v>1156837.7424171253</v>
      </c>
      <c r="BJ74" s="26">
        <v>-7046.6294530393916</v>
      </c>
      <c r="BK74" s="26">
        <v>-85.639670315664446</v>
      </c>
      <c r="BL74" s="26">
        <v>-2169.4871264207704</v>
      </c>
      <c r="BM74" s="26">
        <v>-260331.47088218361</v>
      </c>
      <c r="BN74" s="26">
        <v>604592.49728029524</v>
      </c>
      <c r="BO74" s="26">
        <v>70423.434306886687</v>
      </c>
      <c r="BP74" s="26">
        <v>-95934.073312098975</v>
      </c>
      <c r="BQ74" s="26">
        <v>0</v>
      </c>
      <c r="BR74" s="25">
        <v>164762.01351968301</v>
      </c>
      <c r="BS74" s="26">
        <v>45666536.453192189</v>
      </c>
      <c r="BT74" s="26">
        <v>0</v>
      </c>
      <c r="BU74" s="26">
        <v>2034555.7482440609</v>
      </c>
      <c r="BV74" s="26">
        <v>-159679.34455423476</v>
      </c>
      <c r="BW74" s="26">
        <v>796.57547515006127</v>
      </c>
      <c r="BX74" s="27">
        <v>43473097.935869001</v>
      </c>
      <c r="BY74" s="26">
        <v>24207295.524422251</v>
      </c>
      <c r="BZ74" s="26">
        <v>-4300551.9776730947</v>
      </c>
      <c r="CA74" s="27">
        <v>19906743.546749156</v>
      </c>
      <c r="CB74" s="26">
        <v>0</v>
      </c>
      <c r="CC74" s="26">
        <v>0</v>
      </c>
      <c r="CD74" s="26">
        <v>0</v>
      </c>
      <c r="CE74" s="27">
        <v>0</v>
      </c>
      <c r="CF74" s="25">
        <v>0</v>
      </c>
      <c r="CG74" s="26">
        <v>0</v>
      </c>
      <c r="CH74" s="25">
        <v>0</v>
      </c>
      <c r="CI74" s="403" t="s">
        <v>192</v>
      </c>
      <c r="CJ74" s="403"/>
    </row>
    <row r="75" spans="1:120" s="49" customFormat="1" ht="32" customHeight="1" x14ac:dyDescent="0.2">
      <c r="A75" s="401" t="s">
        <v>193</v>
      </c>
      <c r="B75" s="401"/>
      <c r="C75" s="25">
        <v>223868520.6524393</v>
      </c>
      <c r="D75" s="25">
        <v>5374950.1296747997</v>
      </c>
      <c r="E75" s="25">
        <v>14625308.576760022</v>
      </c>
      <c r="F75" s="25">
        <v>19165924.986504577</v>
      </c>
      <c r="G75" s="25">
        <v>217027601.36160436</v>
      </c>
      <c r="H75" s="25">
        <v>11610381.886056252</v>
      </c>
      <c r="I75" s="25">
        <v>6793696.0238638651</v>
      </c>
      <c r="J75" s="25">
        <v>22754611.283236459</v>
      </c>
      <c r="K75" s="25">
        <v>8395072.0135971624</v>
      </c>
      <c r="L75" s="25">
        <v>5919621.1329085473</v>
      </c>
      <c r="M75" s="25">
        <v>534956.06500658649</v>
      </c>
      <c r="N75" s="25">
        <v>12913558.569416478</v>
      </c>
      <c r="O75" s="25">
        <v>2000669.6819797202</v>
      </c>
      <c r="P75" s="65">
        <v>193633520.89932165</v>
      </c>
      <c r="Q75" s="25">
        <v>34481963.205767311</v>
      </c>
      <c r="R75" s="25">
        <v>19797301.908808235</v>
      </c>
      <c r="S75" s="25">
        <v>11113151.460735129</v>
      </c>
      <c r="T75" s="25">
        <v>37726674.097330578</v>
      </c>
      <c r="U75" s="25">
        <v>84287095.467079908</v>
      </c>
      <c r="V75" s="25">
        <v>12430485.519592699</v>
      </c>
      <c r="W75" s="25">
        <v>6026868.0710032564</v>
      </c>
      <c r="X75" s="25">
        <v>21227889.446005877</v>
      </c>
      <c r="Y75" s="25">
        <v>7797335.780133198</v>
      </c>
      <c r="Z75" s="25">
        <v>18718237.073513512</v>
      </c>
      <c r="AA75" s="25">
        <v>755880.23474574101</v>
      </c>
      <c r="AB75" s="25">
        <v>5413211.3031060621</v>
      </c>
      <c r="AC75" s="25">
        <v>770876.05590582895</v>
      </c>
      <c r="AD75" s="25">
        <v>6900.6208504142433</v>
      </c>
      <c r="AE75" s="25">
        <v>56763770.245774373</v>
      </c>
      <c r="AF75" s="25">
        <v>6757603.4901447659</v>
      </c>
      <c r="AG75" s="25">
        <v>111700093.02619909</v>
      </c>
      <c r="AH75" s="25">
        <v>67983282.917999178</v>
      </c>
      <c r="AI75" s="25">
        <v>60316111.131692499</v>
      </c>
      <c r="AJ75" s="25">
        <v>3222951.3134156554</v>
      </c>
      <c r="AK75" s="25">
        <v>36709046.192021593</v>
      </c>
      <c r="AL75" s="25">
        <v>1196992.1068329429</v>
      </c>
      <c r="AM75" s="25">
        <v>355759.66617899854</v>
      </c>
      <c r="AN75" s="25">
        <v>1203106.4908340478</v>
      </c>
      <c r="AO75" s="25">
        <v>33387010.862085324</v>
      </c>
      <c r="AP75" s="25">
        <v>12673514.167586213</v>
      </c>
      <c r="AQ75" s="25">
        <v>1030016.0873532135</v>
      </c>
      <c r="AR75" s="25">
        <v>808004.89047554496</v>
      </c>
      <c r="AS75" s="25">
        <v>43920601.30438263</v>
      </c>
      <c r="AT75" s="25">
        <v>1533500.7380672209</v>
      </c>
      <c r="AU75" s="25">
        <v>784355.48126401124</v>
      </c>
      <c r="AV75" s="25">
        <v>4785684.1838430203</v>
      </c>
      <c r="AW75" s="25">
        <v>22125.264019228685</v>
      </c>
      <c r="AX75" s="25">
        <v>2017021.842744163</v>
      </c>
      <c r="AY75" s="25">
        <v>1904502.5054522827</v>
      </c>
      <c r="AZ75" s="25">
        <v>24386.037396051135</v>
      </c>
      <c r="BA75" s="25">
        <v>1260146.826164854</v>
      </c>
      <c r="BB75" s="25">
        <v>133855.63008444043</v>
      </c>
      <c r="BC75" s="25">
        <v>19951917.08397308</v>
      </c>
      <c r="BD75" s="25">
        <v>142119.93029979328</v>
      </c>
      <c r="BE75" s="25">
        <v>213517.51133761939</v>
      </c>
      <c r="BF75" s="25">
        <v>2546153.7651824057</v>
      </c>
      <c r="BG75" s="25">
        <v>47866311.957121149</v>
      </c>
      <c r="BH75" s="25">
        <v>12437220.553942524</v>
      </c>
      <c r="BI75" s="25">
        <v>48727165.947461754</v>
      </c>
      <c r="BJ75" s="25">
        <v>56039.44131445825</v>
      </c>
      <c r="BK75" s="25">
        <v>2141.8651751913753</v>
      </c>
      <c r="BL75" s="25">
        <v>55048.852122501412</v>
      </c>
      <c r="BM75" s="25">
        <v>6145302.629852185</v>
      </c>
      <c r="BN75" s="25">
        <v>9125893.5152457599</v>
      </c>
      <c r="BO75" s="25">
        <v>1314416.4167660044</v>
      </c>
      <c r="BP75" s="25">
        <v>2180673.4183077025</v>
      </c>
      <c r="BQ75" s="25">
        <v>0</v>
      </c>
      <c r="BR75" s="25">
        <v>1606429628.7970612</v>
      </c>
      <c r="BS75" s="25">
        <v>2731586819.5963383</v>
      </c>
      <c r="BT75" s="25">
        <v>40480760.000000007</v>
      </c>
      <c r="BU75" s="25">
        <v>30154915.920000002</v>
      </c>
      <c r="BV75" s="25">
        <v>329588845.76718342</v>
      </c>
      <c r="BW75" s="25">
        <v>34039936.718619086</v>
      </c>
      <c r="BX75" s="27">
        <v>3105541446.1621404</v>
      </c>
      <c r="BY75" s="25">
        <v>403857933.9400214</v>
      </c>
      <c r="BZ75" s="25">
        <v>124345259.45819736</v>
      </c>
      <c r="CA75" s="27">
        <v>528203193.39821869</v>
      </c>
      <c r="CB75" s="25">
        <v>135688738.32318264</v>
      </c>
      <c r="CC75" s="25">
        <v>209866491.85922277</v>
      </c>
      <c r="CD75" s="25">
        <v>30154915.920000002</v>
      </c>
      <c r="CE75" s="27">
        <v>375710146.10240525</v>
      </c>
      <c r="CF75" s="25">
        <v>3946074944.1801462</v>
      </c>
      <c r="CG75" s="25">
        <v>572094521.3034687</v>
      </c>
      <c r="CH75" s="25">
        <v>4980245289.6602182</v>
      </c>
      <c r="CI75" s="400" t="s">
        <v>194</v>
      </c>
      <c r="CJ75" s="400"/>
      <c r="CK75" s="2"/>
      <c r="CL75" s="2"/>
    </row>
    <row r="76" spans="1:120" s="49" customFormat="1" ht="32" customHeight="1" x14ac:dyDescent="0.2">
      <c r="A76" s="399" t="s">
        <v>195</v>
      </c>
      <c r="B76" s="399"/>
      <c r="C76" s="25">
        <v>359878335.12521917</v>
      </c>
      <c r="D76" s="25">
        <v>38435835.8703252</v>
      </c>
      <c r="E76" s="25">
        <v>234756597.36356282</v>
      </c>
      <c r="F76" s="25">
        <v>50048040.104655124</v>
      </c>
      <c r="G76" s="25">
        <v>72794495.515901297</v>
      </c>
      <c r="H76" s="25">
        <v>12025481.500564784</v>
      </c>
      <c r="I76" s="25">
        <v>6253590.6000049915</v>
      </c>
      <c r="J76" s="25">
        <v>9183955.5226306021</v>
      </c>
      <c r="K76" s="25">
        <v>20801997.032111883</v>
      </c>
      <c r="L76" s="25">
        <v>3672958.6247339938</v>
      </c>
      <c r="M76" s="25">
        <v>5833657.9804756697</v>
      </c>
      <c r="N76" s="25">
        <v>5939275.6504343674</v>
      </c>
      <c r="O76" s="25">
        <v>29620380.975483302</v>
      </c>
      <c r="P76" s="65">
        <v>124520035.4227204</v>
      </c>
      <c r="Q76" s="25">
        <v>34534104.780564032</v>
      </c>
      <c r="R76" s="25">
        <v>13346026.497533955</v>
      </c>
      <c r="S76" s="25">
        <v>6552470.0356518198</v>
      </c>
      <c r="T76" s="25">
        <v>26892859.218474403</v>
      </c>
      <c r="U76" s="25">
        <v>86271218.501142919</v>
      </c>
      <c r="V76" s="25">
        <v>16787024.228689633</v>
      </c>
      <c r="W76" s="25">
        <v>2125246.1083118599</v>
      </c>
      <c r="X76" s="25">
        <v>9381444.6239808537</v>
      </c>
      <c r="Y76" s="25">
        <v>3391730.510531201</v>
      </c>
      <c r="Z76" s="25">
        <v>6503621.7148285918</v>
      </c>
      <c r="AA76" s="25">
        <v>549918.01769284776</v>
      </c>
      <c r="AB76" s="25">
        <v>14967840.553574689</v>
      </c>
      <c r="AC76" s="25">
        <v>24332711.071872286</v>
      </c>
      <c r="AD76" s="25">
        <v>29548741.014928505</v>
      </c>
      <c r="AE76" s="25">
        <v>60199741.825140774</v>
      </c>
      <c r="AF76" s="25">
        <v>12549057.514499288</v>
      </c>
      <c r="AG76" s="25">
        <v>195722678.1246509</v>
      </c>
      <c r="AH76" s="25">
        <v>506917256.34002149</v>
      </c>
      <c r="AI76" s="25">
        <v>157326881.06061772</v>
      </c>
      <c r="AJ76" s="25">
        <v>77811795.260396332</v>
      </c>
      <c r="AK76" s="25">
        <v>65001965.869761541</v>
      </c>
      <c r="AL76" s="25">
        <v>1428412.2269968218</v>
      </c>
      <c r="AM76" s="25">
        <v>3596130.097821001</v>
      </c>
      <c r="AN76" s="25">
        <v>2748783.2731659515</v>
      </c>
      <c r="AO76" s="25">
        <v>65779611.286928326</v>
      </c>
      <c r="AP76" s="25">
        <v>118807223.22039224</v>
      </c>
      <c r="AQ76" s="25">
        <v>15141752.912646765</v>
      </c>
      <c r="AR76" s="25">
        <v>1424635.9095244547</v>
      </c>
      <c r="AS76" s="25">
        <v>232835660.21376497</v>
      </c>
      <c r="AT76" s="25">
        <v>8125554.0175618269</v>
      </c>
      <c r="AU76" s="25">
        <v>5467889.9040120328</v>
      </c>
      <c r="AV76" s="25">
        <v>11901732.180183377</v>
      </c>
      <c r="AW76" s="25">
        <v>6972399.3910038173</v>
      </c>
      <c r="AX76" s="25">
        <v>10189039.243158145</v>
      </c>
      <c r="AY76" s="25">
        <v>8774229.2023609579</v>
      </c>
      <c r="AZ76" s="25">
        <v>100625.21020181978</v>
      </c>
      <c r="BA76" s="25">
        <v>3483402.2828266183</v>
      </c>
      <c r="BB76" s="25">
        <v>1954974.3818623677</v>
      </c>
      <c r="BC76" s="25">
        <v>24894877.661896281</v>
      </c>
      <c r="BD76" s="25">
        <v>3328026.368654442</v>
      </c>
      <c r="BE76" s="25">
        <v>2206627.7198820715</v>
      </c>
      <c r="BF76" s="25">
        <v>11778508.831338968</v>
      </c>
      <c r="BG76" s="25">
        <v>155054780.84011364</v>
      </c>
      <c r="BH76" s="25">
        <v>150584233.95267552</v>
      </c>
      <c r="BI76" s="25">
        <v>115578048.73355284</v>
      </c>
      <c r="BJ76" s="25">
        <v>169420.49090193375</v>
      </c>
      <c r="BK76" s="25">
        <v>4893.6036864878533</v>
      </c>
      <c r="BL76" s="25">
        <v>221981.46487749857</v>
      </c>
      <c r="BM76" s="25">
        <v>37682015.370147817</v>
      </c>
      <c r="BN76" s="25">
        <v>6907075.4438401442</v>
      </c>
      <c r="BO76" s="25">
        <v>20180548.548602935</v>
      </c>
      <c r="BP76" s="25">
        <v>20282492.823178597</v>
      </c>
      <c r="BQ76" s="25">
        <v>1731103.8937081348</v>
      </c>
      <c r="BR76" s="25">
        <v>3373815660.8631582</v>
      </c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400" t="s">
        <v>196</v>
      </c>
      <c r="CJ76" s="400"/>
      <c r="CK76" s="2"/>
      <c r="CL76" s="2"/>
    </row>
    <row r="77" spans="1:120" ht="32" customHeight="1" x14ac:dyDescent="0.2">
      <c r="A77" s="395" t="s">
        <v>197</v>
      </c>
      <c r="B77" s="395"/>
      <c r="C77" s="26">
        <v>80476156.065405324</v>
      </c>
      <c r="D77" s="26">
        <v>8125941.7044193177</v>
      </c>
      <c r="E77" s="26">
        <v>6814903.6098369956</v>
      </c>
      <c r="F77" s="26">
        <v>8804263.5647375342</v>
      </c>
      <c r="G77" s="443">
        <v>11811300.728158515</v>
      </c>
      <c r="H77" s="26">
        <v>1914751.532744657</v>
      </c>
      <c r="I77" s="26">
        <v>1918057.2078645255</v>
      </c>
      <c r="J77" s="26">
        <v>6173186.277913372</v>
      </c>
      <c r="K77" s="26">
        <v>2140807.9648072226</v>
      </c>
      <c r="L77" s="26">
        <v>74532.00534986773</v>
      </c>
      <c r="M77" s="26">
        <v>125833.73429759493</v>
      </c>
      <c r="N77" s="26">
        <v>1569455.3282468296</v>
      </c>
      <c r="O77" s="26">
        <v>1174853.4829643355</v>
      </c>
      <c r="P77" s="65">
        <v>10892264.042786559</v>
      </c>
      <c r="Q77" s="26">
        <v>5637970.8475057259</v>
      </c>
      <c r="R77" s="26">
        <v>4753009.1934930617</v>
      </c>
      <c r="S77" s="26">
        <v>1508341.923040519</v>
      </c>
      <c r="T77" s="26">
        <v>5742540.6706028022</v>
      </c>
      <c r="U77" s="26">
        <v>6671322.0149720805</v>
      </c>
      <c r="V77" s="26">
        <v>1720912.0484188707</v>
      </c>
      <c r="W77" s="26">
        <v>938810.36339518195</v>
      </c>
      <c r="X77" s="26">
        <v>3198612.466132428</v>
      </c>
      <c r="Y77" s="26">
        <v>1624733.6485686307</v>
      </c>
      <c r="Z77" s="26">
        <v>1190994.6467205868</v>
      </c>
      <c r="AA77" s="26">
        <v>426776.19791651022</v>
      </c>
      <c r="AB77" s="26">
        <v>3906149.2732316614</v>
      </c>
      <c r="AC77" s="26">
        <v>2580650.0711581805</v>
      </c>
      <c r="AD77" s="26">
        <v>3250307.800019932</v>
      </c>
      <c r="AE77" s="26">
        <v>42082235.555486932</v>
      </c>
      <c r="AF77" s="26">
        <v>9331250</v>
      </c>
      <c r="AG77" s="26">
        <v>35584667.794482313</v>
      </c>
      <c r="AH77" s="26">
        <v>51854127.356499292</v>
      </c>
      <c r="AI77" s="26">
        <v>59069824.714779012</v>
      </c>
      <c r="AJ77" s="26">
        <v>6285076.3276864877</v>
      </c>
      <c r="AK77" s="26">
        <v>8999823.9516043738</v>
      </c>
      <c r="AL77" s="26">
        <v>1261676.6386671078</v>
      </c>
      <c r="AM77" s="26">
        <v>194473.68658357483</v>
      </c>
      <c r="AN77" s="26">
        <v>2285180.5499999998</v>
      </c>
      <c r="AO77" s="26">
        <v>14980810.36921878</v>
      </c>
      <c r="AP77" s="26">
        <v>39088284.61505159</v>
      </c>
      <c r="AQ77" s="26">
        <v>6354575.945892469</v>
      </c>
      <c r="AR77" s="26">
        <v>728340</v>
      </c>
      <c r="AS77" s="26">
        <v>4413972.8663749974</v>
      </c>
      <c r="AT77" s="26">
        <v>1667584.6053435472</v>
      </c>
      <c r="AU77" s="26">
        <v>608421.15074392629</v>
      </c>
      <c r="AV77" s="26">
        <v>2152406.52119296</v>
      </c>
      <c r="AW77" s="26">
        <v>27927.279801584064</v>
      </c>
      <c r="AX77" s="26">
        <v>1314335.5591416815</v>
      </c>
      <c r="AY77" s="26">
        <v>3262208.0760496478</v>
      </c>
      <c r="AZ77" s="26">
        <v>12311.909398932075</v>
      </c>
      <c r="BA77" s="26">
        <v>776859.62129720778</v>
      </c>
      <c r="BB77" s="26">
        <v>181156.43539567242</v>
      </c>
      <c r="BC77" s="26">
        <v>2222899.5526337442</v>
      </c>
      <c r="BD77" s="26">
        <v>734037.74336512503</v>
      </c>
      <c r="BE77" s="26">
        <v>373643.08668456535</v>
      </c>
      <c r="BF77" s="26">
        <v>1897510.9492306011</v>
      </c>
      <c r="BG77" s="26">
        <v>138549628</v>
      </c>
      <c r="BH77" s="26">
        <v>120585164</v>
      </c>
      <c r="BI77" s="26">
        <v>73135388</v>
      </c>
      <c r="BJ77" s="26">
        <v>20259.185336933719</v>
      </c>
      <c r="BK77" s="26">
        <v>4500.3384174547973</v>
      </c>
      <c r="BL77" s="26">
        <v>24007.305</v>
      </c>
      <c r="BM77" s="26">
        <v>23179429</v>
      </c>
      <c r="BN77" s="26">
        <v>6233297.4850036968</v>
      </c>
      <c r="BO77" s="26">
        <v>389190.81162084593</v>
      </c>
      <c r="BP77" s="26">
        <v>2467121.2864951878</v>
      </c>
      <c r="BQ77" s="26">
        <v>986436.32953596755</v>
      </c>
      <c r="BR77" s="25">
        <v>848487483.01872492</v>
      </c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396" t="s">
        <v>198</v>
      </c>
      <c r="CJ77" s="396"/>
    </row>
    <row r="78" spans="1:120" s="447" customFormat="1" ht="32" customHeight="1" x14ac:dyDescent="0.2">
      <c r="A78" s="442" t="s">
        <v>199</v>
      </c>
      <c r="B78" s="442"/>
      <c r="C78" s="443">
        <v>5110.0461256264507</v>
      </c>
      <c r="D78" s="443">
        <v>0</v>
      </c>
      <c r="E78" s="443">
        <v>329469</v>
      </c>
      <c r="F78" s="443">
        <v>14178</v>
      </c>
      <c r="G78" s="443">
        <v>207745</v>
      </c>
      <c r="H78" s="443">
        <v>51475</v>
      </c>
      <c r="I78" s="443">
        <v>395848</v>
      </c>
      <c r="J78" s="443">
        <v>34800</v>
      </c>
      <c r="K78" s="443">
        <v>46604</v>
      </c>
      <c r="L78" s="443">
        <v>443</v>
      </c>
      <c r="M78" s="443">
        <v>3353</v>
      </c>
      <c r="N78" s="443">
        <v>26483</v>
      </c>
      <c r="O78" s="443">
        <v>10607</v>
      </c>
      <c r="P78" s="65">
        <v>37929</v>
      </c>
      <c r="Q78" s="443">
        <v>250922</v>
      </c>
      <c r="R78" s="443">
        <v>72239</v>
      </c>
      <c r="S78" s="443">
        <v>18933</v>
      </c>
      <c r="T78" s="443">
        <v>181559</v>
      </c>
      <c r="U78" s="443">
        <v>120419</v>
      </c>
      <c r="V78" s="443">
        <v>117944</v>
      </c>
      <c r="W78" s="443">
        <v>9524</v>
      </c>
      <c r="X78" s="443">
        <v>58952</v>
      </c>
      <c r="Y78" s="443">
        <v>27710</v>
      </c>
      <c r="Z78" s="443">
        <v>464216</v>
      </c>
      <c r="AA78" s="443">
        <v>4954</v>
      </c>
      <c r="AB78" s="443">
        <v>2570</v>
      </c>
      <c r="AC78" s="443">
        <v>19112</v>
      </c>
      <c r="AD78" s="443">
        <v>2555</v>
      </c>
      <c r="AE78" s="443">
        <v>250922</v>
      </c>
      <c r="AF78" s="443">
        <v>2118</v>
      </c>
      <c r="AG78" s="443">
        <v>18933</v>
      </c>
      <c r="AH78" s="443">
        <v>181559</v>
      </c>
      <c r="AI78" s="443">
        <v>120419</v>
      </c>
      <c r="AJ78" s="443">
        <v>117944</v>
      </c>
      <c r="AK78" s="443">
        <v>9524</v>
      </c>
      <c r="AL78" s="443">
        <v>58952</v>
      </c>
      <c r="AM78" s="443">
        <v>10162.946854928372</v>
      </c>
      <c r="AN78" s="443">
        <v>0</v>
      </c>
      <c r="AO78" s="443">
        <v>2586785.2138345009</v>
      </c>
      <c r="AP78" s="443">
        <v>2801608</v>
      </c>
      <c r="AQ78" s="443">
        <v>3218</v>
      </c>
      <c r="AR78" s="443">
        <v>10673</v>
      </c>
      <c r="AS78" s="443">
        <v>19112</v>
      </c>
      <c r="AT78" s="443">
        <v>2555</v>
      </c>
      <c r="AU78" s="443">
        <v>1569.7806454015499</v>
      </c>
      <c r="AV78" s="443">
        <v>184045.84532511141</v>
      </c>
      <c r="AW78" s="443">
        <v>14.862940835001757</v>
      </c>
      <c r="AX78" s="443">
        <v>10402.724097929558</v>
      </c>
      <c r="AY78" s="443">
        <v>2645.5782507958024</v>
      </c>
      <c r="AZ78" s="443">
        <v>48.418415609787786</v>
      </c>
      <c r="BA78" s="443">
        <v>10879.837690908067</v>
      </c>
      <c r="BB78" s="443">
        <v>1453.9037033204345</v>
      </c>
      <c r="BC78" s="443">
        <v>116619.20819379871</v>
      </c>
      <c r="BD78" s="443">
        <v>697.16727015882691</v>
      </c>
      <c r="BE78" s="443">
        <v>2161.4215417568362</v>
      </c>
      <c r="BF78" s="443">
        <v>25229.293526726538</v>
      </c>
      <c r="BG78" s="443">
        <v>108959</v>
      </c>
      <c r="BH78" s="443">
        <v>28323</v>
      </c>
      <c r="BI78" s="443">
        <v>164719.10048982006</v>
      </c>
      <c r="BJ78" s="443">
        <v>158.15597041582996</v>
      </c>
      <c r="BK78" s="443">
        <v>9.9179332838760335</v>
      </c>
      <c r="BL78" s="443">
        <v>4136.4569999999994</v>
      </c>
      <c r="BM78" s="443">
        <v>6185</v>
      </c>
      <c r="BN78" s="443">
        <v>0</v>
      </c>
      <c r="BO78" s="443">
        <v>3528.9192215488347</v>
      </c>
      <c r="BP78" s="443">
        <v>12412.965727109102</v>
      </c>
      <c r="BQ78" s="443">
        <v>0</v>
      </c>
      <c r="BR78" s="25">
        <v>9394338.7647595853</v>
      </c>
      <c r="BS78" s="444"/>
      <c r="BT78" s="444"/>
      <c r="BU78" s="444"/>
      <c r="BV78" s="444"/>
      <c r="BW78" s="444"/>
      <c r="BX78" s="444"/>
      <c r="BY78" s="444"/>
      <c r="BZ78" s="444"/>
      <c r="CA78" s="444"/>
      <c r="CB78" s="444"/>
      <c r="CC78" s="444"/>
      <c r="CD78" s="444"/>
      <c r="CE78" s="444"/>
      <c r="CF78" s="444"/>
      <c r="CG78" s="444"/>
      <c r="CH78" s="444"/>
      <c r="CI78" s="445" t="s">
        <v>200</v>
      </c>
      <c r="CJ78" s="445"/>
      <c r="CK78" s="446"/>
      <c r="CL78" s="446"/>
    </row>
    <row r="79" spans="1:120" s="447" customFormat="1" ht="32" customHeight="1" x14ac:dyDescent="0.2">
      <c r="A79" s="442" t="s">
        <v>201</v>
      </c>
      <c r="B79" s="442"/>
      <c r="C79" s="443">
        <v>0</v>
      </c>
      <c r="D79" s="443">
        <v>0</v>
      </c>
      <c r="E79" s="443">
        <v>0</v>
      </c>
      <c r="F79" s="443">
        <v>0</v>
      </c>
      <c r="G79" s="443">
        <v>5107932</v>
      </c>
      <c r="H79" s="443">
        <v>16152</v>
      </c>
      <c r="I79" s="443">
        <v>1300</v>
      </c>
      <c r="J79" s="443">
        <v>326021</v>
      </c>
      <c r="K79" s="443">
        <v>183685</v>
      </c>
      <c r="L79" s="443">
        <v>653</v>
      </c>
      <c r="M79" s="443">
        <v>0</v>
      </c>
      <c r="N79" s="443">
        <v>37197</v>
      </c>
      <c r="O79" s="443">
        <v>43809</v>
      </c>
      <c r="P79" s="65">
        <v>115471209</v>
      </c>
      <c r="Q79" s="443">
        <v>158051</v>
      </c>
      <c r="R79" s="443">
        <v>1631</v>
      </c>
      <c r="S79" s="443">
        <v>86273</v>
      </c>
      <c r="T79" s="443">
        <v>8938</v>
      </c>
      <c r="U79" s="443">
        <v>131360</v>
      </c>
      <c r="V79" s="443">
        <v>3337</v>
      </c>
      <c r="W79" s="443">
        <v>90052</v>
      </c>
      <c r="X79" s="443">
        <v>159244</v>
      </c>
      <c r="Y79" s="443">
        <v>221252</v>
      </c>
      <c r="Z79" s="443">
        <v>1815</v>
      </c>
      <c r="AA79" s="443">
        <v>0</v>
      </c>
      <c r="AB79" s="443">
        <v>534</v>
      </c>
      <c r="AC79" s="443">
        <v>5677</v>
      </c>
      <c r="AD79" s="443">
        <v>0</v>
      </c>
      <c r="AE79" s="443">
        <v>158051</v>
      </c>
      <c r="AF79" s="443">
        <v>1171731.5975882814</v>
      </c>
      <c r="AG79" s="443">
        <v>86273</v>
      </c>
      <c r="AH79" s="443">
        <v>8938</v>
      </c>
      <c r="AI79" s="443">
        <v>131360</v>
      </c>
      <c r="AJ79" s="443">
        <v>3337</v>
      </c>
      <c r="AK79" s="443">
        <v>90052</v>
      </c>
      <c r="AL79" s="443">
        <v>159244</v>
      </c>
      <c r="AM79" s="443">
        <v>0</v>
      </c>
      <c r="AN79" s="443">
        <v>0</v>
      </c>
      <c r="AO79" s="443">
        <v>30</v>
      </c>
      <c r="AP79" s="443">
        <v>0</v>
      </c>
      <c r="AQ79" s="443">
        <v>0</v>
      </c>
      <c r="AR79" s="443">
        <v>0</v>
      </c>
      <c r="AS79" s="443">
        <v>5677</v>
      </c>
      <c r="AT79" s="443">
        <v>0</v>
      </c>
      <c r="AU79" s="443">
        <v>1878.8059545526366</v>
      </c>
      <c r="AV79" s="443">
        <v>2618.4853936526169</v>
      </c>
      <c r="AW79" s="443">
        <v>64.839806839337683</v>
      </c>
      <c r="AX79" s="443">
        <v>221255.60500642925</v>
      </c>
      <c r="AY79" s="443">
        <v>0</v>
      </c>
      <c r="AZ79" s="443">
        <v>7615.8987860681009</v>
      </c>
      <c r="BA79" s="443">
        <v>155.50587286595987</v>
      </c>
      <c r="BB79" s="443">
        <v>0</v>
      </c>
      <c r="BC79" s="443">
        <v>212.95276388614863</v>
      </c>
      <c r="BD79" s="443">
        <v>0</v>
      </c>
      <c r="BE79" s="443">
        <v>0</v>
      </c>
      <c r="BF79" s="443">
        <v>5.8542957202667232</v>
      </c>
      <c r="BG79" s="443">
        <v>0</v>
      </c>
      <c r="BH79" s="443">
        <v>225119.86340787835</v>
      </c>
      <c r="BI79" s="443">
        <v>1664050.8162849844</v>
      </c>
      <c r="BJ79" s="443">
        <v>0</v>
      </c>
      <c r="BK79" s="443">
        <v>70.520172319600434</v>
      </c>
      <c r="BL79" s="443">
        <v>367.71614428547201</v>
      </c>
      <c r="BM79" s="443">
        <v>94177</v>
      </c>
      <c r="BN79" s="443">
        <v>48113.979927797322</v>
      </c>
      <c r="BO79" s="443">
        <v>7878.1047365435697</v>
      </c>
      <c r="BP79" s="443">
        <v>19669.409706784787</v>
      </c>
      <c r="BQ79" s="443">
        <v>0</v>
      </c>
      <c r="BR79" s="25">
        <v>126164070.95584886</v>
      </c>
      <c r="BS79" s="444"/>
      <c r="BT79" s="444"/>
      <c r="BU79" s="444"/>
      <c r="BV79" s="444"/>
      <c r="BW79" s="444"/>
      <c r="BX79" s="444"/>
      <c r="BY79" s="444"/>
      <c r="BZ79" s="444"/>
      <c r="CA79" s="444"/>
      <c r="CB79" s="444"/>
      <c r="CC79" s="444"/>
      <c r="CD79" s="444"/>
      <c r="CE79" s="444"/>
      <c r="CF79" s="448"/>
      <c r="CG79" s="444"/>
      <c r="CH79" s="444"/>
      <c r="CI79" s="445" t="s">
        <v>202</v>
      </c>
      <c r="CJ79" s="445"/>
      <c r="CK79" s="446"/>
      <c r="CL79" s="446"/>
    </row>
    <row r="80" spans="1:120" ht="32" customHeight="1" x14ac:dyDescent="0.2">
      <c r="A80" s="395" t="s">
        <v>203</v>
      </c>
      <c r="B80" s="395"/>
      <c r="C80" s="26">
        <v>279397069.01368821</v>
      </c>
      <c r="D80" s="26">
        <v>30309894.165905882</v>
      </c>
      <c r="E80" s="26">
        <v>227612224.75372583</v>
      </c>
      <c r="F80" s="26">
        <v>41229598.539917588</v>
      </c>
      <c r="G80" s="443">
        <v>65883381.787742779</v>
      </c>
      <c r="H80" s="26">
        <v>10075406.967820127</v>
      </c>
      <c r="I80" s="26">
        <v>3940985.3921404658</v>
      </c>
      <c r="J80" s="26">
        <v>3301990.2447172301</v>
      </c>
      <c r="K80" s="26">
        <v>18798270.06730466</v>
      </c>
      <c r="L80" s="26">
        <v>3598636.6193841263</v>
      </c>
      <c r="M80" s="26">
        <v>5704471.2461780747</v>
      </c>
      <c r="N80" s="26">
        <v>4380534.3221875373</v>
      </c>
      <c r="O80" s="26">
        <v>28478729.492518965</v>
      </c>
      <c r="P80" s="65">
        <v>229061051.37993383</v>
      </c>
      <c r="Q80" s="26">
        <v>28803262.933058307</v>
      </c>
      <c r="R80" s="26">
        <v>8522409.3040408939</v>
      </c>
      <c r="S80" s="26">
        <v>5111468.1126113012</v>
      </c>
      <c r="T80" s="26">
        <v>20977697.547871601</v>
      </c>
      <c r="U80" s="26">
        <v>79610837.486170843</v>
      </c>
      <c r="V80" s="26">
        <v>14951505.180270763</v>
      </c>
      <c r="W80" s="26">
        <v>1266963.7449166779</v>
      </c>
      <c r="X80" s="26">
        <v>6283124.1578484252</v>
      </c>
      <c r="Y80" s="26">
        <v>1960538.8619625703</v>
      </c>
      <c r="Z80" s="26">
        <v>4850226.0681080054</v>
      </c>
      <c r="AA80" s="26">
        <v>118187.81977633754</v>
      </c>
      <c r="AB80" s="26">
        <v>11059655.280343028</v>
      </c>
      <c r="AC80" s="26">
        <v>21738626.000714105</v>
      </c>
      <c r="AD80" s="26">
        <v>26295878.214908574</v>
      </c>
      <c r="AE80" s="26">
        <v>18024635.269653842</v>
      </c>
      <c r="AF80" s="26">
        <v>4387421.1120875692</v>
      </c>
      <c r="AG80" s="26">
        <v>160205350.33016858</v>
      </c>
      <c r="AH80" s="26">
        <v>454890507.98352218</v>
      </c>
      <c r="AI80" s="26">
        <v>98267997.345838696</v>
      </c>
      <c r="AJ80" s="26">
        <v>71412111.932709843</v>
      </c>
      <c r="AK80" s="26">
        <v>56082669.918157168</v>
      </c>
      <c r="AL80" s="26">
        <v>267027.58832971402</v>
      </c>
      <c r="AM80" s="26">
        <v>3391493.4643824976</v>
      </c>
      <c r="AN80" s="26">
        <v>463602.72316595167</v>
      </c>
      <c r="AO80" s="26">
        <v>48212045.703875042</v>
      </c>
      <c r="AP80" s="26">
        <v>76917330.60534066</v>
      </c>
      <c r="AQ80" s="26">
        <v>8783958.9667542949</v>
      </c>
      <c r="AR80" s="26">
        <v>685622.90952445474</v>
      </c>
      <c r="AS80" s="26">
        <v>228408252.34738997</v>
      </c>
      <c r="AT80" s="26">
        <v>6455414.4122182801</v>
      </c>
      <c r="AU80" s="26">
        <v>4859777.7785772579</v>
      </c>
      <c r="AV80" s="26">
        <v>9567898.299058957</v>
      </c>
      <c r="AW80" s="26">
        <v>6944522.0880682375</v>
      </c>
      <c r="AX80" s="26">
        <v>9085556.564924961</v>
      </c>
      <c r="AY80" s="26">
        <v>5509375.548060514</v>
      </c>
      <c r="AZ80" s="26">
        <v>95880.781173346011</v>
      </c>
      <c r="BA80" s="26">
        <v>2695818.3297113688</v>
      </c>
      <c r="BB80" s="26">
        <v>1772364.0427633747</v>
      </c>
      <c r="BC80" s="26">
        <v>22555571.853832625</v>
      </c>
      <c r="BD80" s="26">
        <v>2593291.4580191583</v>
      </c>
      <c r="BE80" s="26">
        <v>1830823.2116557492</v>
      </c>
      <c r="BF80" s="26">
        <v>9855774.4428773616</v>
      </c>
      <c r="BG80" s="26">
        <v>16396193.84011364</v>
      </c>
      <c r="BH80" s="26">
        <v>30195866.816083401</v>
      </c>
      <c r="BI80" s="26">
        <v>43941992.44934801</v>
      </c>
      <c r="BJ80" s="26">
        <v>149003.14959458422</v>
      </c>
      <c r="BK80" s="26">
        <v>453.86750806878041</v>
      </c>
      <c r="BL80" s="26">
        <v>194205.41902178407</v>
      </c>
      <c r="BM80" s="26">
        <v>14590578.370147817</v>
      </c>
      <c r="BN80" s="26">
        <v>721891.93876424478</v>
      </c>
      <c r="BO80" s="26">
        <v>19795706.922497083</v>
      </c>
      <c r="BP80" s="26">
        <v>17822627.980663087</v>
      </c>
      <c r="BQ80" s="26">
        <v>744667.56417216721</v>
      </c>
      <c r="BR80" s="25">
        <v>2642097910.0355225</v>
      </c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396" t="s">
        <v>204</v>
      </c>
      <c r="CJ80" s="396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</row>
    <row r="81" spans="1:151" ht="32" customHeight="1" x14ac:dyDescent="0.2">
      <c r="A81" s="395" t="s">
        <v>205</v>
      </c>
      <c r="B81" s="395"/>
      <c r="C81" s="26">
        <v>12779926.42891025</v>
      </c>
      <c r="D81" s="26">
        <v>172444.936513383</v>
      </c>
      <c r="E81" s="26">
        <v>8459663</v>
      </c>
      <c r="F81" s="26">
        <v>3991866.8809587173</v>
      </c>
      <c r="G81" s="443">
        <v>5431583.8247003183</v>
      </c>
      <c r="H81" s="26">
        <v>1396207.8114251939</v>
      </c>
      <c r="I81" s="26">
        <v>513757.73106340953</v>
      </c>
      <c r="J81" s="26">
        <v>1633937.2325586593</v>
      </c>
      <c r="K81" s="26">
        <v>3295892.8382571405</v>
      </c>
      <c r="L81" s="26">
        <v>542493.29455927282</v>
      </c>
      <c r="M81" s="26">
        <v>144670.15257911311</v>
      </c>
      <c r="N81" s="26">
        <v>772785.78199424956</v>
      </c>
      <c r="O81" s="26">
        <v>924641.15063075884</v>
      </c>
      <c r="P81" s="65">
        <v>929675.00343590882</v>
      </c>
      <c r="Q81" s="26">
        <v>2324398.6156215705</v>
      </c>
      <c r="R81" s="26">
        <v>87370.933283279228</v>
      </c>
      <c r="S81" s="26">
        <v>471610.2339626826</v>
      </c>
      <c r="T81" s="26">
        <v>3905659.8013029448</v>
      </c>
      <c r="U81" s="26">
        <v>4645566.379539093</v>
      </c>
      <c r="V81" s="26">
        <v>1077676.0049838999</v>
      </c>
      <c r="W81" s="26">
        <v>688116.19314945478</v>
      </c>
      <c r="X81" s="26">
        <v>781895.48927214369</v>
      </c>
      <c r="Y81" s="26">
        <v>168481.69081827105</v>
      </c>
      <c r="Z81" s="26">
        <v>359175.69428501191</v>
      </c>
      <c r="AA81" s="26">
        <v>76151.184651252435</v>
      </c>
      <c r="AB81" s="26">
        <v>2445726.22280169</v>
      </c>
      <c r="AC81" s="26">
        <v>678726.39632676705</v>
      </c>
      <c r="AD81" s="26">
        <v>7708133.087921978</v>
      </c>
      <c r="AE81" s="26">
        <v>8571069.9499999993</v>
      </c>
      <c r="AF81" s="26">
        <v>455004.50835045124</v>
      </c>
      <c r="AG81" s="26">
        <v>13456547.719264884</v>
      </c>
      <c r="AH81" s="26">
        <v>10228853.271179935</v>
      </c>
      <c r="AI81" s="26">
        <v>22851976.823807653</v>
      </c>
      <c r="AJ81" s="26">
        <v>0</v>
      </c>
      <c r="AK81" s="26">
        <v>1567164.3664817042</v>
      </c>
      <c r="AL81" s="26">
        <v>233479.34918177733</v>
      </c>
      <c r="AM81" s="26">
        <v>251011.76608088726</v>
      </c>
      <c r="AN81" s="26">
        <v>582594.03282672958</v>
      </c>
      <c r="AO81" s="26">
        <v>16614276.979960566</v>
      </c>
      <c r="AP81" s="26">
        <v>3096431</v>
      </c>
      <c r="AQ81" s="26">
        <v>121231</v>
      </c>
      <c r="AR81" s="26">
        <v>51216</v>
      </c>
      <c r="AS81" s="26">
        <v>11581218.274111675</v>
      </c>
      <c r="AT81" s="26">
        <v>142893.70325643837</v>
      </c>
      <c r="AU81" s="26">
        <v>286674.14470981091</v>
      </c>
      <c r="AV81" s="26">
        <v>349673.52906099265</v>
      </c>
      <c r="AW81" s="26">
        <v>2258.5584482979561</v>
      </c>
      <c r="AX81" s="26">
        <v>141230.01836566746</v>
      </c>
      <c r="AY81" s="26">
        <v>68772.132712992039</v>
      </c>
      <c r="AZ81" s="26">
        <v>2958.5233604429245</v>
      </c>
      <c r="BA81" s="26">
        <v>290550.58274168475</v>
      </c>
      <c r="BB81" s="26">
        <v>10747.294278580917</v>
      </c>
      <c r="BC81" s="26">
        <v>1294113.8426749236</v>
      </c>
      <c r="BD81" s="26">
        <v>8492.6144520527851</v>
      </c>
      <c r="BE81" s="26">
        <v>43358.709915835083</v>
      </c>
      <c r="BF81" s="26">
        <v>131582.72876506837</v>
      </c>
      <c r="BG81" s="26">
        <v>16210662</v>
      </c>
      <c r="BH81" s="26">
        <v>4983897</v>
      </c>
      <c r="BI81" s="26">
        <v>8319279.6096276399</v>
      </c>
      <c r="BJ81" s="26">
        <v>9771.9620851980781</v>
      </c>
      <c r="BK81" s="26">
        <v>590.58233496840387</v>
      </c>
      <c r="BL81" s="26">
        <v>3079.4969999999998</v>
      </c>
      <c r="BM81" s="26">
        <v>1696737</v>
      </c>
      <c r="BN81" s="26">
        <v>402938.13352585497</v>
      </c>
      <c r="BO81" s="26">
        <v>65976.433939319482</v>
      </c>
      <c r="BP81" s="26">
        <v>164724.58205911782</v>
      </c>
      <c r="BQ81" s="26">
        <v>0</v>
      </c>
      <c r="BR81" s="25">
        <v>190701272.22006756</v>
      </c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396" t="s">
        <v>206</v>
      </c>
      <c r="CJ81" s="396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</row>
    <row r="82" spans="1:151" ht="32" customHeight="1" x14ac:dyDescent="0.2">
      <c r="A82" s="395" t="s">
        <v>207</v>
      </c>
      <c r="B82" s="395"/>
      <c r="C82" s="26">
        <v>266617142.58477795</v>
      </c>
      <c r="D82" s="26">
        <v>30137449.229392499</v>
      </c>
      <c r="E82" s="26">
        <v>219152561.75372583</v>
      </c>
      <c r="F82" s="26">
        <v>37237731.658958867</v>
      </c>
      <c r="G82" s="443">
        <v>60451797.96304246</v>
      </c>
      <c r="H82" s="26">
        <v>8679199.1563949324</v>
      </c>
      <c r="I82" s="26">
        <v>3427227.6610770561</v>
      </c>
      <c r="J82" s="26">
        <v>1668053.0121585708</v>
      </c>
      <c r="K82" s="26">
        <v>15502377.229047518</v>
      </c>
      <c r="L82" s="26">
        <v>3056143.3248248533</v>
      </c>
      <c r="M82" s="26">
        <v>5559801.0935989618</v>
      </c>
      <c r="N82" s="26">
        <v>3607748.5401932877</v>
      </c>
      <c r="O82" s="26">
        <v>27554088.341888208</v>
      </c>
      <c r="P82" s="65">
        <v>228131376.37649792</v>
      </c>
      <c r="Q82" s="26">
        <v>26478864.317436736</v>
      </c>
      <c r="R82" s="26">
        <v>8435038.3707576152</v>
      </c>
      <c r="S82" s="26">
        <v>4639857.8786486182</v>
      </c>
      <c r="T82" s="26">
        <v>17072037.746568657</v>
      </c>
      <c r="U82" s="26">
        <v>74965271.106631756</v>
      </c>
      <c r="V82" s="26">
        <v>13873829.175286863</v>
      </c>
      <c r="W82" s="26">
        <v>578847.55176722317</v>
      </c>
      <c r="X82" s="26">
        <v>5501228.6685762815</v>
      </c>
      <c r="Y82" s="26">
        <v>1792057.1711442992</v>
      </c>
      <c r="Z82" s="26">
        <v>4491050.3738229936</v>
      </c>
      <c r="AA82" s="26">
        <v>42036.6351250851</v>
      </c>
      <c r="AB82" s="26">
        <v>8613929.0575413369</v>
      </c>
      <c r="AC82" s="26">
        <v>21059899.604387339</v>
      </c>
      <c r="AD82" s="26">
        <v>18587745.126986597</v>
      </c>
      <c r="AE82" s="26">
        <v>9453565.3196538426</v>
      </c>
      <c r="AF82" s="26">
        <v>3932416.6037371177</v>
      </c>
      <c r="AG82" s="26">
        <v>146748802.61090368</v>
      </c>
      <c r="AH82" s="26">
        <v>444661654.71234226</v>
      </c>
      <c r="AI82" s="26">
        <v>75416020.522031039</v>
      </c>
      <c r="AJ82" s="26">
        <v>71412111.932709843</v>
      </c>
      <c r="AK82" s="26">
        <v>54515505.551675461</v>
      </c>
      <c r="AL82" s="26">
        <v>33548.239147936692</v>
      </c>
      <c r="AM82" s="26">
        <v>3140481.6983016105</v>
      </c>
      <c r="AN82" s="26">
        <v>-118991.30966077792</v>
      </c>
      <c r="AO82" s="26">
        <v>31597768.723914474</v>
      </c>
      <c r="AP82" s="26">
        <v>73820899.60534066</v>
      </c>
      <c r="AQ82" s="26">
        <v>8662727.9667542949</v>
      </c>
      <c r="AR82" s="26">
        <v>634406.90952445474</v>
      </c>
      <c r="AS82" s="26">
        <v>216827034.07327828</v>
      </c>
      <c r="AT82" s="26">
        <v>6312520.7089618417</v>
      </c>
      <c r="AU82" s="26">
        <v>4573103.6338674473</v>
      </c>
      <c r="AV82" s="26">
        <v>9218224.7699979637</v>
      </c>
      <c r="AW82" s="26">
        <v>6942263.5296199396</v>
      </c>
      <c r="AX82" s="26">
        <v>8944326.5465592928</v>
      </c>
      <c r="AY82" s="26">
        <v>5440603.4153475221</v>
      </c>
      <c r="AZ82" s="26">
        <v>92922.257812903088</v>
      </c>
      <c r="BA82" s="26">
        <v>2405267.746969684</v>
      </c>
      <c r="BB82" s="26">
        <v>1761616.7484847938</v>
      </c>
      <c r="BC82" s="26">
        <v>21261458.011157703</v>
      </c>
      <c r="BD82" s="26">
        <v>2584798.8435671055</v>
      </c>
      <c r="BE82" s="26">
        <v>1787464.5017399141</v>
      </c>
      <c r="BF82" s="26">
        <v>9724191.714112293</v>
      </c>
      <c r="BG82" s="26">
        <v>185531.84011363983</v>
      </c>
      <c r="BH82" s="26">
        <v>25211969.816083401</v>
      </c>
      <c r="BI82" s="26">
        <v>35622712.839720368</v>
      </c>
      <c r="BJ82" s="26">
        <v>139231.18750938613</v>
      </c>
      <c r="BK82" s="26">
        <v>-136.71482689962346</v>
      </c>
      <c r="BL82" s="26">
        <v>191125.92202178406</v>
      </c>
      <c r="BM82" s="26">
        <v>12893841.370147817</v>
      </c>
      <c r="BN82" s="26">
        <v>318953.80523838982</v>
      </c>
      <c r="BO82" s="26">
        <v>19729730.488557763</v>
      </c>
      <c r="BP82" s="26">
        <v>17657903.398603968</v>
      </c>
      <c r="BQ82" s="26">
        <v>744667.56417216721</v>
      </c>
      <c r="BR82" s="25">
        <v>2451396637.815455</v>
      </c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396" t="s">
        <v>208</v>
      </c>
      <c r="CJ82" s="396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</row>
    <row r="83" spans="1:151" s="49" customFormat="1" ht="32" customHeight="1" x14ac:dyDescent="0.2">
      <c r="A83" s="397" t="s">
        <v>209</v>
      </c>
      <c r="B83" s="397"/>
      <c r="C83" s="25">
        <v>583746855.77765846</v>
      </c>
      <c r="D83" s="25">
        <v>43810786</v>
      </c>
      <c r="E83" s="25">
        <v>249381905.94032285</v>
      </c>
      <c r="F83" s="25">
        <v>69213965.091159701</v>
      </c>
      <c r="G83" s="25">
        <v>289822096.87750566</v>
      </c>
      <c r="H83" s="25">
        <v>23635863.386621036</v>
      </c>
      <c r="I83" s="25">
        <v>13047286.623868857</v>
      </c>
      <c r="J83" s="25">
        <v>31938566.805867061</v>
      </c>
      <c r="K83" s="25">
        <v>29197069.045709047</v>
      </c>
      <c r="L83" s="25">
        <v>9592579.7576425411</v>
      </c>
      <c r="M83" s="25">
        <v>6368614.0454822564</v>
      </c>
      <c r="N83" s="25">
        <v>18852834.219850846</v>
      </c>
      <c r="O83" s="25">
        <v>31621050.657463022</v>
      </c>
      <c r="P83" s="65">
        <v>318153556.32204205</v>
      </c>
      <c r="Q83" s="25">
        <v>69016067.986331344</v>
      </c>
      <c r="R83" s="25">
        <v>33143328.40634219</v>
      </c>
      <c r="S83" s="25">
        <v>17665621.496386949</v>
      </c>
      <c r="T83" s="25">
        <v>64619533.315804981</v>
      </c>
      <c r="U83" s="25">
        <v>170558313.96822283</v>
      </c>
      <c r="V83" s="25">
        <v>29217509.748282332</v>
      </c>
      <c r="W83" s="25">
        <v>8152114.1793151163</v>
      </c>
      <c r="X83" s="25">
        <v>30609334.069986731</v>
      </c>
      <c r="Y83" s="25">
        <v>11189066.290664399</v>
      </c>
      <c r="Z83" s="25">
        <v>25221858.788342103</v>
      </c>
      <c r="AA83" s="25">
        <v>1305798.2524385888</v>
      </c>
      <c r="AB83" s="25">
        <v>20381051.856680751</v>
      </c>
      <c r="AC83" s="25">
        <v>25103587.127778117</v>
      </c>
      <c r="AD83" s="25">
        <v>29555641.635778919</v>
      </c>
      <c r="AE83" s="25">
        <v>116963512.07091515</v>
      </c>
      <c r="AF83" s="25">
        <v>19306661.004644055</v>
      </c>
      <c r="AG83" s="25">
        <v>307422771.15085</v>
      </c>
      <c r="AH83" s="25">
        <v>574900539.25802064</v>
      </c>
      <c r="AI83" s="25">
        <v>217642992.19231021</v>
      </c>
      <c r="AJ83" s="25">
        <v>81034746.573811993</v>
      </c>
      <c r="AK83" s="25">
        <v>101711012.06178313</v>
      </c>
      <c r="AL83" s="25">
        <v>2625404.3338297647</v>
      </c>
      <c r="AM83" s="25">
        <v>3951889.7639999995</v>
      </c>
      <c r="AN83" s="25">
        <v>3951889.7639999995</v>
      </c>
      <c r="AO83" s="25">
        <v>99166622.149013653</v>
      </c>
      <c r="AP83" s="25">
        <v>131480737.38797845</v>
      </c>
      <c r="AQ83" s="25">
        <v>16171768.999999978</v>
      </c>
      <c r="AR83" s="25">
        <v>2232640.7999999998</v>
      </c>
      <c r="AS83" s="25">
        <v>276756261.51814759</v>
      </c>
      <c r="AT83" s="25">
        <v>9659054.7556290478</v>
      </c>
      <c r="AU83" s="25">
        <v>6252245.3852760438</v>
      </c>
      <c r="AV83" s="25">
        <v>16687416.364026397</v>
      </c>
      <c r="AW83" s="25">
        <v>6994524.6550230458</v>
      </c>
      <c r="AX83" s="25">
        <v>12206061.085902307</v>
      </c>
      <c r="AY83" s="25">
        <v>10678731.707813241</v>
      </c>
      <c r="AZ83" s="25">
        <v>125011.24759787091</v>
      </c>
      <c r="BA83" s="25">
        <v>4743549.1089914721</v>
      </c>
      <c r="BB83" s="25">
        <v>2088830.0119468081</v>
      </c>
      <c r="BC83" s="25">
        <v>44846794.745869361</v>
      </c>
      <c r="BD83" s="25">
        <v>3470146.2989542354</v>
      </c>
      <c r="BE83" s="25">
        <v>2420145.2312196908</v>
      </c>
      <c r="BF83" s="25">
        <v>14324662.596521374</v>
      </c>
      <c r="BG83" s="25">
        <v>202921092.79723477</v>
      </c>
      <c r="BH83" s="25">
        <v>163021454.50661805</v>
      </c>
      <c r="BI83" s="25">
        <v>164305214.6810146</v>
      </c>
      <c r="BJ83" s="25">
        <v>225459.93221639199</v>
      </c>
      <c r="BK83" s="25">
        <v>7035.4688616792282</v>
      </c>
      <c r="BL83" s="25">
        <v>277030.31699999998</v>
      </c>
      <c r="BM83" s="25">
        <v>43827318</v>
      </c>
      <c r="BN83" s="25">
        <v>16032968.959085904</v>
      </c>
      <c r="BO83" s="25">
        <v>21494964.965368938</v>
      </c>
      <c r="BP83" s="25">
        <v>22463166.2414863</v>
      </c>
      <c r="BQ83" s="25">
        <v>1731103.8937081348</v>
      </c>
      <c r="BR83" s="25">
        <v>4980245289.6602192</v>
      </c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398" t="s">
        <v>210</v>
      </c>
      <c r="CJ83" s="398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</row>
    <row r="84" spans="1:151" s="49" customFormat="1" ht="32" customHeight="1" x14ac:dyDescent="0.2">
      <c r="A84" s="51"/>
      <c r="B84" s="51"/>
      <c r="C84" s="50"/>
      <c r="D84" s="52"/>
      <c r="E84" s="52"/>
      <c r="F84" s="52"/>
      <c r="G84" s="4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3"/>
      <c r="CJ84" s="53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</row>
    <row r="85" spans="1:151" s="459" customFormat="1" ht="35" customHeight="1" x14ac:dyDescent="0.2">
      <c r="A85" s="455"/>
      <c r="B85" s="456"/>
      <c r="C85" s="457">
        <v>6025.7094709881158</v>
      </c>
      <c r="D85" s="457">
        <v>452.23552901188441</v>
      </c>
      <c r="E85" s="457">
        <v>32.045129192154583</v>
      </c>
      <c r="F85" s="457">
        <v>8.8938708078454205</v>
      </c>
      <c r="G85" s="457">
        <v>642.68076467454159</v>
      </c>
      <c r="H85" s="457">
        <v>52.412548659037704</v>
      </c>
      <c r="I85" s="457">
        <v>28.932370011455699</v>
      </c>
      <c r="J85" s="457">
        <v>70.823801078490831</v>
      </c>
      <c r="K85" s="457">
        <v>64.744527290072426</v>
      </c>
      <c r="L85" s="457">
        <v>21.271554378577555</v>
      </c>
      <c r="M85" s="457">
        <v>14.122407465699473</v>
      </c>
      <c r="N85" s="457">
        <v>41.80617711084026</v>
      </c>
      <c r="O85" s="457">
        <v>70.119708729248529</v>
      </c>
      <c r="P85" s="457">
        <v>705.50580188299148</v>
      </c>
      <c r="Q85" s="457">
        <v>153.04319382877321</v>
      </c>
      <c r="R85" s="457">
        <v>73.495361028494074</v>
      </c>
      <c r="S85" s="457">
        <v>39.173531811646221</v>
      </c>
      <c r="T85" s="457">
        <v>143.29387417918741</v>
      </c>
      <c r="U85" s="457">
        <v>378.21321708615949</v>
      </c>
      <c r="V85" s="457">
        <v>64.789854566708016</v>
      </c>
      <c r="W85" s="457">
        <v>18.077320642293131</v>
      </c>
      <c r="X85" s="457">
        <v>67.876226271980968</v>
      </c>
      <c r="Y85" s="457">
        <v>24.811764724473814</v>
      </c>
      <c r="Z85" s="457">
        <v>55.929494911687335</v>
      </c>
      <c r="AA85" s="457">
        <v>2.8956088180626463</v>
      </c>
      <c r="AB85" s="457">
        <v>45.195001117044569</v>
      </c>
      <c r="AC85" s="457">
        <v>55.667227396306266</v>
      </c>
      <c r="AD85" s="457">
        <v>65.539662336227408</v>
      </c>
      <c r="AE85" s="457">
        <v>202.41300000000001</v>
      </c>
      <c r="AF85" s="457">
        <v>306.85000000000002</v>
      </c>
      <c r="AG85" s="457" t="s">
        <v>211</v>
      </c>
      <c r="AH85" s="457">
        <v>3003.9490000000001</v>
      </c>
      <c r="AI85" s="457">
        <v>1375.3810658445213</v>
      </c>
      <c r="AJ85" s="457">
        <v>512.09393415547845</v>
      </c>
      <c r="AK85" s="457">
        <v>667.84199999999998</v>
      </c>
      <c r="AL85" s="457">
        <v>4.5047629593476994</v>
      </c>
      <c r="AM85" s="457">
        <v>6.7807942566788082</v>
      </c>
      <c r="AN85" s="457">
        <v>6.7807942566788082</v>
      </c>
      <c r="AO85" s="457">
        <v>170.15364852729468</v>
      </c>
      <c r="AP85" s="457">
        <v>158.94429632618554</v>
      </c>
      <c r="AQ85" s="457">
        <v>19.54971119814876</v>
      </c>
      <c r="AR85" s="457">
        <v>2.6989924756657011</v>
      </c>
      <c r="AS85" s="457">
        <v>36.113999999999997</v>
      </c>
      <c r="AT85" s="457">
        <v>58.164584632027527</v>
      </c>
      <c r="AU85" s="457">
        <v>37.64956976148838</v>
      </c>
      <c r="AV85" s="457">
        <v>100.4877460529607</v>
      </c>
      <c r="AW85" s="457">
        <v>42.11940314561307</v>
      </c>
      <c r="AX85" s="457">
        <v>73.502065265849751</v>
      </c>
      <c r="AY85" s="457">
        <v>64.304842440182227</v>
      </c>
      <c r="AZ85" s="457">
        <v>0.75278870187833091</v>
      </c>
      <c r="BA85" s="457">
        <v>13.238222137740753</v>
      </c>
      <c r="BB85" s="457">
        <v>5.8294738961837602</v>
      </c>
      <c r="BC85" s="457">
        <v>125.15772839499675</v>
      </c>
      <c r="BD85" s="457">
        <v>9.6844296328539805</v>
      </c>
      <c r="BE85" s="457">
        <v>6.7541031915851573</v>
      </c>
      <c r="BF85" s="457">
        <v>39.977042746639583</v>
      </c>
      <c r="BG85" s="457">
        <v>1728.8610000000001</v>
      </c>
      <c r="BH85" s="457">
        <v>2282.7570000000001</v>
      </c>
      <c r="BI85" s="457">
        <v>779.59400000000005</v>
      </c>
      <c r="BJ85" s="457">
        <v>0.59398733770473988</v>
      </c>
      <c r="BK85" s="457">
        <v>1.8535352945296461E-2</v>
      </c>
      <c r="BL85" s="457">
        <v>0.72985252342041795</v>
      </c>
      <c r="BM85" s="457">
        <v>115.46562478592955</v>
      </c>
      <c r="BN85" s="457">
        <v>162.41107725174007</v>
      </c>
      <c r="BO85" s="457">
        <v>217.74010942219257</v>
      </c>
      <c r="BP85" s="457">
        <v>227.54781332606731</v>
      </c>
      <c r="BQ85" s="457">
        <v>330.29</v>
      </c>
      <c r="BR85" s="457">
        <f>SUM(C85:BQ85)</f>
        <v>22316.992000000013</v>
      </c>
      <c r="BS85" s="458"/>
      <c r="BT85" s="458"/>
      <c r="BU85" s="456"/>
      <c r="BV85" s="456"/>
      <c r="CF85" s="460"/>
      <c r="CG85" s="455"/>
      <c r="CH85" s="461"/>
      <c r="CI85" s="462" t="s">
        <v>212</v>
      </c>
      <c r="CJ85" s="46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</row>
    <row r="86" spans="1:151" s="463" customFormat="1" ht="14" customHeight="1" x14ac:dyDescent="0.2">
      <c r="G86" s="464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</row>
    <row r="87" spans="1:151" s="471" customFormat="1" ht="14" x14ac:dyDescent="0.2">
      <c r="A87" s="465"/>
      <c r="B87" s="466"/>
      <c r="C87" s="465"/>
      <c r="D87" s="467"/>
      <c r="E87" s="467"/>
      <c r="F87" s="467"/>
      <c r="G87" s="468"/>
      <c r="H87" s="467"/>
      <c r="I87" s="467"/>
      <c r="J87" s="467"/>
      <c r="K87" s="467"/>
      <c r="L87" s="467"/>
      <c r="M87" s="467"/>
      <c r="N87" s="467"/>
      <c r="O87" s="467"/>
      <c r="P87" s="52"/>
      <c r="Q87" s="467"/>
      <c r="R87" s="467"/>
      <c r="S87" s="467"/>
      <c r="T87" s="467"/>
      <c r="U87" s="467"/>
      <c r="V87" s="467"/>
      <c r="W87" s="467"/>
      <c r="X87" s="467"/>
      <c r="Y87" s="467"/>
      <c r="Z87" s="467"/>
      <c r="AA87" s="467"/>
      <c r="AB87" s="467"/>
      <c r="AC87" s="467"/>
      <c r="AD87" s="467"/>
      <c r="AE87" s="467"/>
      <c r="AF87" s="467"/>
      <c r="AG87" s="467"/>
      <c r="AH87" s="467"/>
      <c r="AI87" s="467"/>
      <c r="AJ87" s="467"/>
      <c r="AK87" s="467"/>
      <c r="AL87" s="467"/>
      <c r="AM87" s="467"/>
      <c r="AN87" s="467"/>
      <c r="AO87" s="467"/>
      <c r="AP87" s="467"/>
      <c r="AQ87" s="467"/>
      <c r="AR87" s="467"/>
      <c r="AS87" s="467"/>
      <c r="AT87" s="467"/>
      <c r="AU87" s="467"/>
      <c r="AV87" s="467"/>
      <c r="AW87" s="467"/>
      <c r="AX87" s="467"/>
      <c r="AY87" s="467"/>
      <c r="AZ87" s="467"/>
      <c r="BA87" s="467"/>
      <c r="BB87" s="467"/>
      <c r="BC87" s="467"/>
      <c r="BD87" s="467"/>
      <c r="BE87" s="467"/>
      <c r="BF87" s="467"/>
      <c r="BG87" s="467"/>
      <c r="BH87" s="467"/>
      <c r="BI87" s="469"/>
      <c r="BJ87" s="469"/>
      <c r="BK87" s="469"/>
      <c r="BL87" s="469"/>
      <c r="BM87" s="469"/>
      <c r="BN87" s="469"/>
      <c r="BO87" s="469"/>
      <c r="BP87" s="469"/>
      <c r="BQ87" s="469"/>
      <c r="BR87" s="470"/>
      <c r="BS87" s="463"/>
      <c r="BT87" s="463"/>
      <c r="BU87" s="466"/>
      <c r="BV87" s="466"/>
      <c r="CF87" s="472"/>
      <c r="CG87" s="473"/>
      <c r="CH87" s="474"/>
      <c r="CI87" s="475"/>
      <c r="CJ87" s="476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</row>
    <row r="88" spans="1:151" s="479" customFormat="1" ht="29" customHeight="1" x14ac:dyDescent="0.2">
      <c r="A88" s="455"/>
      <c r="B88" s="477"/>
      <c r="C88" s="456">
        <f>5.50009250812365%*C77</f>
        <v>4426263.030579255</v>
      </c>
      <c r="D88" s="456">
        <f t="shared" ref="D88:BQ88" si="0">5.50009250812365%*D77</f>
        <v>446934.31089926214</v>
      </c>
      <c r="E88" s="456">
        <f t="shared" si="0"/>
        <v>374826.00288049277</v>
      </c>
      <c r="F88" s="456">
        <f t="shared" si="0"/>
        <v>484242.64071958937</v>
      </c>
      <c r="G88" s="456">
        <f t="shared" si="0"/>
        <v>649632.46646140062</v>
      </c>
      <c r="H88" s="456">
        <f t="shared" si="0"/>
        <v>105313.10560167165</v>
      </c>
      <c r="I88" s="456">
        <f t="shared" si="0"/>
        <v>105494.92079128243</v>
      </c>
      <c r="J88" s="456">
        <f t="shared" si="0"/>
        <v>339530.95598403062</v>
      </c>
      <c r="K88" s="456">
        <f t="shared" si="0"/>
        <v>117746.41848567645</v>
      </c>
      <c r="L88" s="456">
        <f t="shared" si="0"/>
        <v>4099.329242402393</v>
      </c>
      <c r="M88" s="456">
        <f t="shared" si="0"/>
        <v>6920.9717927942393</v>
      </c>
      <c r="N88" s="456">
        <f t="shared" si="0"/>
        <v>86321.494927251319</v>
      </c>
      <c r="O88" s="456">
        <f t="shared" si="0"/>
        <v>64618.028397951181</v>
      </c>
      <c r="P88" s="456">
        <f t="shared" si="0"/>
        <v>599084.59858234972</v>
      </c>
      <c r="Q88" s="456">
        <f>5.50009250812365%*Q77</f>
        <v>310093.6121938579</v>
      </c>
      <c r="R88" s="456">
        <f t="shared" si="0"/>
        <v>261419.90256174022</v>
      </c>
      <c r="S88" s="456">
        <f t="shared" si="0"/>
        <v>82960.201106039778</v>
      </c>
      <c r="T88" s="456">
        <f t="shared" si="0"/>
        <v>315845.04919977835</v>
      </c>
      <c r="U88" s="456">
        <f t="shared" si="0"/>
        <v>366928.88233828312</v>
      </c>
      <c r="V88" s="456">
        <f t="shared" si="0"/>
        <v>94651.754646483547</v>
      </c>
      <c r="W88" s="456">
        <f t="shared" si="0"/>
        <v>51635.438462586819</v>
      </c>
      <c r="X88" s="456">
        <f t="shared" si="0"/>
        <v>175926.64461365881</v>
      </c>
      <c r="Y88" s="456">
        <f t="shared" si="0"/>
        <v>89361.853681887296</v>
      </c>
      <c r="Z88" s="456">
        <f>5.50009250812365%*Z77</f>
        <v>65505.807336432728</v>
      </c>
      <c r="AA88" s="456">
        <f t="shared" si="0"/>
        <v>23473.085688060943</v>
      </c>
      <c r="AB88" s="456">
        <f t="shared" si="0"/>
        <v>214841.82353314103</v>
      </c>
      <c r="AC88" s="456">
        <f t="shared" si="0"/>
        <v>141938.14122465873</v>
      </c>
      <c r="AD88" s="456">
        <f t="shared" si="0"/>
        <v>178769.93579985492</v>
      </c>
      <c r="AE88" s="456">
        <f t="shared" si="0"/>
        <v>2314561.8850382837</v>
      </c>
      <c r="AF88" s="456">
        <f t="shared" si="0"/>
        <v>513227.38216428814</v>
      </c>
      <c r="AG88" s="456">
        <f t="shared" si="0"/>
        <v>1957189.6474050111</v>
      </c>
      <c r="AH88" s="456">
        <f t="shared" si="0"/>
        <v>2852024.9738877136</v>
      </c>
      <c r="AI88" s="456">
        <f t="shared" si="0"/>
        <v>3248895.0036993329</v>
      </c>
      <c r="AJ88" s="456">
        <f t="shared" si="0"/>
        <v>345685.01222893753</v>
      </c>
      <c r="AK88" s="456">
        <f t="shared" si="0"/>
        <v>494998.64290651004</v>
      </c>
      <c r="AL88" s="456">
        <f>5.50009250812365%*AL77</f>
        <v>69393.382280075894</v>
      </c>
      <c r="AM88" s="456">
        <f t="shared" si="0"/>
        <v>10696.232666055068</v>
      </c>
      <c r="AN88" s="456">
        <f t="shared" si="0"/>
        <v>125687.04422764882</v>
      </c>
      <c r="AO88" s="456">
        <f t="shared" si="0"/>
        <v>823958.42877361306</v>
      </c>
      <c r="AP88" s="456">
        <f t="shared" si="0"/>
        <v>2149891.813666502</v>
      </c>
      <c r="AQ88" s="456">
        <f t="shared" si="0"/>
        <v>349507.55552305927</v>
      </c>
      <c r="AR88" s="456">
        <f t="shared" si="0"/>
        <v>40059.373773667794</v>
      </c>
      <c r="AS88" s="456">
        <f t="shared" si="0"/>
        <v>242772.59093410199</v>
      </c>
      <c r="AT88" s="456">
        <f t="shared" si="0"/>
        <v>91718.695945123778</v>
      </c>
      <c r="AU88" s="456">
        <f t="shared" si="0"/>
        <v>33463.72612990639</v>
      </c>
      <c r="AV88" s="456">
        <f t="shared" si="0"/>
        <v>118384.34981649889</v>
      </c>
      <c r="AW88" s="456">
        <f t="shared" si="0"/>
        <v>1536.0262240896545</v>
      </c>
      <c r="AX88" s="456">
        <f>5.50009250812365%*AX77</f>
        <v>72289.671619956716</v>
      </c>
      <c r="AY88" s="456">
        <f t="shared" si="0"/>
        <v>179424.46199021133</v>
      </c>
      <c r="AZ88" s="456">
        <f t="shared" si="0"/>
        <v>677.16640645763459</v>
      </c>
      <c r="BA88" s="456">
        <f t="shared" si="0"/>
        <v>42727.997829605483</v>
      </c>
      <c r="BB88" s="456">
        <f t="shared" si="0"/>
        <v>9963.771531181239</v>
      </c>
      <c r="BC88" s="456">
        <f t="shared" si="0"/>
        <v>122261.53175752271</v>
      </c>
      <c r="BD88" s="456">
        <f t="shared" si="0"/>
        <v>40372.754929625145</v>
      </c>
      <c r="BE88" s="456">
        <f t="shared" si="0"/>
        <v>20550.715417859734</v>
      </c>
      <c r="BF88" s="456">
        <f t="shared" si="0"/>
        <v>104364.85755945825</v>
      </c>
      <c r="BG88" s="456">
        <f t="shared" si="0"/>
        <v>7620357.7096611876</v>
      </c>
      <c r="BH88" s="456">
        <f>5.50009250812365%*BH77</f>
        <v>6632295.5710726166</v>
      </c>
      <c r="BI88" s="456">
        <f t="shared" si="0"/>
        <v>4022513.996175163</v>
      </c>
      <c r="BJ88" s="456">
        <f t="shared" si="0"/>
        <v>1114.2739349235765</v>
      </c>
      <c r="BK88" s="456">
        <f t="shared" si="0"/>
        <v>247.52277613864175</v>
      </c>
      <c r="BL88" s="456">
        <f t="shared" si="0"/>
        <v>1320.4239837073944</v>
      </c>
      <c r="BM88" s="456">
        <f t="shared" si="0"/>
        <v>1274890.0378548407</v>
      </c>
      <c r="BN88" s="456">
        <f t="shared" si="0"/>
        <v>342837.12798174826</v>
      </c>
      <c r="BO88" s="456">
        <f t="shared" si="0"/>
        <v>21405.854672263777</v>
      </c>
      <c r="BP88" s="456">
        <f>5.50009250812365%*BP77</f>
        <v>135693.95304484564</v>
      </c>
      <c r="BQ88" s="456">
        <f t="shared" si="0"/>
        <v>54254.910658217676</v>
      </c>
      <c r="BR88" s="456">
        <f>5.50009250812365%*BR77</f>
        <v>46667596.485879816</v>
      </c>
      <c r="BS88" s="478"/>
      <c r="BT88" s="478"/>
      <c r="BU88" s="477"/>
      <c r="BV88" s="477"/>
      <c r="CF88" s="480"/>
      <c r="CG88" s="481"/>
      <c r="CH88" s="461"/>
      <c r="CI88" s="482" t="s">
        <v>213</v>
      </c>
      <c r="CJ88" s="48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</row>
    <row r="89" spans="1:151" s="49" customFormat="1" x14ac:dyDescent="0.2">
      <c r="E89" s="2"/>
      <c r="F89" s="2"/>
      <c r="G89" s="44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</row>
    <row r="90" spans="1:151" s="49" customFormat="1" x14ac:dyDescent="0.2">
      <c r="E90" s="2"/>
      <c r="F90" s="2"/>
      <c r="G90" s="44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</row>
    <row r="91" spans="1:151" s="49" customFormat="1" x14ac:dyDescent="0.2">
      <c r="E91" s="2"/>
      <c r="F91" s="2"/>
      <c r="G91" s="446"/>
      <c r="H91" s="2"/>
      <c r="I91" s="2"/>
      <c r="J91" s="2"/>
      <c r="K91" s="2"/>
      <c r="L91" s="2"/>
      <c r="M91" s="2"/>
      <c r="N91" s="2"/>
      <c r="O91" s="2"/>
      <c r="P91" s="2"/>
      <c r="Q91" s="18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</row>
    <row r="92" spans="1:151" s="49" customFormat="1" x14ac:dyDescent="0.2">
      <c r="E92" s="2"/>
      <c r="F92" s="2"/>
      <c r="G92" s="446"/>
      <c r="H92" s="2"/>
      <c r="I92" s="2"/>
      <c r="J92" s="2"/>
      <c r="K92" s="2"/>
      <c r="L92" s="2"/>
      <c r="M92" s="2"/>
      <c r="N92" s="2"/>
      <c r="O92" s="2"/>
      <c r="P92" s="2"/>
      <c r="Q92" s="186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</row>
    <row r="93" spans="1:151" s="49" customFormat="1" x14ac:dyDescent="0.2">
      <c r="E93" s="2"/>
      <c r="F93" s="2"/>
      <c r="G93" s="446"/>
      <c r="H93" s="2"/>
      <c r="I93" s="2"/>
      <c r="J93" s="2"/>
      <c r="K93" s="2"/>
      <c r="L93" s="2"/>
      <c r="M93" s="2"/>
      <c r="N93" s="2"/>
      <c r="O93" s="2"/>
      <c r="P93" s="2"/>
      <c r="Q93" s="184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</row>
    <row r="94" spans="1:151" s="49" customFormat="1" x14ac:dyDescent="0.2">
      <c r="E94" s="2"/>
      <c r="F94" s="2"/>
      <c r="G94" s="446"/>
      <c r="H94" s="2"/>
      <c r="I94" s="2"/>
      <c r="J94" s="2"/>
      <c r="K94" s="2"/>
      <c r="L94" s="2"/>
      <c r="M94" s="2"/>
      <c r="N94" s="2"/>
      <c r="O94" s="2"/>
      <c r="P94" s="2"/>
      <c r="Q94" s="184"/>
      <c r="R94" s="18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</row>
    <row r="95" spans="1:151" s="49" customFormat="1" x14ac:dyDescent="0.2">
      <c r="E95" s="2"/>
      <c r="F95" s="2"/>
      <c r="G95" s="446"/>
      <c r="H95" s="2"/>
      <c r="I95" s="2"/>
      <c r="J95" s="2"/>
      <c r="K95" s="2"/>
      <c r="L95" s="2"/>
      <c r="M95" s="2"/>
      <c r="N95" s="2"/>
      <c r="O95" s="2"/>
      <c r="P95" s="2"/>
      <c r="Q95" s="185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</row>
    <row r="96" spans="1:151" s="49" customFormat="1" x14ac:dyDescent="0.2">
      <c r="E96" s="2"/>
      <c r="F96" s="2"/>
      <c r="G96" s="446"/>
      <c r="H96" s="2"/>
      <c r="I96" s="2"/>
      <c r="J96" s="2"/>
      <c r="K96" s="2"/>
      <c r="L96" s="2"/>
      <c r="M96" s="2"/>
      <c r="N96" s="2"/>
      <c r="O96" s="2"/>
      <c r="P96" s="2"/>
      <c r="Q96" s="190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</row>
    <row r="97" spans="5:151" s="49" customFormat="1" x14ac:dyDescent="0.2">
      <c r="E97" s="2"/>
      <c r="F97" s="2"/>
      <c r="G97" s="446"/>
      <c r="H97" s="2"/>
      <c r="I97" s="2"/>
      <c r="J97" s="2"/>
      <c r="K97" s="2"/>
      <c r="L97" s="2"/>
      <c r="M97" s="2"/>
      <c r="N97" s="2"/>
      <c r="O97" s="2"/>
      <c r="P97" s="2"/>
      <c r="Q97" s="187"/>
      <c r="R97" s="18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</row>
    <row r="98" spans="5:151" s="49" customFormat="1" x14ac:dyDescent="0.2">
      <c r="E98" s="2"/>
      <c r="F98" s="2"/>
      <c r="G98" s="44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</row>
    <row r="99" spans="5:151" s="49" customFormat="1" x14ac:dyDescent="0.2">
      <c r="E99" s="2"/>
      <c r="F99" s="2"/>
      <c r="G99" s="446"/>
      <c r="H99" s="2"/>
      <c r="I99" s="2"/>
      <c r="J99" s="2"/>
      <c r="K99" s="2"/>
      <c r="L99" s="2"/>
      <c r="M99" s="2"/>
      <c r="N99" s="2"/>
      <c r="O99" s="2"/>
      <c r="P99" s="2"/>
      <c r="Q99" s="2"/>
      <c r="R99" s="18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5:151" s="49" customFormat="1" x14ac:dyDescent="0.2">
      <c r="E100" s="2"/>
      <c r="F100" s="2"/>
      <c r="G100" s="44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5:151" s="49" customFormat="1" x14ac:dyDescent="0.2">
      <c r="E101" s="2"/>
      <c r="F101" s="2"/>
      <c r="G101" s="44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5:151" s="49" customFormat="1" x14ac:dyDescent="0.2">
      <c r="E102" s="2"/>
      <c r="F102" s="2"/>
      <c r="G102" s="44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5:151" s="49" customFormat="1" x14ac:dyDescent="0.2">
      <c r="E103" s="2"/>
      <c r="F103" s="2"/>
      <c r="G103" s="44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5:151" s="49" customFormat="1" x14ac:dyDescent="0.2">
      <c r="E104" s="2"/>
      <c r="F104" s="2"/>
      <c r="G104" s="44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5:151" s="49" customFormat="1" x14ac:dyDescent="0.2">
      <c r="E105" s="2"/>
      <c r="F105" s="2"/>
      <c r="G105" s="44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5:151" s="49" customFormat="1" x14ac:dyDescent="0.2">
      <c r="E106" s="2"/>
      <c r="F106" s="2"/>
      <c r="G106" s="44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5:151" s="49" customFormat="1" x14ac:dyDescent="0.2">
      <c r="E107" s="2"/>
      <c r="F107" s="2"/>
      <c r="G107" s="44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5:151" s="49" customFormat="1" x14ac:dyDescent="0.2">
      <c r="E108" s="2"/>
      <c r="F108" s="2"/>
      <c r="G108" s="44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5:151" s="49" customFormat="1" x14ac:dyDescent="0.2">
      <c r="E109" s="2"/>
      <c r="F109" s="2"/>
      <c r="G109" s="44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5:151" s="49" customFormat="1" x14ac:dyDescent="0.2">
      <c r="E110" s="2"/>
      <c r="F110" s="2"/>
      <c r="G110" s="44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5:151" s="49" customFormat="1" x14ac:dyDescent="0.2">
      <c r="E111" s="2"/>
      <c r="F111" s="2"/>
      <c r="G111" s="44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5:151" s="49" customFormat="1" x14ac:dyDescent="0.2">
      <c r="E112" s="2"/>
      <c r="F112" s="2"/>
      <c r="G112" s="44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5:88" s="49" customFormat="1" x14ac:dyDescent="0.2">
      <c r="E113" s="2"/>
      <c r="F113" s="2"/>
      <c r="G113" s="44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5:88" s="49" customFormat="1" x14ac:dyDescent="0.2">
      <c r="E114" s="2"/>
      <c r="F114" s="2"/>
      <c r="G114" s="44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5:88" s="49" customFormat="1" x14ac:dyDescent="0.2">
      <c r="E115" s="2"/>
      <c r="F115" s="2"/>
      <c r="G115" s="44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5:88" s="49" customFormat="1" x14ac:dyDescent="0.2">
      <c r="E116" s="2"/>
      <c r="F116" s="2"/>
      <c r="G116" s="44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5:88" s="49" customFormat="1" x14ac:dyDescent="0.2">
      <c r="E117" s="2"/>
      <c r="F117" s="2"/>
      <c r="G117" s="44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5:88" x14ac:dyDescent="0.2">
      <c r="E118" s="2"/>
      <c r="F118" s="2"/>
      <c r="G118" s="44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</row>
    <row r="119" spans="5:88" x14ac:dyDescent="0.2">
      <c r="E119" s="2"/>
      <c r="F119" s="2"/>
      <c r="G119" s="44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</row>
    <row r="120" spans="5:88" x14ac:dyDescent="0.2">
      <c r="E120" s="2"/>
      <c r="F120" s="2"/>
      <c r="G120" s="44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</row>
    <row r="121" spans="5:88" x14ac:dyDescent="0.2">
      <c r="E121" s="2"/>
      <c r="F121" s="2"/>
      <c r="G121" s="44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</row>
    <row r="122" spans="5:88" x14ac:dyDescent="0.2">
      <c r="E122" s="2"/>
      <c r="F122" s="2"/>
      <c r="G122" s="44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</row>
    <row r="123" spans="5:88" x14ac:dyDescent="0.2">
      <c r="E123" s="2"/>
      <c r="F123" s="2"/>
      <c r="G123" s="44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</row>
    <row r="124" spans="5:88" x14ac:dyDescent="0.2">
      <c r="E124" s="2"/>
      <c r="F124" s="2"/>
      <c r="G124" s="44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</row>
    <row r="125" spans="5:88" x14ac:dyDescent="0.2">
      <c r="E125" s="2"/>
      <c r="F125" s="2"/>
      <c r="G125" s="44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</row>
    <row r="126" spans="5:88" x14ac:dyDescent="0.2">
      <c r="E126" s="2"/>
      <c r="F126" s="2"/>
      <c r="G126" s="44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</row>
    <row r="127" spans="5:88" x14ac:dyDescent="0.2">
      <c r="E127" s="2"/>
      <c r="F127" s="2"/>
      <c r="G127" s="44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</row>
    <row r="128" spans="5:88" x14ac:dyDescent="0.2">
      <c r="E128" s="2"/>
      <c r="F128" s="2"/>
      <c r="G128" s="44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</row>
    <row r="129" spans="5:87" x14ac:dyDescent="0.2">
      <c r="E129" s="2"/>
      <c r="F129" s="2"/>
      <c r="G129" s="44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</row>
    <row r="130" spans="5:87" x14ac:dyDescent="0.2">
      <c r="E130" s="2"/>
      <c r="F130" s="2"/>
      <c r="G130" s="44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</row>
    <row r="131" spans="5:87" x14ac:dyDescent="0.2">
      <c r="E131" s="2"/>
      <c r="F131" s="2"/>
      <c r="G131" s="44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</row>
    <row r="132" spans="5:87" x14ac:dyDescent="0.2">
      <c r="E132" s="2"/>
      <c r="F132" s="2"/>
      <c r="G132" s="44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</row>
    <row r="133" spans="5:87" x14ac:dyDescent="0.2">
      <c r="E133" s="2"/>
      <c r="F133" s="2"/>
      <c r="G133" s="44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</row>
    <row r="134" spans="5:87" x14ac:dyDescent="0.2">
      <c r="E134" s="2"/>
      <c r="F134" s="2"/>
      <c r="G134" s="44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</row>
    <row r="135" spans="5:87" x14ac:dyDescent="0.2">
      <c r="E135" s="2"/>
      <c r="F135" s="2"/>
      <c r="G135" s="44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</row>
    <row r="136" spans="5:87" x14ac:dyDescent="0.2">
      <c r="E136" s="2"/>
      <c r="F136" s="2"/>
      <c r="G136" s="44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</row>
    <row r="137" spans="5:87" x14ac:dyDescent="0.2">
      <c r="E137" s="2"/>
      <c r="F137" s="2"/>
      <c r="G137" s="44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</row>
    <row r="138" spans="5:87" x14ac:dyDescent="0.2">
      <c r="E138" s="2"/>
      <c r="F138" s="2"/>
      <c r="G138" s="44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</row>
    <row r="139" spans="5:87" x14ac:dyDescent="0.2">
      <c r="E139" s="2"/>
      <c r="F139" s="2"/>
      <c r="G139" s="44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</row>
    <row r="140" spans="5:87" x14ac:dyDescent="0.2">
      <c r="E140" s="2"/>
      <c r="F140" s="2"/>
      <c r="G140" s="44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</row>
    <row r="141" spans="5:87" x14ac:dyDescent="0.2">
      <c r="E141" s="2"/>
      <c r="F141" s="2"/>
      <c r="G141" s="44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</row>
    <row r="142" spans="5:87" x14ac:dyDescent="0.2">
      <c r="E142" s="2"/>
      <c r="F142" s="2"/>
      <c r="G142" s="44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</row>
    <row r="143" spans="5:87" x14ac:dyDescent="0.2">
      <c r="E143" s="2"/>
      <c r="F143" s="2"/>
      <c r="G143" s="44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</row>
    <row r="144" spans="5:87" x14ac:dyDescent="0.2">
      <c r="E144" s="2"/>
      <c r="F144" s="2"/>
      <c r="G144" s="44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</row>
    <row r="145" spans="5:87" x14ac:dyDescent="0.2">
      <c r="E145" s="2"/>
      <c r="F145" s="2"/>
      <c r="G145" s="44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</row>
    <row r="146" spans="5:87" x14ac:dyDescent="0.2">
      <c r="E146" s="2"/>
      <c r="F146" s="2"/>
      <c r="G146" s="44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</row>
    <row r="147" spans="5:87" x14ac:dyDescent="0.2">
      <c r="E147" s="2"/>
      <c r="F147" s="2"/>
      <c r="G147" s="44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</row>
    <row r="148" spans="5:87" x14ac:dyDescent="0.2">
      <c r="E148" s="2"/>
      <c r="F148" s="2"/>
      <c r="G148" s="44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</row>
    <row r="149" spans="5:87" x14ac:dyDescent="0.2">
      <c r="E149" s="2"/>
      <c r="F149" s="2"/>
      <c r="G149" s="44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</row>
    <row r="150" spans="5:87" x14ac:dyDescent="0.2">
      <c r="E150" s="2"/>
      <c r="F150" s="2"/>
      <c r="G150" s="44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</row>
    <row r="151" spans="5:87" x14ac:dyDescent="0.2">
      <c r="E151" s="2"/>
      <c r="F151" s="2"/>
      <c r="G151" s="44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</row>
    <row r="152" spans="5:87" x14ac:dyDescent="0.2">
      <c r="E152" s="2"/>
      <c r="F152" s="2"/>
      <c r="G152" s="44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</row>
    <row r="153" spans="5:87" x14ac:dyDescent="0.2">
      <c r="E153" s="2"/>
      <c r="F153" s="2"/>
      <c r="G153" s="44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</row>
    <row r="154" spans="5:87" x14ac:dyDescent="0.2">
      <c r="E154" s="2"/>
      <c r="F154" s="2"/>
      <c r="G154" s="44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</row>
    <row r="155" spans="5:87" x14ac:dyDescent="0.2">
      <c r="E155" s="2"/>
      <c r="F155" s="2"/>
      <c r="G155" s="44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</row>
    <row r="156" spans="5:87" x14ac:dyDescent="0.2">
      <c r="E156" s="2"/>
      <c r="F156" s="2"/>
      <c r="G156" s="44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</row>
    <row r="157" spans="5:87" x14ac:dyDescent="0.2">
      <c r="E157" s="2"/>
      <c r="F157" s="2"/>
      <c r="G157" s="44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</row>
    <row r="158" spans="5:87" x14ac:dyDescent="0.2">
      <c r="E158" s="2"/>
      <c r="F158" s="2"/>
      <c r="G158" s="44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</row>
    <row r="159" spans="5:87" x14ac:dyDescent="0.2">
      <c r="E159" s="2"/>
      <c r="F159" s="2"/>
      <c r="G159" s="44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</row>
    <row r="160" spans="5:87" x14ac:dyDescent="0.2">
      <c r="E160" s="2"/>
      <c r="F160" s="2"/>
      <c r="G160" s="44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</row>
    <row r="161" spans="5:87" x14ac:dyDescent="0.2">
      <c r="E161" s="2"/>
      <c r="F161" s="2"/>
      <c r="G161" s="44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</row>
    <row r="162" spans="5:87" x14ac:dyDescent="0.2">
      <c r="E162" s="2"/>
      <c r="F162" s="2"/>
      <c r="G162" s="44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</row>
    <row r="163" spans="5:87" x14ac:dyDescent="0.2">
      <c r="E163" s="2"/>
      <c r="F163" s="2"/>
      <c r="G163" s="44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</row>
    <row r="164" spans="5:87" x14ac:dyDescent="0.2">
      <c r="E164" s="2"/>
      <c r="F164" s="2"/>
      <c r="G164" s="44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</row>
    <row r="165" spans="5:87" x14ac:dyDescent="0.2">
      <c r="E165" s="2"/>
      <c r="F165" s="2"/>
      <c r="G165" s="44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</row>
    <row r="166" spans="5:87" x14ac:dyDescent="0.2">
      <c r="E166" s="2"/>
      <c r="F166" s="2"/>
      <c r="G166" s="44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</row>
    <row r="167" spans="5:87" x14ac:dyDescent="0.2">
      <c r="E167" s="2"/>
      <c r="F167" s="2"/>
      <c r="G167" s="44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</row>
    <row r="168" spans="5:87" x14ac:dyDescent="0.2">
      <c r="E168" s="2"/>
      <c r="F168" s="2"/>
      <c r="G168" s="44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</row>
    <row r="169" spans="5:87" x14ac:dyDescent="0.2">
      <c r="E169" s="2"/>
      <c r="F169" s="2"/>
      <c r="G169" s="44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</row>
    <row r="170" spans="5:87" x14ac:dyDescent="0.2">
      <c r="E170" s="2"/>
      <c r="F170" s="2"/>
      <c r="G170" s="44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</row>
    <row r="171" spans="5:87" x14ac:dyDescent="0.2">
      <c r="E171" s="2"/>
      <c r="F171" s="2"/>
      <c r="G171" s="44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</row>
    <row r="172" spans="5:87" x14ac:dyDescent="0.2">
      <c r="E172" s="2"/>
      <c r="F172" s="2"/>
      <c r="G172" s="44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</row>
    <row r="173" spans="5:87" x14ac:dyDescent="0.2">
      <c r="E173" s="2"/>
      <c r="F173" s="2"/>
      <c r="G173" s="44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</row>
    <row r="174" spans="5:87" x14ac:dyDescent="0.2">
      <c r="E174" s="2"/>
      <c r="F174" s="2"/>
      <c r="G174" s="44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</row>
    <row r="175" spans="5:87" x14ac:dyDescent="0.2">
      <c r="E175" s="2"/>
      <c r="F175" s="2"/>
      <c r="G175" s="44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</row>
    <row r="176" spans="5:87" x14ac:dyDescent="0.2">
      <c r="E176" s="2"/>
      <c r="F176" s="2"/>
      <c r="G176" s="44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</row>
    <row r="177" spans="5:87" x14ac:dyDescent="0.2">
      <c r="E177" s="2"/>
      <c r="F177" s="2"/>
      <c r="G177" s="44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</row>
    <row r="178" spans="5:87" x14ac:dyDescent="0.2">
      <c r="E178" s="2"/>
      <c r="F178" s="2"/>
      <c r="G178" s="44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</row>
    <row r="179" spans="5:87" x14ac:dyDescent="0.2">
      <c r="E179" s="2"/>
      <c r="F179" s="2"/>
      <c r="G179" s="44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</row>
    <row r="180" spans="5:87" x14ac:dyDescent="0.2">
      <c r="E180" s="2"/>
      <c r="F180" s="2"/>
      <c r="G180" s="44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</row>
    <row r="181" spans="5:87" x14ac:dyDescent="0.2">
      <c r="E181" s="2"/>
      <c r="F181" s="2"/>
      <c r="G181" s="44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</row>
    <row r="182" spans="5:87" x14ac:dyDescent="0.2">
      <c r="E182" s="2"/>
      <c r="F182" s="2"/>
      <c r="G182" s="44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</row>
    <row r="183" spans="5:87" x14ac:dyDescent="0.2">
      <c r="E183" s="2"/>
      <c r="F183" s="2"/>
      <c r="G183" s="44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</row>
    <row r="184" spans="5:87" x14ac:dyDescent="0.2">
      <c r="E184" s="2"/>
      <c r="F184" s="2"/>
      <c r="G184" s="44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</row>
    <row r="185" spans="5:87" x14ac:dyDescent="0.2">
      <c r="E185" s="2"/>
      <c r="F185" s="2"/>
      <c r="G185" s="44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</row>
    <row r="186" spans="5:87" x14ac:dyDescent="0.2">
      <c r="E186" s="2"/>
      <c r="F186" s="2"/>
      <c r="G186" s="44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</row>
    <row r="187" spans="5:87" x14ac:dyDescent="0.2">
      <c r="E187" s="2"/>
      <c r="F187" s="2"/>
      <c r="G187" s="44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</row>
    <row r="188" spans="5:87" x14ac:dyDescent="0.2">
      <c r="E188" s="2"/>
      <c r="F188" s="2"/>
      <c r="G188" s="44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</row>
    <row r="189" spans="5:87" x14ac:dyDescent="0.2">
      <c r="E189" s="2"/>
      <c r="F189" s="2"/>
      <c r="G189" s="44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</row>
    <row r="190" spans="5:87" x14ac:dyDescent="0.2">
      <c r="E190" s="2"/>
      <c r="F190" s="2"/>
      <c r="G190" s="44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</row>
    <row r="191" spans="5:87" x14ac:dyDescent="0.2">
      <c r="E191" s="2"/>
      <c r="F191" s="2"/>
      <c r="G191" s="44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</row>
    <row r="192" spans="5:87" x14ac:dyDescent="0.2">
      <c r="E192" s="2"/>
      <c r="F192" s="2"/>
      <c r="G192" s="44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</row>
    <row r="193" spans="5:87" x14ac:dyDescent="0.2">
      <c r="E193" s="2"/>
      <c r="F193" s="2"/>
      <c r="G193" s="44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</row>
    <row r="194" spans="5:87" x14ac:dyDescent="0.2">
      <c r="E194" s="2"/>
      <c r="F194" s="2"/>
      <c r="G194" s="44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</row>
    <row r="195" spans="5:87" x14ac:dyDescent="0.2">
      <c r="E195" s="2"/>
      <c r="F195" s="2"/>
      <c r="G195" s="44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</row>
    <row r="196" spans="5:87" x14ac:dyDescent="0.2">
      <c r="E196" s="2"/>
      <c r="F196" s="2"/>
      <c r="G196" s="44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</row>
    <row r="197" spans="5:87" x14ac:dyDescent="0.2">
      <c r="E197" s="2"/>
      <c r="F197" s="2"/>
      <c r="G197" s="44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</row>
    <row r="198" spans="5:87" x14ac:dyDescent="0.2">
      <c r="E198" s="2"/>
      <c r="F198" s="2"/>
      <c r="G198" s="44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</row>
    <row r="199" spans="5:87" x14ac:dyDescent="0.2">
      <c r="E199" s="2"/>
      <c r="F199" s="2"/>
      <c r="G199" s="44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</row>
    <row r="200" spans="5:87" x14ac:dyDescent="0.2">
      <c r="E200" s="2"/>
      <c r="F200" s="2"/>
      <c r="G200" s="44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</row>
    <row r="201" spans="5:87" x14ac:dyDescent="0.2">
      <c r="E201" s="2"/>
      <c r="F201" s="2"/>
      <c r="G201" s="44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</row>
    <row r="202" spans="5:87" x14ac:dyDescent="0.2">
      <c r="E202" s="2"/>
      <c r="F202" s="2"/>
      <c r="G202" s="44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</row>
    <row r="203" spans="5:87" x14ac:dyDescent="0.2">
      <c r="E203" s="2"/>
      <c r="F203" s="2"/>
      <c r="G203" s="44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</row>
    <row r="204" spans="5:87" x14ac:dyDescent="0.2">
      <c r="E204" s="2"/>
      <c r="F204" s="2"/>
      <c r="G204" s="44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</row>
    <row r="205" spans="5:87" x14ac:dyDescent="0.2">
      <c r="E205" s="2"/>
      <c r="F205" s="2"/>
      <c r="G205" s="44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</row>
    <row r="206" spans="5:87" x14ac:dyDescent="0.2">
      <c r="E206" s="2"/>
      <c r="F206" s="2"/>
      <c r="G206" s="44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</row>
    <row r="207" spans="5:87" x14ac:dyDescent="0.2">
      <c r="E207" s="2"/>
      <c r="F207" s="2"/>
      <c r="G207" s="44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</row>
    <row r="208" spans="5:87" x14ac:dyDescent="0.2">
      <c r="E208" s="2"/>
      <c r="F208" s="2"/>
      <c r="G208" s="44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</row>
    <row r="209" spans="5:87" x14ac:dyDescent="0.2">
      <c r="E209" s="2"/>
      <c r="F209" s="2"/>
      <c r="G209" s="44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</row>
    <row r="210" spans="5:87" x14ac:dyDescent="0.2">
      <c r="E210" s="2"/>
      <c r="F210" s="2"/>
      <c r="G210" s="44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</row>
    <row r="211" spans="5:87" x14ac:dyDescent="0.2">
      <c r="E211" s="2"/>
      <c r="F211" s="2"/>
      <c r="G211" s="44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</row>
    <row r="212" spans="5:87" x14ac:dyDescent="0.2">
      <c r="E212" s="2"/>
      <c r="F212" s="2"/>
      <c r="G212" s="44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</row>
    <row r="213" spans="5:87" x14ac:dyDescent="0.2">
      <c r="E213" s="2"/>
      <c r="F213" s="2"/>
      <c r="G213" s="44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</row>
    <row r="214" spans="5:87" x14ac:dyDescent="0.2">
      <c r="E214" s="2"/>
      <c r="F214" s="2"/>
      <c r="G214" s="44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</row>
    <row r="215" spans="5:87" x14ac:dyDescent="0.2">
      <c r="E215" s="2"/>
      <c r="F215" s="2"/>
      <c r="G215" s="44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</row>
    <row r="216" spans="5:87" x14ac:dyDescent="0.2">
      <c r="E216" s="2"/>
      <c r="F216" s="2"/>
      <c r="G216" s="44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</row>
    <row r="217" spans="5:87" x14ac:dyDescent="0.2">
      <c r="E217" s="2"/>
      <c r="F217" s="2"/>
      <c r="G217" s="44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</row>
    <row r="218" spans="5:87" x14ac:dyDescent="0.2">
      <c r="E218" s="2"/>
      <c r="F218" s="2"/>
      <c r="G218" s="44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</row>
    <row r="219" spans="5:87" x14ac:dyDescent="0.2">
      <c r="E219" s="2"/>
      <c r="F219" s="2"/>
      <c r="G219" s="44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</row>
    <row r="220" spans="5:87" x14ac:dyDescent="0.2">
      <c r="E220" s="2"/>
      <c r="F220" s="2"/>
      <c r="G220" s="44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</row>
    <row r="221" spans="5:87" x14ac:dyDescent="0.2">
      <c r="E221" s="2"/>
      <c r="F221" s="2"/>
      <c r="G221" s="44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</row>
    <row r="222" spans="5:87" x14ac:dyDescent="0.2">
      <c r="E222" s="2"/>
      <c r="F222" s="2"/>
      <c r="G222" s="44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</row>
    <row r="223" spans="5:87" x14ac:dyDescent="0.2">
      <c r="E223" s="2"/>
      <c r="F223" s="2"/>
      <c r="G223" s="44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</row>
    <row r="224" spans="5:87" x14ac:dyDescent="0.2">
      <c r="E224" s="2"/>
      <c r="F224" s="2"/>
      <c r="G224" s="44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</row>
    <row r="225" spans="5:87" x14ac:dyDescent="0.2">
      <c r="E225" s="2"/>
      <c r="F225" s="2"/>
      <c r="G225" s="44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</row>
    <row r="226" spans="5:87" x14ac:dyDescent="0.2">
      <c r="E226" s="2"/>
      <c r="F226" s="2"/>
      <c r="G226" s="44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</row>
    <row r="227" spans="5:87" x14ac:dyDescent="0.2">
      <c r="E227" s="2"/>
      <c r="F227" s="2"/>
      <c r="G227" s="44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</row>
    <row r="228" spans="5:87" x14ac:dyDescent="0.2">
      <c r="E228" s="2"/>
      <c r="F228" s="2"/>
      <c r="G228" s="44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</row>
    <row r="229" spans="5:87" x14ac:dyDescent="0.2">
      <c r="E229" s="2"/>
      <c r="F229" s="2"/>
      <c r="G229" s="44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</row>
    <row r="230" spans="5:87" x14ac:dyDescent="0.2">
      <c r="E230" s="2"/>
      <c r="F230" s="2"/>
      <c r="G230" s="44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</row>
    <row r="231" spans="5:87" x14ac:dyDescent="0.2">
      <c r="E231" s="2"/>
      <c r="F231" s="2"/>
      <c r="G231" s="44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</row>
    <row r="232" spans="5:87" x14ac:dyDescent="0.2">
      <c r="E232" s="2"/>
      <c r="F232" s="2"/>
      <c r="G232" s="44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</row>
    <row r="233" spans="5:87" x14ac:dyDescent="0.2">
      <c r="E233" s="2"/>
      <c r="F233" s="2"/>
      <c r="G233" s="44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</row>
    <row r="234" spans="5:87" x14ac:dyDescent="0.2">
      <c r="E234" s="2"/>
      <c r="F234" s="2"/>
      <c r="G234" s="44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</row>
    <row r="235" spans="5:87" x14ac:dyDescent="0.2">
      <c r="E235" s="2"/>
      <c r="F235" s="2"/>
      <c r="G235" s="44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</row>
    <row r="236" spans="5:87" x14ac:dyDescent="0.2">
      <c r="E236" s="2"/>
      <c r="F236" s="2"/>
      <c r="G236" s="44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</row>
    <row r="237" spans="5:87" x14ac:dyDescent="0.2">
      <c r="E237" s="2"/>
      <c r="F237" s="2"/>
      <c r="G237" s="44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</row>
    <row r="238" spans="5:87" x14ac:dyDescent="0.2">
      <c r="E238" s="2"/>
      <c r="F238" s="2"/>
      <c r="G238" s="44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</row>
    <row r="239" spans="5:87" x14ac:dyDescent="0.2">
      <c r="E239" s="2"/>
      <c r="F239" s="2"/>
      <c r="G239" s="44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</row>
    <row r="240" spans="5:87" x14ac:dyDescent="0.2">
      <c r="E240" s="2"/>
      <c r="F240" s="2"/>
      <c r="G240" s="44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</row>
    <row r="241" spans="5:87" x14ac:dyDescent="0.2">
      <c r="E241" s="2"/>
      <c r="F241" s="2"/>
      <c r="G241" s="44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</row>
    <row r="242" spans="5:87" x14ac:dyDescent="0.2">
      <c r="E242" s="2"/>
      <c r="F242" s="2"/>
      <c r="G242" s="44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</row>
    <row r="243" spans="5:87" x14ac:dyDescent="0.2">
      <c r="E243" s="2"/>
      <c r="F243" s="2"/>
      <c r="G243" s="44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</row>
    <row r="244" spans="5:87" x14ac:dyDescent="0.2">
      <c r="E244" s="2"/>
      <c r="F244" s="2"/>
      <c r="G244" s="44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</row>
    <row r="245" spans="5:87" x14ac:dyDescent="0.2">
      <c r="E245" s="2"/>
      <c r="F245" s="2"/>
      <c r="G245" s="44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</row>
    <row r="246" spans="5:87" x14ac:dyDescent="0.2">
      <c r="E246" s="2"/>
      <c r="F246" s="2"/>
      <c r="G246" s="44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</row>
    <row r="247" spans="5:87" x14ac:dyDescent="0.2">
      <c r="E247" s="2"/>
      <c r="F247" s="2"/>
      <c r="G247" s="44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</row>
    <row r="248" spans="5:87" x14ac:dyDescent="0.2">
      <c r="E248" s="2"/>
      <c r="F248" s="2"/>
      <c r="G248" s="44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</row>
    <row r="249" spans="5:87" x14ac:dyDescent="0.2">
      <c r="E249" s="2"/>
      <c r="F249" s="2"/>
      <c r="G249" s="44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</row>
    <row r="250" spans="5:87" x14ac:dyDescent="0.2">
      <c r="E250" s="2"/>
      <c r="F250" s="2"/>
      <c r="G250" s="44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</row>
    <row r="251" spans="5:87" x14ac:dyDescent="0.2">
      <c r="E251" s="2"/>
      <c r="F251" s="2"/>
      <c r="G251" s="44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</row>
    <row r="252" spans="5:87" x14ac:dyDescent="0.2">
      <c r="E252" s="2"/>
      <c r="F252" s="2"/>
      <c r="G252" s="44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</row>
    <row r="253" spans="5:87" x14ac:dyDescent="0.2">
      <c r="E253" s="2"/>
      <c r="F253" s="2"/>
      <c r="G253" s="44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</row>
    <row r="254" spans="5:87" x14ac:dyDescent="0.2">
      <c r="E254" s="2"/>
      <c r="F254" s="2"/>
      <c r="G254" s="44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</row>
    <row r="255" spans="5:87" x14ac:dyDescent="0.2">
      <c r="E255" s="2"/>
      <c r="F255" s="2"/>
      <c r="G255" s="44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</row>
    <row r="256" spans="5:87" x14ac:dyDescent="0.2">
      <c r="E256" s="2"/>
      <c r="F256" s="2"/>
      <c r="G256" s="44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</row>
    <row r="257" spans="5:87" x14ac:dyDescent="0.2">
      <c r="E257" s="2"/>
      <c r="F257" s="2"/>
      <c r="G257" s="44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</row>
    <row r="258" spans="5:87" x14ac:dyDescent="0.2">
      <c r="E258" s="2"/>
      <c r="F258" s="2"/>
      <c r="G258" s="44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</row>
    <row r="259" spans="5:87" x14ac:dyDescent="0.2">
      <c r="E259" s="2"/>
      <c r="F259" s="2"/>
      <c r="G259" s="44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</row>
    <row r="260" spans="5:87" x14ac:dyDescent="0.2">
      <c r="E260" s="2"/>
      <c r="F260" s="2"/>
      <c r="G260" s="44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</row>
    <row r="261" spans="5:87" x14ac:dyDescent="0.2">
      <c r="E261" s="2"/>
      <c r="F261" s="2"/>
      <c r="G261" s="44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</row>
    <row r="262" spans="5:87" x14ac:dyDescent="0.2">
      <c r="E262" s="2"/>
      <c r="F262" s="2"/>
      <c r="G262" s="44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</row>
    <row r="263" spans="5:87" x14ac:dyDescent="0.2">
      <c r="E263" s="2"/>
      <c r="F263" s="2"/>
      <c r="G263" s="44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</row>
    <row r="264" spans="5:87" x14ac:dyDescent="0.2">
      <c r="E264" s="2"/>
      <c r="F264" s="2"/>
      <c r="G264" s="44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</row>
    <row r="265" spans="5:87" x14ac:dyDescent="0.2">
      <c r="E265" s="2"/>
      <c r="F265" s="2"/>
      <c r="G265" s="44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</row>
    <row r="266" spans="5:87" x14ac:dyDescent="0.2">
      <c r="E266" s="2"/>
      <c r="F266" s="2"/>
      <c r="G266" s="44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</row>
    <row r="267" spans="5:87" x14ac:dyDescent="0.2">
      <c r="E267" s="2"/>
      <c r="F267" s="2"/>
      <c r="G267" s="44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</row>
    <row r="268" spans="5:87" x14ac:dyDescent="0.2">
      <c r="E268" s="2"/>
      <c r="F268" s="2"/>
      <c r="G268" s="44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</row>
    <row r="269" spans="5:87" x14ac:dyDescent="0.2">
      <c r="E269" s="2"/>
      <c r="F269" s="2"/>
      <c r="G269" s="44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</row>
    <row r="270" spans="5:87" x14ac:dyDescent="0.2">
      <c r="E270" s="2"/>
      <c r="F270" s="2"/>
      <c r="G270" s="44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</row>
    <row r="271" spans="5:87" x14ac:dyDescent="0.2">
      <c r="E271" s="2"/>
      <c r="F271" s="2"/>
      <c r="G271" s="44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</row>
    <row r="272" spans="5:87" x14ac:dyDescent="0.2">
      <c r="E272" s="2"/>
      <c r="F272" s="2"/>
      <c r="G272" s="44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</row>
    <row r="273" spans="5:87" x14ac:dyDescent="0.2">
      <c r="E273" s="2"/>
      <c r="F273" s="2"/>
      <c r="G273" s="44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</row>
    <row r="274" spans="5:87" x14ac:dyDescent="0.2">
      <c r="E274" s="2"/>
      <c r="F274" s="2"/>
      <c r="G274" s="44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</row>
    <row r="275" spans="5:87" x14ac:dyDescent="0.2">
      <c r="E275" s="2"/>
      <c r="F275" s="2"/>
      <c r="G275" s="44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</row>
    <row r="276" spans="5:87" x14ac:dyDescent="0.2">
      <c r="E276" s="2"/>
      <c r="F276" s="2"/>
      <c r="G276" s="44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</row>
    <row r="277" spans="5:87" x14ac:dyDescent="0.2">
      <c r="E277" s="2"/>
      <c r="F277" s="2"/>
      <c r="G277" s="44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</row>
    <row r="278" spans="5:87" x14ac:dyDescent="0.2">
      <c r="E278" s="2"/>
      <c r="F278" s="2"/>
      <c r="G278" s="44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</row>
    <row r="279" spans="5:87" x14ac:dyDescent="0.2">
      <c r="E279" s="2"/>
      <c r="F279" s="2"/>
      <c r="G279" s="44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</row>
    <row r="280" spans="5:87" x14ac:dyDescent="0.2">
      <c r="E280" s="2"/>
      <c r="F280" s="2"/>
      <c r="G280" s="44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</row>
    <row r="281" spans="5:87" x14ac:dyDescent="0.2">
      <c r="E281" s="2"/>
      <c r="F281" s="2"/>
      <c r="G281" s="44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</row>
    <row r="282" spans="5:87" x14ac:dyDescent="0.2">
      <c r="E282" s="2"/>
      <c r="F282" s="2"/>
      <c r="G282" s="44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</row>
    <row r="283" spans="5:87" x14ac:dyDescent="0.2">
      <c r="E283" s="2"/>
      <c r="F283" s="2"/>
      <c r="G283" s="44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</row>
    <row r="284" spans="5:87" x14ac:dyDescent="0.2">
      <c r="E284" s="2"/>
      <c r="F284" s="2"/>
      <c r="G284" s="44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</row>
    <row r="285" spans="5:87" x14ac:dyDescent="0.2">
      <c r="E285" s="2"/>
      <c r="F285" s="2"/>
      <c r="G285" s="44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</row>
    <row r="286" spans="5:87" x14ac:dyDescent="0.2">
      <c r="E286" s="2"/>
      <c r="F286" s="2"/>
      <c r="G286" s="44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</row>
    <row r="287" spans="5:87" x14ac:dyDescent="0.2">
      <c r="E287" s="2"/>
      <c r="F287" s="2"/>
      <c r="G287" s="44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</row>
    <row r="288" spans="5:87" x14ac:dyDescent="0.2">
      <c r="E288" s="2"/>
      <c r="F288" s="2"/>
      <c r="G288" s="44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</row>
    <row r="289" spans="5:87" x14ac:dyDescent="0.2">
      <c r="E289" s="2"/>
      <c r="F289" s="2"/>
      <c r="G289" s="44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</row>
    <row r="290" spans="5:87" x14ac:dyDescent="0.2">
      <c r="E290" s="2"/>
      <c r="F290" s="2"/>
      <c r="G290" s="44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</row>
    <row r="291" spans="5:87" x14ac:dyDescent="0.2">
      <c r="E291" s="2"/>
      <c r="F291" s="2"/>
      <c r="G291" s="44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</row>
    <row r="292" spans="5:87" x14ac:dyDescent="0.2">
      <c r="E292" s="2"/>
      <c r="F292" s="2"/>
      <c r="G292" s="44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</row>
    <row r="293" spans="5:87" x14ac:dyDescent="0.2">
      <c r="E293" s="2"/>
      <c r="F293" s="2"/>
      <c r="G293" s="44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</row>
    <row r="294" spans="5:87" x14ac:dyDescent="0.2">
      <c r="E294" s="2"/>
      <c r="F294" s="2"/>
      <c r="G294" s="44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</row>
    <row r="295" spans="5:87" x14ac:dyDescent="0.2">
      <c r="E295" s="2"/>
      <c r="F295" s="2"/>
      <c r="G295" s="44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</row>
    <row r="296" spans="5:87" x14ac:dyDescent="0.2">
      <c r="E296" s="2"/>
      <c r="F296" s="2"/>
      <c r="G296" s="44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</row>
    <row r="297" spans="5:87" x14ac:dyDescent="0.2">
      <c r="E297" s="2"/>
      <c r="F297" s="2"/>
      <c r="G297" s="44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</row>
    <row r="298" spans="5:87" x14ac:dyDescent="0.2">
      <c r="E298" s="2"/>
      <c r="F298" s="2"/>
      <c r="G298" s="44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</row>
    <row r="299" spans="5:87" x14ac:dyDescent="0.2">
      <c r="E299" s="2"/>
      <c r="F299" s="2"/>
      <c r="G299" s="44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</row>
    <row r="300" spans="5:87" x14ac:dyDescent="0.2">
      <c r="E300" s="2"/>
      <c r="F300" s="2"/>
      <c r="G300" s="44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</row>
    <row r="301" spans="5:87" x14ac:dyDescent="0.2">
      <c r="E301" s="2"/>
      <c r="F301" s="2"/>
      <c r="G301" s="44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</row>
    <row r="302" spans="5:87" x14ac:dyDescent="0.2">
      <c r="E302" s="2"/>
      <c r="F302" s="2"/>
      <c r="G302" s="44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</row>
    <row r="303" spans="5:87" x14ac:dyDescent="0.2">
      <c r="E303" s="2"/>
      <c r="F303" s="2"/>
      <c r="G303" s="44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</row>
    <row r="304" spans="5:87" x14ac:dyDescent="0.2">
      <c r="E304" s="2"/>
      <c r="F304" s="2"/>
      <c r="G304" s="44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</row>
    <row r="305" spans="5:87" x14ac:dyDescent="0.2">
      <c r="E305" s="2"/>
      <c r="F305" s="2"/>
      <c r="G305" s="44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</row>
    <row r="306" spans="5:87" x14ac:dyDescent="0.2">
      <c r="E306" s="2"/>
      <c r="F306" s="2"/>
      <c r="G306" s="44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</row>
    <row r="307" spans="5:87" x14ac:dyDescent="0.2">
      <c r="E307" s="2"/>
      <c r="F307" s="2"/>
      <c r="G307" s="44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</row>
    <row r="308" spans="5:87" x14ac:dyDescent="0.2">
      <c r="E308" s="2"/>
      <c r="F308" s="2"/>
      <c r="G308" s="44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</row>
    <row r="309" spans="5:87" x14ac:dyDescent="0.2">
      <c r="E309" s="2"/>
      <c r="F309" s="2"/>
      <c r="G309" s="44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</row>
    <row r="310" spans="5:87" x14ac:dyDescent="0.2">
      <c r="E310" s="2"/>
      <c r="F310" s="2"/>
      <c r="G310" s="44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</row>
    <row r="311" spans="5:87" x14ac:dyDescent="0.2">
      <c r="E311" s="2"/>
      <c r="F311" s="2"/>
      <c r="G311" s="44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</row>
    <row r="312" spans="5:87" x14ac:dyDescent="0.2">
      <c r="E312" s="2"/>
      <c r="F312" s="2"/>
      <c r="G312" s="44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</row>
    <row r="313" spans="5:87" x14ac:dyDescent="0.2">
      <c r="E313" s="2"/>
      <c r="F313" s="2"/>
      <c r="G313" s="44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</row>
    <row r="314" spans="5:87" x14ac:dyDescent="0.2">
      <c r="E314" s="2"/>
      <c r="F314" s="2"/>
      <c r="G314" s="44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</row>
    <row r="315" spans="5:87" x14ac:dyDescent="0.2">
      <c r="E315" s="2"/>
      <c r="F315" s="2"/>
      <c r="G315" s="44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</row>
    <row r="316" spans="5:87" x14ac:dyDescent="0.2">
      <c r="E316" s="2"/>
      <c r="F316" s="2"/>
      <c r="G316" s="44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</row>
    <row r="317" spans="5:87" x14ac:dyDescent="0.2">
      <c r="E317" s="2"/>
      <c r="F317" s="2"/>
      <c r="G317" s="44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</row>
    <row r="318" spans="5:87" x14ac:dyDescent="0.2">
      <c r="E318" s="2"/>
      <c r="F318" s="2"/>
      <c r="G318" s="44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</row>
    <row r="319" spans="5:87" x14ac:dyDescent="0.2">
      <c r="E319" s="2"/>
      <c r="F319" s="2"/>
      <c r="G319" s="44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</row>
    <row r="320" spans="5:87" x14ac:dyDescent="0.2">
      <c r="E320" s="2"/>
      <c r="F320" s="2"/>
      <c r="G320" s="44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</row>
    <row r="321" spans="5:87" x14ac:dyDescent="0.2">
      <c r="E321" s="2"/>
      <c r="F321" s="2"/>
      <c r="G321" s="44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</row>
    <row r="322" spans="5:87" x14ac:dyDescent="0.2">
      <c r="E322" s="2"/>
      <c r="F322" s="2"/>
      <c r="G322" s="44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</row>
    <row r="323" spans="5:87" x14ac:dyDescent="0.2">
      <c r="E323" s="2"/>
      <c r="F323" s="2"/>
      <c r="G323" s="44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</row>
    <row r="324" spans="5:87" x14ac:dyDescent="0.2">
      <c r="E324" s="2"/>
      <c r="F324" s="2"/>
      <c r="G324" s="44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</row>
    <row r="325" spans="5:87" x14ac:dyDescent="0.2">
      <c r="E325" s="2"/>
      <c r="F325" s="2"/>
      <c r="G325" s="44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</row>
    <row r="326" spans="5:87" x14ac:dyDescent="0.2">
      <c r="E326" s="2"/>
      <c r="F326" s="2"/>
      <c r="G326" s="44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</row>
    <row r="327" spans="5:87" x14ac:dyDescent="0.2">
      <c r="E327" s="2"/>
      <c r="F327" s="2"/>
      <c r="G327" s="44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</row>
    <row r="328" spans="5:87" x14ac:dyDescent="0.2">
      <c r="P328" s="2"/>
    </row>
    <row r="329" spans="5:87" x14ac:dyDescent="0.2">
      <c r="P329" s="2"/>
    </row>
    <row r="330" spans="5:87" x14ac:dyDescent="0.2">
      <c r="P330" s="2"/>
    </row>
    <row r="331" spans="5:87" x14ac:dyDescent="0.2">
      <c r="P331" s="2"/>
    </row>
    <row r="332" spans="5:87" x14ac:dyDescent="0.2">
      <c r="P332" s="2"/>
    </row>
    <row r="333" spans="5:87" x14ac:dyDescent="0.2">
      <c r="P333" s="2"/>
    </row>
    <row r="334" spans="5:87" x14ac:dyDescent="0.2">
      <c r="P334" s="2"/>
    </row>
    <row r="335" spans="5:87" x14ac:dyDescent="0.2">
      <c r="P335" s="2"/>
    </row>
    <row r="336" spans="5:87" x14ac:dyDescent="0.2">
      <c r="P336" s="2"/>
    </row>
    <row r="337" spans="16:16" x14ac:dyDescent="0.2">
      <c r="P337" s="2"/>
    </row>
    <row r="338" spans="16:16" x14ac:dyDescent="0.2">
      <c r="P338" s="2"/>
    </row>
    <row r="339" spans="16:16" x14ac:dyDescent="0.2">
      <c r="P339" s="2"/>
    </row>
    <row r="340" spans="16:16" x14ac:dyDescent="0.2">
      <c r="P340" s="2"/>
    </row>
    <row r="341" spans="16:16" x14ac:dyDescent="0.2">
      <c r="P341" s="2"/>
    </row>
    <row r="342" spans="16:16" x14ac:dyDescent="0.2">
      <c r="P342" s="2"/>
    </row>
    <row r="343" spans="16:16" x14ac:dyDescent="0.2">
      <c r="P343" s="2"/>
    </row>
    <row r="344" spans="16:16" x14ac:dyDescent="0.2">
      <c r="P344" s="2"/>
    </row>
    <row r="345" spans="16:16" x14ac:dyDescent="0.2">
      <c r="P345" s="2"/>
    </row>
    <row r="346" spans="16:16" x14ac:dyDescent="0.2">
      <c r="P346" s="2"/>
    </row>
    <row r="347" spans="16:16" x14ac:dyDescent="0.2">
      <c r="P347" s="2"/>
    </row>
    <row r="348" spans="16:16" x14ac:dyDescent="0.2">
      <c r="P348" s="2"/>
    </row>
    <row r="349" spans="16:16" x14ac:dyDescent="0.2">
      <c r="P349" s="2"/>
    </row>
    <row r="350" spans="16:16" x14ac:dyDescent="0.2">
      <c r="P350" s="2"/>
    </row>
    <row r="351" spans="16:16" x14ac:dyDescent="0.2">
      <c r="P351" s="2"/>
    </row>
    <row r="352" spans="16:16" x14ac:dyDescent="0.2">
      <c r="P352" s="2"/>
    </row>
    <row r="353" spans="16:16" x14ac:dyDescent="0.2">
      <c r="P353" s="2"/>
    </row>
    <row r="354" spans="16:16" x14ac:dyDescent="0.2">
      <c r="P354" s="2"/>
    </row>
    <row r="355" spans="16:16" x14ac:dyDescent="0.2">
      <c r="P355" s="2"/>
    </row>
    <row r="356" spans="16:16" x14ac:dyDescent="0.2">
      <c r="P356" s="2"/>
    </row>
    <row r="357" spans="16:16" x14ac:dyDescent="0.2">
      <c r="P357" s="2"/>
    </row>
    <row r="358" spans="16:16" x14ac:dyDescent="0.2">
      <c r="P358" s="2"/>
    </row>
    <row r="359" spans="16:16" x14ac:dyDescent="0.2">
      <c r="P359" s="2"/>
    </row>
    <row r="360" spans="16:16" x14ac:dyDescent="0.2">
      <c r="P360" s="2"/>
    </row>
    <row r="361" spans="16:16" x14ac:dyDescent="0.2">
      <c r="P361" s="2"/>
    </row>
    <row r="362" spans="16:16" x14ac:dyDescent="0.2">
      <c r="P362" s="2"/>
    </row>
    <row r="363" spans="16:16" x14ac:dyDescent="0.2">
      <c r="P363" s="2"/>
    </row>
    <row r="364" spans="16:16" x14ac:dyDescent="0.2">
      <c r="P364" s="2"/>
    </row>
    <row r="365" spans="16:16" x14ac:dyDescent="0.2">
      <c r="P365" s="2"/>
    </row>
    <row r="366" spans="16:16" x14ac:dyDescent="0.2">
      <c r="P366" s="2"/>
    </row>
    <row r="367" spans="16:16" x14ac:dyDescent="0.2">
      <c r="P367" s="2"/>
    </row>
    <row r="368" spans="16:16" x14ac:dyDescent="0.2">
      <c r="P368" s="2"/>
    </row>
    <row r="369" spans="16:16" x14ac:dyDescent="0.2">
      <c r="P369" s="2"/>
    </row>
    <row r="370" spans="16:16" x14ac:dyDescent="0.2">
      <c r="P370" s="2"/>
    </row>
    <row r="371" spans="16:16" x14ac:dyDescent="0.2">
      <c r="P371" s="2"/>
    </row>
    <row r="372" spans="16:16" x14ac:dyDescent="0.2">
      <c r="P372" s="2"/>
    </row>
    <row r="373" spans="16:16" x14ac:dyDescent="0.2">
      <c r="P373" s="2"/>
    </row>
    <row r="374" spans="16:16" x14ac:dyDescent="0.2">
      <c r="P374" s="2"/>
    </row>
    <row r="375" spans="16:16" x14ac:dyDescent="0.2">
      <c r="P375" s="2"/>
    </row>
    <row r="376" spans="16:16" x14ac:dyDescent="0.2">
      <c r="P376" s="2"/>
    </row>
    <row r="377" spans="16:16" x14ac:dyDescent="0.2">
      <c r="P377" s="2"/>
    </row>
    <row r="378" spans="16:16" x14ac:dyDescent="0.2">
      <c r="P378" s="2"/>
    </row>
    <row r="379" spans="16:16" x14ac:dyDescent="0.2">
      <c r="P379" s="2"/>
    </row>
    <row r="380" spans="16:16" x14ac:dyDescent="0.2">
      <c r="P380" s="2"/>
    </row>
    <row r="381" spans="16:16" x14ac:dyDescent="0.2">
      <c r="P381" s="2"/>
    </row>
    <row r="382" spans="16:16" x14ac:dyDescent="0.2">
      <c r="P382" s="2"/>
    </row>
    <row r="383" spans="16:16" x14ac:dyDescent="0.2">
      <c r="P383" s="2"/>
    </row>
    <row r="384" spans="16:16" x14ac:dyDescent="0.2">
      <c r="P384" s="2"/>
    </row>
    <row r="385" spans="16:16" x14ac:dyDescent="0.2">
      <c r="P385" s="2"/>
    </row>
    <row r="386" spans="16:16" x14ac:dyDescent="0.2">
      <c r="P386" s="2"/>
    </row>
    <row r="387" spans="16:16" x14ac:dyDescent="0.2">
      <c r="P387" s="2"/>
    </row>
    <row r="388" spans="16:16" x14ac:dyDescent="0.2">
      <c r="P388" s="2"/>
    </row>
    <row r="389" spans="16:16" x14ac:dyDescent="0.2">
      <c r="P389" s="2"/>
    </row>
    <row r="390" spans="16:16" x14ac:dyDescent="0.2">
      <c r="P390" s="2"/>
    </row>
    <row r="391" spans="16:16" x14ac:dyDescent="0.2">
      <c r="P391" s="2"/>
    </row>
    <row r="392" spans="16:16" x14ac:dyDescent="0.2">
      <c r="P392" s="2"/>
    </row>
    <row r="393" spans="16:16" x14ac:dyDescent="0.2">
      <c r="P393" s="2"/>
    </row>
    <row r="394" spans="16:16" x14ac:dyDescent="0.2">
      <c r="P394" s="2"/>
    </row>
    <row r="395" spans="16:16" x14ac:dyDescent="0.2">
      <c r="P395" s="2"/>
    </row>
    <row r="396" spans="16:16" x14ac:dyDescent="0.2">
      <c r="P396" s="2"/>
    </row>
    <row r="397" spans="16:16" x14ac:dyDescent="0.2">
      <c r="P397" s="2"/>
    </row>
    <row r="398" spans="16:16" x14ac:dyDescent="0.2">
      <c r="P398" s="2"/>
    </row>
    <row r="399" spans="16:16" x14ac:dyDescent="0.2">
      <c r="P399" s="2"/>
    </row>
    <row r="400" spans="16:16" x14ac:dyDescent="0.2">
      <c r="P400" s="2"/>
    </row>
    <row r="401" spans="16:16" x14ac:dyDescent="0.2">
      <c r="P401" s="2"/>
    </row>
    <row r="402" spans="16:16" x14ac:dyDescent="0.2">
      <c r="P402" s="2"/>
    </row>
    <row r="403" spans="16:16" x14ac:dyDescent="0.2">
      <c r="P403" s="2"/>
    </row>
    <row r="404" spans="16:16" x14ac:dyDescent="0.2">
      <c r="P404" s="2"/>
    </row>
    <row r="405" spans="16:16" x14ac:dyDescent="0.2">
      <c r="P405" s="2"/>
    </row>
    <row r="406" spans="16:16" x14ac:dyDescent="0.2">
      <c r="P406" s="2"/>
    </row>
    <row r="407" spans="16:16" x14ac:dyDescent="0.2">
      <c r="P407" s="2"/>
    </row>
    <row r="408" spans="16:16" x14ac:dyDescent="0.2">
      <c r="P408" s="2"/>
    </row>
    <row r="409" spans="16:16" x14ac:dyDescent="0.2">
      <c r="P409" s="2"/>
    </row>
    <row r="410" spans="16:16" x14ac:dyDescent="0.2">
      <c r="P410" s="2"/>
    </row>
    <row r="411" spans="16:16" x14ac:dyDescent="0.2">
      <c r="P411" s="2"/>
    </row>
    <row r="412" spans="16:16" x14ac:dyDescent="0.2">
      <c r="P412" s="2"/>
    </row>
    <row r="413" spans="16:16" x14ac:dyDescent="0.2">
      <c r="P413" s="2"/>
    </row>
    <row r="414" spans="16:16" x14ac:dyDescent="0.2">
      <c r="P414" s="2"/>
    </row>
    <row r="415" spans="16:16" x14ac:dyDescent="0.2">
      <c r="P415" s="2"/>
    </row>
    <row r="416" spans="16:16" x14ac:dyDescent="0.2">
      <c r="P416" s="2"/>
    </row>
    <row r="417" spans="16:16" x14ac:dyDescent="0.2">
      <c r="P417" s="2"/>
    </row>
    <row r="418" spans="16:16" x14ac:dyDescent="0.2">
      <c r="P418" s="2"/>
    </row>
    <row r="419" spans="16:16" x14ac:dyDescent="0.2">
      <c r="P419" s="2"/>
    </row>
    <row r="420" spans="16:16" x14ac:dyDescent="0.2">
      <c r="P420" s="2"/>
    </row>
    <row r="421" spans="16:16" x14ac:dyDescent="0.2">
      <c r="P421" s="2"/>
    </row>
    <row r="422" spans="16:16" x14ac:dyDescent="0.2">
      <c r="P422" s="2"/>
    </row>
    <row r="423" spans="16:16" x14ac:dyDescent="0.2">
      <c r="P423" s="2"/>
    </row>
    <row r="424" spans="16:16" x14ac:dyDescent="0.2">
      <c r="P424" s="2"/>
    </row>
    <row r="425" spans="16:16" x14ac:dyDescent="0.2">
      <c r="P425" s="2"/>
    </row>
    <row r="426" spans="16:16" x14ac:dyDescent="0.2">
      <c r="P426" s="2"/>
    </row>
    <row r="427" spans="16:16" x14ac:dyDescent="0.2">
      <c r="P427" s="2"/>
    </row>
    <row r="428" spans="16:16" x14ac:dyDescent="0.2">
      <c r="P428" s="2"/>
    </row>
    <row r="429" spans="16:16" x14ac:dyDescent="0.2">
      <c r="P429" s="2"/>
    </row>
    <row r="430" spans="16:16" x14ac:dyDescent="0.2">
      <c r="P430" s="2"/>
    </row>
    <row r="431" spans="16:16" x14ac:dyDescent="0.2">
      <c r="P431" s="2"/>
    </row>
    <row r="432" spans="16:16" x14ac:dyDescent="0.2">
      <c r="P432" s="2"/>
    </row>
    <row r="433" spans="16:16" x14ac:dyDescent="0.2">
      <c r="P433" s="2"/>
    </row>
    <row r="434" spans="16:16" x14ac:dyDescent="0.2">
      <c r="P434" s="2"/>
    </row>
    <row r="435" spans="16:16" x14ac:dyDescent="0.2">
      <c r="P435" s="2"/>
    </row>
    <row r="436" spans="16:16" x14ac:dyDescent="0.2">
      <c r="P436" s="2"/>
    </row>
    <row r="437" spans="16:16" x14ac:dyDescent="0.2">
      <c r="P437" s="2"/>
    </row>
    <row r="438" spans="16:16" x14ac:dyDescent="0.2">
      <c r="P438" s="2"/>
    </row>
    <row r="439" spans="16:16" x14ac:dyDescent="0.2">
      <c r="P439" s="2"/>
    </row>
    <row r="440" spans="16:16" x14ac:dyDescent="0.2">
      <c r="P440" s="2"/>
    </row>
    <row r="441" spans="16:16" x14ac:dyDescent="0.2">
      <c r="P441" s="2"/>
    </row>
    <row r="442" spans="16:16" x14ac:dyDescent="0.2">
      <c r="P442" s="2"/>
    </row>
    <row r="443" spans="16:16" x14ac:dyDescent="0.2">
      <c r="P443" s="2"/>
    </row>
    <row r="444" spans="16:16" x14ac:dyDescent="0.2">
      <c r="P444" s="2"/>
    </row>
    <row r="445" spans="16:16" x14ac:dyDescent="0.2">
      <c r="P445" s="2"/>
    </row>
    <row r="446" spans="16:16" x14ac:dyDescent="0.2">
      <c r="P446" s="2"/>
    </row>
    <row r="447" spans="16:16" x14ac:dyDescent="0.2">
      <c r="P447" s="2"/>
    </row>
    <row r="448" spans="16:16" x14ac:dyDescent="0.2">
      <c r="P448" s="2"/>
    </row>
    <row r="449" spans="16:16" x14ac:dyDescent="0.2">
      <c r="P449" s="2"/>
    </row>
    <row r="450" spans="16:16" x14ac:dyDescent="0.2">
      <c r="P450" s="2"/>
    </row>
    <row r="451" spans="16:16" x14ac:dyDescent="0.2">
      <c r="P451" s="2"/>
    </row>
    <row r="452" spans="16:16" x14ac:dyDescent="0.2">
      <c r="P452" s="2"/>
    </row>
    <row r="453" spans="16:16" x14ac:dyDescent="0.2">
      <c r="P453" s="2"/>
    </row>
    <row r="454" spans="16:16" x14ac:dyDescent="0.2">
      <c r="P454" s="2"/>
    </row>
    <row r="455" spans="16:16" x14ac:dyDescent="0.2">
      <c r="P455" s="2"/>
    </row>
    <row r="456" spans="16:16" x14ac:dyDescent="0.2">
      <c r="P456" s="2"/>
    </row>
    <row r="457" spans="16:16" x14ac:dyDescent="0.2">
      <c r="P457" s="2"/>
    </row>
    <row r="458" spans="16:16" x14ac:dyDescent="0.2">
      <c r="P458" s="2"/>
    </row>
    <row r="459" spans="16:16" x14ac:dyDescent="0.2">
      <c r="P459" s="2"/>
    </row>
    <row r="460" spans="16:16" x14ac:dyDescent="0.2">
      <c r="P460" s="2"/>
    </row>
    <row r="461" spans="16:16" x14ac:dyDescent="0.2">
      <c r="P461" s="2"/>
    </row>
    <row r="462" spans="16:16" x14ac:dyDescent="0.2">
      <c r="P462" s="2"/>
    </row>
    <row r="463" spans="16:16" x14ac:dyDescent="0.2">
      <c r="P463" s="2"/>
    </row>
    <row r="464" spans="16:16" x14ac:dyDescent="0.2">
      <c r="P464" s="2"/>
    </row>
    <row r="465" spans="16:16" x14ac:dyDescent="0.2">
      <c r="P465" s="2"/>
    </row>
    <row r="466" spans="16:16" x14ac:dyDescent="0.2">
      <c r="P466" s="2"/>
    </row>
    <row r="467" spans="16:16" x14ac:dyDescent="0.2">
      <c r="P467" s="2"/>
    </row>
    <row r="468" spans="16:16" x14ac:dyDescent="0.2">
      <c r="P468" s="2"/>
    </row>
    <row r="469" spans="16:16" x14ac:dyDescent="0.2">
      <c r="P469" s="2"/>
    </row>
    <row r="470" spans="16:16" x14ac:dyDescent="0.2">
      <c r="P470" s="2"/>
    </row>
    <row r="471" spans="16:16" x14ac:dyDescent="0.2">
      <c r="P471" s="2"/>
    </row>
    <row r="472" spans="16:16" x14ac:dyDescent="0.2">
      <c r="P472" s="2"/>
    </row>
    <row r="473" spans="16:16" x14ac:dyDescent="0.2">
      <c r="P473" s="2"/>
    </row>
    <row r="474" spans="16:16" x14ac:dyDescent="0.2">
      <c r="P474" s="2"/>
    </row>
    <row r="475" spans="16:16" x14ac:dyDescent="0.2">
      <c r="P475" s="2"/>
    </row>
    <row r="476" spans="16:16" x14ac:dyDescent="0.2">
      <c r="P476" s="2"/>
    </row>
    <row r="477" spans="16:16" x14ac:dyDescent="0.2">
      <c r="P477" s="2"/>
    </row>
    <row r="478" spans="16:16" x14ac:dyDescent="0.2">
      <c r="P478" s="2"/>
    </row>
    <row r="479" spans="16:16" x14ac:dyDescent="0.2">
      <c r="P479" s="2"/>
    </row>
    <row r="480" spans="16:16" x14ac:dyDescent="0.2">
      <c r="P480" s="2"/>
    </row>
    <row r="481" spans="16:16" x14ac:dyDescent="0.2">
      <c r="P481" s="2"/>
    </row>
    <row r="482" spans="16:16" x14ac:dyDescent="0.2">
      <c r="P482" s="2"/>
    </row>
    <row r="483" spans="16:16" x14ac:dyDescent="0.2">
      <c r="P483" s="2"/>
    </row>
    <row r="484" spans="16:16" x14ac:dyDescent="0.2">
      <c r="P484" s="2"/>
    </row>
    <row r="485" spans="16:16" x14ac:dyDescent="0.2">
      <c r="P485" s="2"/>
    </row>
    <row r="486" spans="16:16" x14ac:dyDescent="0.2">
      <c r="P486" s="2"/>
    </row>
    <row r="487" spans="16:16" x14ac:dyDescent="0.2">
      <c r="P487" s="2"/>
    </row>
    <row r="488" spans="16:16" x14ac:dyDescent="0.2">
      <c r="P488" s="2"/>
    </row>
    <row r="489" spans="16:16" x14ac:dyDescent="0.2">
      <c r="P489" s="2"/>
    </row>
    <row r="490" spans="16:16" x14ac:dyDescent="0.2">
      <c r="P490" s="2"/>
    </row>
    <row r="491" spans="16:16" x14ac:dyDescent="0.2">
      <c r="P491" s="2"/>
    </row>
    <row r="492" spans="16:16" x14ac:dyDescent="0.2">
      <c r="P492" s="2"/>
    </row>
    <row r="493" spans="16:16" x14ac:dyDescent="0.2">
      <c r="P493" s="2"/>
    </row>
    <row r="494" spans="16:16" x14ac:dyDescent="0.2">
      <c r="P494" s="2"/>
    </row>
    <row r="495" spans="16:16" x14ac:dyDescent="0.2">
      <c r="P495" s="2"/>
    </row>
    <row r="496" spans="16:16" x14ac:dyDescent="0.2">
      <c r="P496" s="2"/>
    </row>
    <row r="497" spans="16:16" x14ac:dyDescent="0.2">
      <c r="P497" s="2"/>
    </row>
    <row r="498" spans="16:16" x14ac:dyDescent="0.2">
      <c r="P498" s="2"/>
    </row>
    <row r="499" spans="16:16" x14ac:dyDescent="0.2">
      <c r="P499" s="2"/>
    </row>
    <row r="500" spans="16:16" x14ac:dyDescent="0.2">
      <c r="P500" s="2"/>
    </row>
    <row r="501" spans="16:16" x14ac:dyDescent="0.2">
      <c r="P501" s="2"/>
    </row>
    <row r="502" spans="16:16" x14ac:dyDescent="0.2">
      <c r="P502" s="2"/>
    </row>
    <row r="503" spans="16:16" x14ac:dyDescent="0.2">
      <c r="P503" s="2"/>
    </row>
    <row r="504" spans="16:16" x14ac:dyDescent="0.2">
      <c r="P504" s="2"/>
    </row>
    <row r="505" spans="16:16" x14ac:dyDescent="0.2">
      <c r="P505" s="2"/>
    </row>
    <row r="506" spans="16:16" x14ac:dyDescent="0.2">
      <c r="P506" s="2"/>
    </row>
    <row r="507" spans="16:16" x14ac:dyDescent="0.2">
      <c r="P507" s="2"/>
    </row>
    <row r="508" spans="16:16" x14ac:dyDescent="0.2">
      <c r="P508" s="2"/>
    </row>
    <row r="509" spans="16:16" x14ac:dyDescent="0.2">
      <c r="P509" s="2"/>
    </row>
    <row r="510" spans="16:16" x14ac:dyDescent="0.2">
      <c r="P510" s="2"/>
    </row>
    <row r="511" spans="16:16" x14ac:dyDescent="0.2">
      <c r="P511" s="2"/>
    </row>
    <row r="512" spans="16:16" x14ac:dyDescent="0.2">
      <c r="P512" s="2"/>
    </row>
    <row r="513" spans="16:16" x14ac:dyDescent="0.2">
      <c r="P513" s="2"/>
    </row>
    <row r="514" spans="16:16" x14ac:dyDescent="0.2">
      <c r="P514" s="2"/>
    </row>
    <row r="515" spans="16:16" x14ac:dyDescent="0.2">
      <c r="P515" s="2"/>
    </row>
    <row r="516" spans="16:16" x14ac:dyDescent="0.2">
      <c r="P516" s="2"/>
    </row>
    <row r="517" spans="16:16" x14ac:dyDescent="0.2">
      <c r="P517" s="2"/>
    </row>
    <row r="518" spans="16:16" x14ac:dyDescent="0.2">
      <c r="P518" s="2"/>
    </row>
    <row r="519" spans="16:16" x14ac:dyDescent="0.2">
      <c r="P519" s="2"/>
    </row>
    <row r="520" spans="16:16" x14ac:dyDescent="0.2">
      <c r="P520" s="2"/>
    </row>
    <row r="521" spans="16:16" x14ac:dyDescent="0.2">
      <c r="P521" s="2"/>
    </row>
    <row r="522" spans="16:16" x14ac:dyDescent="0.2">
      <c r="P522" s="2"/>
    </row>
    <row r="523" spans="16:16" x14ac:dyDescent="0.2">
      <c r="P523" s="2"/>
    </row>
    <row r="524" spans="16:16" x14ac:dyDescent="0.2">
      <c r="P524" s="2"/>
    </row>
    <row r="525" spans="16:16" x14ac:dyDescent="0.2">
      <c r="P525" s="2"/>
    </row>
    <row r="526" spans="16:16" x14ac:dyDescent="0.2">
      <c r="P526" s="2"/>
    </row>
    <row r="527" spans="16:16" x14ac:dyDescent="0.2">
      <c r="P527" s="2"/>
    </row>
    <row r="528" spans="16:16" x14ac:dyDescent="0.2">
      <c r="P528" s="2"/>
    </row>
    <row r="529" spans="16:16" x14ac:dyDescent="0.2">
      <c r="P529" s="2"/>
    </row>
    <row r="530" spans="16:16" x14ac:dyDescent="0.2">
      <c r="P530" s="2"/>
    </row>
    <row r="531" spans="16:16" x14ac:dyDescent="0.2">
      <c r="P531" s="2"/>
    </row>
    <row r="532" spans="16:16" x14ac:dyDescent="0.2">
      <c r="P532" s="2"/>
    </row>
    <row r="533" spans="16:16" x14ac:dyDescent="0.2">
      <c r="P533" s="2"/>
    </row>
    <row r="534" spans="16:16" x14ac:dyDescent="0.2">
      <c r="P534" s="2"/>
    </row>
    <row r="535" spans="16:16" x14ac:dyDescent="0.2">
      <c r="P535" s="2"/>
    </row>
    <row r="536" spans="16:16" x14ac:dyDescent="0.2">
      <c r="P536" s="2"/>
    </row>
    <row r="537" spans="16:16" x14ac:dyDescent="0.2">
      <c r="P537" s="2"/>
    </row>
    <row r="538" spans="16:16" x14ac:dyDescent="0.2">
      <c r="P538" s="2"/>
    </row>
    <row r="539" spans="16:16" x14ac:dyDescent="0.2">
      <c r="P539" s="2"/>
    </row>
    <row r="540" spans="16:16" x14ac:dyDescent="0.2">
      <c r="P540" s="2"/>
    </row>
    <row r="541" spans="16:16" x14ac:dyDescent="0.2">
      <c r="P541" s="2"/>
    </row>
    <row r="542" spans="16:16" x14ac:dyDescent="0.2">
      <c r="P542" s="2"/>
    </row>
    <row r="543" spans="16:16" x14ac:dyDescent="0.2">
      <c r="P543" s="2"/>
    </row>
    <row r="544" spans="16:16" x14ac:dyDescent="0.2">
      <c r="P544" s="2"/>
    </row>
    <row r="545" spans="16:16" x14ac:dyDescent="0.2">
      <c r="P545" s="2"/>
    </row>
    <row r="546" spans="16:16" x14ac:dyDescent="0.2">
      <c r="P546" s="2"/>
    </row>
    <row r="547" spans="16:16" x14ac:dyDescent="0.2">
      <c r="P547" s="2"/>
    </row>
    <row r="548" spans="16:16" x14ac:dyDescent="0.2">
      <c r="P548" s="2"/>
    </row>
    <row r="549" spans="16:16" x14ac:dyDescent="0.2">
      <c r="P549" s="2"/>
    </row>
    <row r="550" spans="16:16" x14ac:dyDescent="0.2">
      <c r="P550" s="2"/>
    </row>
    <row r="551" spans="16:16" x14ac:dyDescent="0.2">
      <c r="P551" s="2"/>
    </row>
    <row r="552" spans="16:16" x14ac:dyDescent="0.2">
      <c r="P552" s="2"/>
    </row>
    <row r="553" spans="16:16" x14ac:dyDescent="0.2">
      <c r="P553" s="2"/>
    </row>
    <row r="554" spans="16:16" x14ac:dyDescent="0.2">
      <c r="P554" s="2"/>
    </row>
    <row r="555" spans="16:16" x14ac:dyDescent="0.2">
      <c r="P555" s="2"/>
    </row>
    <row r="556" spans="16:16" x14ac:dyDescent="0.2">
      <c r="P556" s="2"/>
    </row>
    <row r="557" spans="16:16" x14ac:dyDescent="0.2">
      <c r="P557" s="2"/>
    </row>
    <row r="558" spans="16:16" x14ac:dyDescent="0.2">
      <c r="P558" s="2"/>
    </row>
    <row r="559" spans="16:16" x14ac:dyDescent="0.2">
      <c r="P559" s="2"/>
    </row>
    <row r="560" spans="16:16" x14ac:dyDescent="0.2">
      <c r="P560" s="2"/>
    </row>
    <row r="561" spans="16:16" x14ac:dyDescent="0.2">
      <c r="P561" s="2"/>
    </row>
    <row r="562" spans="16:16" x14ac:dyDescent="0.2">
      <c r="P562" s="2"/>
    </row>
    <row r="563" spans="16:16" x14ac:dyDescent="0.2">
      <c r="P563" s="2"/>
    </row>
    <row r="564" spans="16:16" x14ac:dyDescent="0.2">
      <c r="P564" s="2"/>
    </row>
    <row r="565" spans="16:16" x14ac:dyDescent="0.2">
      <c r="P565" s="2"/>
    </row>
    <row r="566" spans="16:16" x14ac:dyDescent="0.2">
      <c r="P566" s="2"/>
    </row>
    <row r="567" spans="16:16" x14ac:dyDescent="0.2">
      <c r="P567" s="2"/>
    </row>
    <row r="568" spans="16:16" x14ac:dyDescent="0.2">
      <c r="P568" s="2"/>
    </row>
    <row r="569" spans="16:16" x14ac:dyDescent="0.2">
      <c r="P569" s="2"/>
    </row>
    <row r="570" spans="16:16" x14ac:dyDescent="0.2">
      <c r="P570" s="2"/>
    </row>
    <row r="571" spans="16:16" x14ac:dyDescent="0.2">
      <c r="P571" s="2"/>
    </row>
    <row r="572" spans="16:16" x14ac:dyDescent="0.2">
      <c r="P572" s="2"/>
    </row>
    <row r="573" spans="16:16" x14ac:dyDescent="0.2">
      <c r="P573" s="2"/>
    </row>
    <row r="574" spans="16:16" x14ac:dyDescent="0.2">
      <c r="P574" s="2"/>
    </row>
    <row r="575" spans="16:16" x14ac:dyDescent="0.2">
      <c r="P575" s="2"/>
    </row>
    <row r="576" spans="16:16" x14ac:dyDescent="0.2">
      <c r="P576" s="2"/>
    </row>
    <row r="577" spans="16:16" x14ac:dyDescent="0.2">
      <c r="P577" s="2"/>
    </row>
    <row r="578" spans="16:16" x14ac:dyDescent="0.2">
      <c r="P578" s="2"/>
    </row>
    <row r="579" spans="16:16" x14ac:dyDescent="0.2">
      <c r="P579" s="2"/>
    </row>
    <row r="580" spans="16:16" x14ac:dyDescent="0.2">
      <c r="P580" s="2"/>
    </row>
    <row r="581" spans="16:16" x14ac:dyDescent="0.2">
      <c r="P581" s="2"/>
    </row>
    <row r="582" spans="16:16" x14ac:dyDescent="0.2">
      <c r="P582" s="2"/>
    </row>
    <row r="583" spans="16:16" x14ac:dyDescent="0.2">
      <c r="P583" s="2"/>
    </row>
    <row r="584" spans="16:16" x14ac:dyDescent="0.2">
      <c r="P584" s="2"/>
    </row>
    <row r="585" spans="16:16" x14ac:dyDescent="0.2">
      <c r="P585" s="2"/>
    </row>
    <row r="586" spans="16:16" x14ac:dyDescent="0.2">
      <c r="P586" s="2"/>
    </row>
    <row r="587" spans="16:16" x14ac:dyDescent="0.2">
      <c r="P587" s="2"/>
    </row>
    <row r="588" spans="16:16" x14ac:dyDescent="0.2">
      <c r="P588" s="2"/>
    </row>
    <row r="589" spans="16:16" x14ac:dyDescent="0.2">
      <c r="P589" s="2"/>
    </row>
    <row r="590" spans="16:16" x14ac:dyDescent="0.2">
      <c r="P590" s="2"/>
    </row>
    <row r="591" spans="16:16" x14ac:dyDescent="0.2">
      <c r="P591" s="2"/>
    </row>
    <row r="592" spans="16:16" x14ac:dyDescent="0.2">
      <c r="P592" s="2"/>
    </row>
    <row r="593" spans="16:16" x14ac:dyDescent="0.2">
      <c r="P593" s="2"/>
    </row>
    <row r="594" spans="16:16" x14ac:dyDescent="0.2">
      <c r="P594" s="2"/>
    </row>
    <row r="595" spans="16:16" x14ac:dyDescent="0.2">
      <c r="P595" s="2"/>
    </row>
    <row r="596" spans="16:16" x14ac:dyDescent="0.2">
      <c r="P596" s="2"/>
    </row>
    <row r="597" spans="16:16" x14ac:dyDescent="0.2">
      <c r="P597" s="2"/>
    </row>
    <row r="598" spans="16:16" x14ac:dyDescent="0.2">
      <c r="P598" s="2"/>
    </row>
    <row r="599" spans="16:16" x14ac:dyDescent="0.2">
      <c r="P599" s="2"/>
    </row>
    <row r="600" spans="16:16" x14ac:dyDescent="0.2">
      <c r="P600" s="2"/>
    </row>
    <row r="601" spans="16:16" x14ac:dyDescent="0.2">
      <c r="P601" s="2"/>
    </row>
    <row r="602" spans="16:16" x14ac:dyDescent="0.2">
      <c r="P602" s="2"/>
    </row>
    <row r="603" spans="16:16" x14ac:dyDescent="0.2">
      <c r="P603" s="2"/>
    </row>
    <row r="604" spans="16:16" x14ac:dyDescent="0.2">
      <c r="P604" s="2"/>
    </row>
    <row r="605" spans="16:16" x14ac:dyDescent="0.2">
      <c r="P605" s="2"/>
    </row>
    <row r="606" spans="16:16" x14ac:dyDescent="0.2">
      <c r="P606" s="2"/>
    </row>
    <row r="607" spans="16:16" x14ac:dyDescent="0.2">
      <c r="P607" s="2"/>
    </row>
    <row r="608" spans="16:16" x14ac:dyDescent="0.2">
      <c r="P608" s="2"/>
    </row>
    <row r="609" spans="16:16" x14ac:dyDescent="0.2">
      <c r="P609" s="2"/>
    </row>
    <row r="610" spans="16:16" x14ac:dyDescent="0.2">
      <c r="P610" s="2"/>
    </row>
    <row r="611" spans="16:16" x14ac:dyDescent="0.2">
      <c r="P611" s="2"/>
    </row>
    <row r="612" spans="16:16" x14ac:dyDescent="0.2">
      <c r="P612" s="2"/>
    </row>
    <row r="613" spans="16:16" x14ac:dyDescent="0.2">
      <c r="P613" s="2"/>
    </row>
    <row r="614" spans="16:16" x14ac:dyDescent="0.2">
      <c r="P614" s="2"/>
    </row>
    <row r="615" spans="16:16" x14ac:dyDescent="0.2">
      <c r="P615" s="2"/>
    </row>
    <row r="616" spans="16:16" x14ac:dyDescent="0.2">
      <c r="P616" s="2"/>
    </row>
    <row r="617" spans="16:16" x14ac:dyDescent="0.2">
      <c r="P617" s="2"/>
    </row>
    <row r="618" spans="16:16" x14ac:dyDescent="0.2">
      <c r="P618" s="2"/>
    </row>
    <row r="619" spans="16:16" x14ac:dyDescent="0.2">
      <c r="P619" s="2"/>
    </row>
    <row r="620" spans="16:16" x14ac:dyDescent="0.2">
      <c r="P620" s="2"/>
    </row>
    <row r="621" spans="16:16" x14ac:dyDescent="0.2">
      <c r="P621" s="2"/>
    </row>
    <row r="622" spans="16:16" x14ac:dyDescent="0.2">
      <c r="P622" s="2"/>
    </row>
    <row r="623" spans="16:16" x14ac:dyDescent="0.2">
      <c r="P623" s="2"/>
    </row>
    <row r="624" spans="16:16" x14ac:dyDescent="0.2">
      <c r="P624" s="2"/>
    </row>
    <row r="625" spans="16:16" x14ac:dyDescent="0.2">
      <c r="P625" s="2"/>
    </row>
    <row r="626" spans="16:16" x14ac:dyDescent="0.2">
      <c r="P626" s="2"/>
    </row>
    <row r="627" spans="16:16" x14ac:dyDescent="0.2">
      <c r="P627" s="2"/>
    </row>
    <row r="628" spans="16:16" x14ac:dyDescent="0.2">
      <c r="P628" s="2"/>
    </row>
    <row r="629" spans="16:16" x14ac:dyDescent="0.2">
      <c r="P629" s="2"/>
    </row>
    <row r="630" spans="16:16" x14ac:dyDescent="0.2">
      <c r="P630" s="2"/>
    </row>
    <row r="631" spans="16:16" x14ac:dyDescent="0.2">
      <c r="P631" s="2"/>
    </row>
    <row r="632" spans="16:16" x14ac:dyDescent="0.2">
      <c r="P632" s="2"/>
    </row>
    <row r="633" spans="16:16" x14ac:dyDescent="0.2">
      <c r="P633" s="2"/>
    </row>
    <row r="634" spans="16:16" x14ac:dyDescent="0.2">
      <c r="P634" s="2"/>
    </row>
    <row r="635" spans="16:16" x14ac:dyDescent="0.2">
      <c r="P635" s="2"/>
    </row>
    <row r="636" spans="16:16" x14ac:dyDescent="0.2">
      <c r="P636" s="2"/>
    </row>
    <row r="637" spans="16:16" x14ac:dyDescent="0.2">
      <c r="P637" s="2"/>
    </row>
    <row r="638" spans="16:16" x14ac:dyDescent="0.2">
      <c r="P638" s="2"/>
    </row>
    <row r="639" spans="16:16" x14ac:dyDescent="0.2">
      <c r="P639" s="2"/>
    </row>
    <row r="640" spans="16:16" x14ac:dyDescent="0.2">
      <c r="P640" s="2"/>
    </row>
    <row r="641" spans="16:16" x14ac:dyDescent="0.2">
      <c r="P641" s="2"/>
    </row>
    <row r="642" spans="16:16" x14ac:dyDescent="0.2">
      <c r="P642" s="2"/>
    </row>
    <row r="643" spans="16:16" x14ac:dyDescent="0.2">
      <c r="P643" s="2"/>
    </row>
    <row r="644" spans="16:16" x14ac:dyDescent="0.2">
      <c r="P644" s="2"/>
    </row>
    <row r="645" spans="16:16" x14ac:dyDescent="0.2">
      <c r="P645" s="2"/>
    </row>
    <row r="646" spans="16:16" x14ac:dyDescent="0.2">
      <c r="P646" s="2"/>
    </row>
    <row r="647" spans="16:16" x14ac:dyDescent="0.2">
      <c r="P647" s="2"/>
    </row>
    <row r="648" spans="16:16" x14ac:dyDescent="0.2">
      <c r="P648" s="2"/>
    </row>
    <row r="649" spans="16:16" x14ac:dyDescent="0.2">
      <c r="P649" s="2"/>
    </row>
    <row r="650" spans="16:16" x14ac:dyDescent="0.2">
      <c r="P650" s="2"/>
    </row>
    <row r="651" spans="16:16" x14ac:dyDescent="0.2">
      <c r="P651" s="2"/>
    </row>
    <row r="652" spans="16:16" x14ac:dyDescent="0.2">
      <c r="P652" s="2"/>
    </row>
    <row r="653" spans="16:16" x14ac:dyDescent="0.2">
      <c r="P653" s="2"/>
    </row>
    <row r="654" spans="16:16" x14ac:dyDescent="0.2">
      <c r="P654" s="2"/>
    </row>
    <row r="655" spans="16:16" x14ac:dyDescent="0.2">
      <c r="P655" s="2"/>
    </row>
    <row r="656" spans="16:16" x14ac:dyDescent="0.2">
      <c r="P656" s="2"/>
    </row>
    <row r="657" spans="16:16" x14ac:dyDescent="0.2">
      <c r="P657" s="2"/>
    </row>
    <row r="658" spans="16:16" x14ac:dyDescent="0.2">
      <c r="P658" s="2"/>
    </row>
    <row r="659" spans="16:16" x14ac:dyDescent="0.2">
      <c r="P659" s="2"/>
    </row>
    <row r="660" spans="16:16" x14ac:dyDescent="0.2">
      <c r="P660" s="2"/>
    </row>
    <row r="661" spans="16:16" x14ac:dyDescent="0.2">
      <c r="P661" s="2"/>
    </row>
    <row r="662" spans="16:16" x14ac:dyDescent="0.2">
      <c r="P662" s="2"/>
    </row>
    <row r="663" spans="16:16" x14ac:dyDescent="0.2">
      <c r="P663" s="2"/>
    </row>
    <row r="664" spans="16:16" x14ac:dyDescent="0.2">
      <c r="P664" s="2"/>
    </row>
    <row r="665" spans="16:16" x14ac:dyDescent="0.2">
      <c r="P665" s="2"/>
    </row>
    <row r="666" spans="16:16" x14ac:dyDescent="0.2">
      <c r="P666" s="2"/>
    </row>
    <row r="667" spans="16:16" x14ac:dyDescent="0.2">
      <c r="P667" s="2"/>
    </row>
    <row r="668" spans="16:16" x14ac:dyDescent="0.2">
      <c r="P668" s="2"/>
    </row>
    <row r="669" spans="16:16" x14ac:dyDescent="0.2">
      <c r="P669" s="2"/>
    </row>
    <row r="670" spans="16:16" x14ac:dyDescent="0.2">
      <c r="P670" s="2"/>
    </row>
    <row r="671" spans="16:16" x14ac:dyDescent="0.2">
      <c r="P671" s="2"/>
    </row>
    <row r="672" spans="16:16" x14ac:dyDescent="0.2">
      <c r="P672" s="2"/>
    </row>
    <row r="673" spans="16:16" x14ac:dyDescent="0.2">
      <c r="P673" s="2"/>
    </row>
    <row r="674" spans="16:16" x14ac:dyDescent="0.2">
      <c r="P674" s="2"/>
    </row>
    <row r="675" spans="16:16" x14ac:dyDescent="0.2">
      <c r="P675" s="2"/>
    </row>
    <row r="676" spans="16:16" x14ac:dyDescent="0.2">
      <c r="P676" s="2"/>
    </row>
    <row r="677" spans="16:16" x14ac:dyDescent="0.2">
      <c r="P677" s="2"/>
    </row>
    <row r="678" spans="16:16" x14ac:dyDescent="0.2">
      <c r="P678" s="2"/>
    </row>
    <row r="679" spans="16:16" x14ac:dyDescent="0.2">
      <c r="P679" s="2"/>
    </row>
    <row r="680" spans="16:16" x14ac:dyDescent="0.2">
      <c r="P680" s="2"/>
    </row>
    <row r="681" spans="16:16" x14ac:dyDescent="0.2">
      <c r="P681" s="2"/>
    </row>
    <row r="682" spans="16:16" x14ac:dyDescent="0.2">
      <c r="P682" s="2"/>
    </row>
    <row r="683" spans="16:16" x14ac:dyDescent="0.2">
      <c r="P683" s="2"/>
    </row>
    <row r="684" spans="16:16" x14ac:dyDescent="0.2">
      <c r="P684" s="2"/>
    </row>
    <row r="685" spans="16:16" x14ac:dyDescent="0.2">
      <c r="P685" s="2"/>
    </row>
    <row r="686" spans="16:16" x14ac:dyDescent="0.2">
      <c r="P686" s="2"/>
    </row>
    <row r="687" spans="16:16" x14ac:dyDescent="0.2">
      <c r="P687" s="2"/>
    </row>
    <row r="688" spans="16:16" x14ac:dyDescent="0.2">
      <c r="P688" s="2"/>
    </row>
    <row r="689" spans="16:16" x14ac:dyDescent="0.2">
      <c r="P689" s="2"/>
    </row>
    <row r="690" spans="16:16" x14ac:dyDescent="0.2">
      <c r="P690" s="2"/>
    </row>
    <row r="691" spans="16:16" x14ac:dyDescent="0.2">
      <c r="P691" s="2"/>
    </row>
    <row r="692" spans="16:16" x14ac:dyDescent="0.2">
      <c r="P692" s="2"/>
    </row>
    <row r="693" spans="16:16" x14ac:dyDescent="0.2">
      <c r="P693" s="2"/>
    </row>
    <row r="694" spans="16:16" x14ac:dyDescent="0.2">
      <c r="P694" s="2"/>
    </row>
    <row r="695" spans="16:16" x14ac:dyDescent="0.2">
      <c r="P695" s="2"/>
    </row>
    <row r="696" spans="16:16" x14ac:dyDescent="0.2">
      <c r="P696" s="2"/>
    </row>
    <row r="697" spans="16:16" x14ac:dyDescent="0.2">
      <c r="P697" s="2"/>
    </row>
    <row r="698" spans="16:16" x14ac:dyDescent="0.2">
      <c r="P698" s="2"/>
    </row>
    <row r="699" spans="16:16" x14ac:dyDescent="0.2">
      <c r="P699" s="2"/>
    </row>
    <row r="700" spans="16:16" x14ac:dyDescent="0.2">
      <c r="P700" s="2"/>
    </row>
    <row r="701" spans="16:16" x14ac:dyDescent="0.2">
      <c r="P701" s="2"/>
    </row>
    <row r="702" spans="16:16" x14ac:dyDescent="0.2">
      <c r="P702" s="2"/>
    </row>
    <row r="703" spans="16:16" x14ac:dyDescent="0.2">
      <c r="P703" s="2"/>
    </row>
    <row r="704" spans="16:16" x14ac:dyDescent="0.2">
      <c r="P704" s="2"/>
    </row>
    <row r="705" spans="16:16" x14ac:dyDescent="0.2">
      <c r="P705" s="2"/>
    </row>
    <row r="706" spans="16:16" x14ac:dyDescent="0.2">
      <c r="P706" s="2"/>
    </row>
    <row r="707" spans="16:16" x14ac:dyDescent="0.2">
      <c r="P707" s="2"/>
    </row>
    <row r="708" spans="16:16" x14ac:dyDescent="0.2">
      <c r="P708" s="2"/>
    </row>
    <row r="709" spans="16:16" x14ac:dyDescent="0.2">
      <c r="P709" s="2"/>
    </row>
    <row r="710" spans="16:16" x14ac:dyDescent="0.2">
      <c r="P710" s="2"/>
    </row>
    <row r="711" spans="16:16" x14ac:dyDescent="0.2">
      <c r="P711" s="2"/>
    </row>
    <row r="712" spans="16:16" x14ac:dyDescent="0.2">
      <c r="P712" s="2"/>
    </row>
    <row r="713" spans="16:16" x14ac:dyDescent="0.2">
      <c r="P713" s="2"/>
    </row>
    <row r="714" spans="16:16" x14ac:dyDescent="0.2">
      <c r="P714" s="2"/>
    </row>
    <row r="715" spans="16:16" x14ac:dyDescent="0.2">
      <c r="P715" s="2"/>
    </row>
    <row r="716" spans="16:16" x14ac:dyDescent="0.2">
      <c r="P716" s="2"/>
    </row>
    <row r="717" spans="16:16" x14ac:dyDescent="0.2">
      <c r="P717" s="2"/>
    </row>
    <row r="718" spans="16:16" x14ac:dyDescent="0.2">
      <c r="P718" s="2"/>
    </row>
    <row r="719" spans="16:16" x14ac:dyDescent="0.2">
      <c r="P719" s="2"/>
    </row>
    <row r="720" spans="16:16" x14ac:dyDescent="0.2">
      <c r="P720" s="2"/>
    </row>
    <row r="721" spans="16:16" x14ac:dyDescent="0.2">
      <c r="P721" s="2"/>
    </row>
    <row r="722" spans="16:16" x14ac:dyDescent="0.2">
      <c r="P722" s="2"/>
    </row>
    <row r="723" spans="16:16" x14ac:dyDescent="0.2">
      <c r="P723" s="2"/>
    </row>
    <row r="724" spans="16:16" x14ac:dyDescent="0.2">
      <c r="P724" s="2"/>
    </row>
    <row r="725" spans="16:16" x14ac:dyDescent="0.2">
      <c r="P725" s="2"/>
    </row>
    <row r="726" spans="16:16" x14ac:dyDescent="0.2">
      <c r="P726" s="2"/>
    </row>
    <row r="727" spans="16:16" x14ac:dyDescent="0.2">
      <c r="P727" s="2"/>
    </row>
    <row r="728" spans="16:16" x14ac:dyDescent="0.2">
      <c r="P728" s="2"/>
    </row>
    <row r="729" spans="16:16" x14ac:dyDescent="0.2">
      <c r="P729" s="2"/>
    </row>
    <row r="730" spans="16:16" x14ac:dyDescent="0.2">
      <c r="P730" s="2"/>
    </row>
    <row r="731" spans="16:16" x14ac:dyDescent="0.2">
      <c r="P731" s="2"/>
    </row>
    <row r="732" spans="16:16" x14ac:dyDescent="0.2">
      <c r="P732" s="2"/>
    </row>
    <row r="733" spans="16:16" x14ac:dyDescent="0.2">
      <c r="P733" s="2"/>
    </row>
    <row r="734" spans="16:16" x14ac:dyDescent="0.2">
      <c r="P734" s="2"/>
    </row>
    <row r="735" spans="16:16" x14ac:dyDescent="0.2">
      <c r="P735" s="2"/>
    </row>
    <row r="736" spans="16:16" x14ac:dyDescent="0.2">
      <c r="P736" s="2"/>
    </row>
    <row r="737" spans="16:16" x14ac:dyDescent="0.2">
      <c r="P737" s="2"/>
    </row>
    <row r="738" spans="16:16" x14ac:dyDescent="0.2">
      <c r="P738" s="2"/>
    </row>
    <row r="739" spans="16:16" x14ac:dyDescent="0.2">
      <c r="P739" s="2"/>
    </row>
    <row r="740" spans="16:16" x14ac:dyDescent="0.2">
      <c r="P740" s="2"/>
    </row>
    <row r="741" spans="16:16" x14ac:dyDescent="0.2">
      <c r="P741" s="2"/>
    </row>
    <row r="742" spans="16:16" x14ac:dyDescent="0.2">
      <c r="P742" s="2"/>
    </row>
    <row r="743" spans="16:16" x14ac:dyDescent="0.2">
      <c r="P743" s="2"/>
    </row>
    <row r="744" spans="16:16" x14ac:dyDescent="0.2">
      <c r="P744" s="2"/>
    </row>
    <row r="745" spans="16:16" x14ac:dyDescent="0.2">
      <c r="P745" s="2"/>
    </row>
    <row r="746" spans="16:16" x14ac:dyDescent="0.2">
      <c r="P746" s="2"/>
    </row>
    <row r="747" spans="16:16" x14ac:dyDescent="0.2">
      <c r="P747" s="2"/>
    </row>
    <row r="748" spans="16:16" x14ac:dyDescent="0.2">
      <c r="P748" s="2"/>
    </row>
    <row r="749" spans="16:16" x14ac:dyDescent="0.2">
      <c r="P749" s="2"/>
    </row>
    <row r="750" spans="16:16" x14ac:dyDescent="0.2">
      <c r="P750" s="2"/>
    </row>
    <row r="751" spans="16:16" x14ac:dyDescent="0.2">
      <c r="P751" s="2"/>
    </row>
    <row r="752" spans="16:16" x14ac:dyDescent="0.2">
      <c r="P752" s="2"/>
    </row>
    <row r="753" spans="16:16" x14ac:dyDescent="0.2">
      <c r="P753" s="2"/>
    </row>
    <row r="754" spans="16:16" x14ac:dyDescent="0.2">
      <c r="P754" s="2"/>
    </row>
    <row r="755" spans="16:16" x14ac:dyDescent="0.2">
      <c r="P755" s="2"/>
    </row>
    <row r="756" spans="16:16" x14ac:dyDescent="0.2">
      <c r="P756" s="2"/>
    </row>
    <row r="757" spans="16:16" x14ac:dyDescent="0.2">
      <c r="P757" s="2"/>
    </row>
    <row r="758" spans="16:16" x14ac:dyDescent="0.2">
      <c r="P758" s="2"/>
    </row>
    <row r="759" spans="16:16" x14ac:dyDescent="0.2">
      <c r="P759" s="2"/>
    </row>
    <row r="760" spans="16:16" x14ac:dyDescent="0.2">
      <c r="P760" s="2"/>
    </row>
    <row r="761" spans="16:16" x14ac:dyDescent="0.2">
      <c r="P761" s="2"/>
    </row>
    <row r="762" spans="16:16" x14ac:dyDescent="0.2">
      <c r="P762" s="2"/>
    </row>
    <row r="763" spans="16:16" x14ac:dyDescent="0.2">
      <c r="P763" s="2"/>
    </row>
    <row r="764" spans="16:16" x14ac:dyDescent="0.2">
      <c r="P764" s="2"/>
    </row>
    <row r="765" spans="16:16" x14ac:dyDescent="0.2">
      <c r="P765" s="2"/>
    </row>
    <row r="766" spans="16:16" x14ac:dyDescent="0.2">
      <c r="P766" s="2"/>
    </row>
    <row r="767" spans="16:16" x14ac:dyDescent="0.2">
      <c r="P767" s="2"/>
    </row>
    <row r="768" spans="16:16" x14ac:dyDescent="0.2">
      <c r="P768" s="2"/>
    </row>
    <row r="769" spans="16:16" x14ac:dyDescent="0.2">
      <c r="P769" s="2"/>
    </row>
    <row r="770" spans="16:16" x14ac:dyDescent="0.2">
      <c r="P770" s="2"/>
    </row>
    <row r="771" spans="16:16" x14ac:dyDescent="0.2">
      <c r="P771" s="2"/>
    </row>
    <row r="772" spans="16:16" x14ac:dyDescent="0.2">
      <c r="P772" s="2"/>
    </row>
    <row r="773" spans="16:16" x14ac:dyDescent="0.2">
      <c r="P773" s="2"/>
    </row>
    <row r="774" spans="16:16" x14ac:dyDescent="0.2">
      <c r="P774" s="2"/>
    </row>
    <row r="775" spans="16:16" x14ac:dyDescent="0.2">
      <c r="P775" s="2"/>
    </row>
    <row r="776" spans="16:16" x14ac:dyDescent="0.2">
      <c r="P776" s="2"/>
    </row>
    <row r="777" spans="16:16" x14ac:dyDescent="0.2">
      <c r="P777" s="2"/>
    </row>
    <row r="778" spans="16:16" x14ac:dyDescent="0.2">
      <c r="P778" s="2"/>
    </row>
    <row r="779" spans="16:16" x14ac:dyDescent="0.2">
      <c r="P779" s="2"/>
    </row>
    <row r="780" spans="16:16" x14ac:dyDescent="0.2">
      <c r="P780" s="2"/>
    </row>
    <row r="781" spans="16:16" x14ac:dyDescent="0.2">
      <c r="P781" s="2"/>
    </row>
    <row r="782" spans="16:16" x14ac:dyDescent="0.2">
      <c r="P782" s="2"/>
    </row>
    <row r="783" spans="16:16" x14ac:dyDescent="0.2">
      <c r="P783" s="2"/>
    </row>
    <row r="784" spans="16:16" x14ac:dyDescent="0.2">
      <c r="P784" s="2"/>
    </row>
    <row r="785" spans="16:16" x14ac:dyDescent="0.2">
      <c r="P785" s="2"/>
    </row>
    <row r="786" spans="16:16" x14ac:dyDescent="0.2">
      <c r="P786" s="2"/>
    </row>
    <row r="787" spans="16:16" x14ac:dyDescent="0.2">
      <c r="P787" s="2"/>
    </row>
    <row r="788" spans="16:16" x14ac:dyDescent="0.2">
      <c r="P788" s="2"/>
    </row>
    <row r="789" spans="16:16" x14ac:dyDescent="0.2">
      <c r="P789" s="2"/>
    </row>
    <row r="790" spans="16:16" x14ac:dyDescent="0.2">
      <c r="P790" s="2"/>
    </row>
    <row r="791" spans="16:16" x14ac:dyDescent="0.2">
      <c r="P791" s="2"/>
    </row>
    <row r="792" spans="16:16" x14ac:dyDescent="0.2">
      <c r="P792" s="2"/>
    </row>
    <row r="793" spans="16:16" x14ac:dyDescent="0.2">
      <c r="P793" s="2"/>
    </row>
    <row r="794" spans="16:16" x14ac:dyDescent="0.2">
      <c r="P794" s="2"/>
    </row>
    <row r="795" spans="16:16" x14ac:dyDescent="0.2">
      <c r="P795" s="2"/>
    </row>
    <row r="796" spans="16:16" x14ac:dyDescent="0.2">
      <c r="P796" s="2"/>
    </row>
    <row r="797" spans="16:16" x14ac:dyDescent="0.2">
      <c r="P797" s="2"/>
    </row>
    <row r="798" spans="16:16" x14ac:dyDescent="0.2">
      <c r="P798" s="2"/>
    </row>
    <row r="799" spans="16:16" x14ac:dyDescent="0.2">
      <c r="P799" s="2"/>
    </row>
    <row r="800" spans="16:16" x14ac:dyDescent="0.2">
      <c r="P800" s="2"/>
    </row>
    <row r="801" spans="16:16" x14ac:dyDescent="0.2">
      <c r="P801" s="2"/>
    </row>
    <row r="802" spans="16:16" x14ac:dyDescent="0.2">
      <c r="P802" s="2"/>
    </row>
    <row r="803" spans="16:16" x14ac:dyDescent="0.2">
      <c r="P803" s="2"/>
    </row>
    <row r="804" spans="16:16" x14ac:dyDescent="0.2">
      <c r="P804" s="2"/>
    </row>
    <row r="805" spans="16:16" x14ac:dyDescent="0.2">
      <c r="P805" s="2"/>
    </row>
    <row r="806" spans="16:16" x14ac:dyDescent="0.2">
      <c r="P806" s="2"/>
    </row>
    <row r="807" spans="16:16" x14ac:dyDescent="0.2">
      <c r="P807" s="2"/>
    </row>
    <row r="808" spans="16:16" x14ac:dyDescent="0.2">
      <c r="P808" s="2"/>
    </row>
    <row r="809" spans="16:16" x14ac:dyDescent="0.2">
      <c r="P809" s="2"/>
    </row>
    <row r="810" spans="16:16" x14ac:dyDescent="0.2">
      <c r="P810" s="2"/>
    </row>
    <row r="811" spans="16:16" x14ac:dyDescent="0.2">
      <c r="P811" s="2"/>
    </row>
    <row r="812" spans="16:16" x14ac:dyDescent="0.2">
      <c r="P812" s="2"/>
    </row>
    <row r="813" spans="16:16" x14ac:dyDescent="0.2">
      <c r="P813" s="2"/>
    </row>
    <row r="814" spans="16:16" x14ac:dyDescent="0.2">
      <c r="P814" s="2"/>
    </row>
    <row r="815" spans="16:16" x14ac:dyDescent="0.2">
      <c r="P815" s="2"/>
    </row>
    <row r="816" spans="16:16" x14ac:dyDescent="0.2">
      <c r="P816" s="2"/>
    </row>
    <row r="817" spans="16:16" x14ac:dyDescent="0.2">
      <c r="P817" s="2"/>
    </row>
    <row r="818" spans="16:16" x14ac:dyDescent="0.2">
      <c r="P818" s="2"/>
    </row>
    <row r="819" spans="16:16" x14ac:dyDescent="0.2">
      <c r="P819" s="2"/>
    </row>
    <row r="820" spans="16:16" x14ac:dyDescent="0.2">
      <c r="P820" s="2"/>
    </row>
    <row r="821" spans="16:16" x14ac:dyDescent="0.2">
      <c r="P821" s="2"/>
    </row>
    <row r="822" spans="16:16" x14ac:dyDescent="0.2">
      <c r="P822" s="2"/>
    </row>
    <row r="823" spans="16:16" x14ac:dyDescent="0.2">
      <c r="P823" s="2"/>
    </row>
    <row r="824" spans="16:16" x14ac:dyDescent="0.2">
      <c r="P824" s="2"/>
    </row>
    <row r="825" spans="16:16" x14ac:dyDescent="0.2">
      <c r="P825" s="2"/>
    </row>
    <row r="826" spans="16:16" x14ac:dyDescent="0.2">
      <c r="P826" s="2"/>
    </row>
    <row r="827" spans="16:16" x14ac:dyDescent="0.2">
      <c r="P827" s="2"/>
    </row>
    <row r="828" spans="16:16" x14ac:dyDescent="0.2">
      <c r="P828" s="2"/>
    </row>
    <row r="829" spans="16:16" x14ac:dyDescent="0.2">
      <c r="P829" s="2"/>
    </row>
    <row r="830" spans="16:16" x14ac:dyDescent="0.2">
      <c r="P830" s="2"/>
    </row>
    <row r="831" spans="16:16" x14ac:dyDescent="0.2">
      <c r="P831" s="2"/>
    </row>
    <row r="832" spans="16:16" x14ac:dyDescent="0.2">
      <c r="P832" s="2"/>
    </row>
    <row r="833" spans="16:16" x14ac:dyDescent="0.2">
      <c r="P833" s="2"/>
    </row>
    <row r="834" spans="16:16" x14ac:dyDescent="0.2">
      <c r="P834" s="2"/>
    </row>
    <row r="835" spans="16:16" x14ac:dyDescent="0.2">
      <c r="P835" s="2"/>
    </row>
    <row r="836" spans="16:16" x14ac:dyDescent="0.2">
      <c r="P836" s="2"/>
    </row>
    <row r="837" spans="16:16" x14ac:dyDescent="0.2">
      <c r="P837" s="2"/>
    </row>
    <row r="838" spans="16:16" x14ac:dyDescent="0.2">
      <c r="P838" s="2"/>
    </row>
    <row r="839" spans="16:16" x14ac:dyDescent="0.2">
      <c r="P839" s="2"/>
    </row>
    <row r="840" spans="16:16" x14ac:dyDescent="0.2">
      <c r="P840" s="2"/>
    </row>
    <row r="841" spans="16:16" x14ac:dyDescent="0.2">
      <c r="P841" s="2"/>
    </row>
    <row r="842" spans="16:16" x14ac:dyDescent="0.2">
      <c r="P842" s="2"/>
    </row>
    <row r="843" spans="16:16" x14ac:dyDescent="0.2">
      <c r="P843" s="2"/>
    </row>
    <row r="844" spans="16:16" x14ac:dyDescent="0.2">
      <c r="P844" s="2"/>
    </row>
    <row r="845" spans="16:16" x14ac:dyDescent="0.2">
      <c r="P845" s="2"/>
    </row>
    <row r="846" spans="16:16" x14ac:dyDescent="0.2">
      <c r="P846" s="2"/>
    </row>
    <row r="847" spans="16:16" x14ac:dyDescent="0.2">
      <c r="P847" s="2"/>
    </row>
    <row r="848" spans="16:16" x14ac:dyDescent="0.2">
      <c r="P848" s="2"/>
    </row>
    <row r="849" spans="16:16" x14ac:dyDescent="0.2">
      <c r="P849" s="2"/>
    </row>
    <row r="850" spans="16:16" x14ac:dyDescent="0.2">
      <c r="P850" s="2"/>
    </row>
    <row r="851" spans="16:16" x14ac:dyDescent="0.2">
      <c r="P851" s="2"/>
    </row>
    <row r="852" spans="16:16" x14ac:dyDescent="0.2">
      <c r="P852" s="2"/>
    </row>
    <row r="853" spans="16:16" x14ac:dyDescent="0.2">
      <c r="P853" s="2"/>
    </row>
    <row r="854" spans="16:16" x14ac:dyDescent="0.2">
      <c r="P854" s="2"/>
    </row>
    <row r="855" spans="16:16" x14ac:dyDescent="0.2">
      <c r="P855" s="2"/>
    </row>
    <row r="856" spans="16:16" x14ac:dyDescent="0.2">
      <c r="P856" s="2"/>
    </row>
    <row r="857" spans="16:16" x14ac:dyDescent="0.2">
      <c r="P857" s="2"/>
    </row>
    <row r="858" spans="16:16" x14ac:dyDescent="0.2">
      <c r="P858" s="2"/>
    </row>
    <row r="859" spans="16:16" x14ac:dyDescent="0.2">
      <c r="P859" s="2"/>
    </row>
    <row r="860" spans="16:16" x14ac:dyDescent="0.2">
      <c r="P860" s="2"/>
    </row>
    <row r="861" spans="16:16" x14ac:dyDescent="0.2">
      <c r="P861" s="2"/>
    </row>
    <row r="862" spans="16:16" x14ac:dyDescent="0.2">
      <c r="P862" s="2"/>
    </row>
    <row r="863" spans="16:16" x14ac:dyDescent="0.2">
      <c r="P863" s="2"/>
    </row>
    <row r="864" spans="16:16" x14ac:dyDescent="0.2">
      <c r="P864" s="2"/>
    </row>
    <row r="865" spans="16:16" x14ac:dyDescent="0.2">
      <c r="P865" s="2"/>
    </row>
    <row r="866" spans="16:16" x14ac:dyDescent="0.2">
      <c r="P866" s="2"/>
    </row>
    <row r="867" spans="16:16" x14ac:dyDescent="0.2">
      <c r="P867" s="2"/>
    </row>
    <row r="868" spans="16:16" x14ac:dyDescent="0.2">
      <c r="P868" s="2"/>
    </row>
    <row r="869" spans="16:16" x14ac:dyDescent="0.2">
      <c r="P869" s="2"/>
    </row>
    <row r="870" spans="16:16" x14ac:dyDescent="0.2">
      <c r="P870" s="2"/>
    </row>
    <row r="871" spans="16:16" x14ac:dyDescent="0.2">
      <c r="P871" s="2"/>
    </row>
    <row r="872" spans="16:16" x14ac:dyDescent="0.2">
      <c r="P872" s="2"/>
    </row>
    <row r="873" spans="16:16" x14ac:dyDescent="0.2">
      <c r="P873" s="2"/>
    </row>
    <row r="874" spans="16:16" x14ac:dyDescent="0.2">
      <c r="P874" s="2"/>
    </row>
    <row r="875" spans="16:16" x14ac:dyDescent="0.2">
      <c r="P875" s="2"/>
    </row>
    <row r="876" spans="16:16" x14ac:dyDescent="0.2">
      <c r="P876" s="2"/>
    </row>
    <row r="877" spans="16:16" x14ac:dyDescent="0.2">
      <c r="P877" s="2"/>
    </row>
    <row r="878" spans="16:16" x14ac:dyDescent="0.2">
      <c r="P878" s="2"/>
    </row>
    <row r="879" spans="16:16" x14ac:dyDescent="0.2">
      <c r="P879" s="2"/>
    </row>
    <row r="880" spans="16:16" x14ac:dyDescent="0.2">
      <c r="P880" s="2"/>
    </row>
    <row r="881" spans="16:16" x14ac:dyDescent="0.2">
      <c r="P881" s="2"/>
    </row>
    <row r="882" spans="16:16" x14ac:dyDescent="0.2">
      <c r="P882" s="2"/>
    </row>
    <row r="883" spans="16:16" x14ac:dyDescent="0.2">
      <c r="P883" s="2"/>
    </row>
    <row r="884" spans="16:16" x14ac:dyDescent="0.2">
      <c r="P884" s="2"/>
    </row>
    <row r="885" spans="16:16" x14ac:dyDescent="0.2">
      <c r="P885" s="2"/>
    </row>
    <row r="886" spans="16:16" x14ac:dyDescent="0.2">
      <c r="P886" s="2"/>
    </row>
    <row r="887" spans="16:16" x14ac:dyDescent="0.2">
      <c r="P887" s="2"/>
    </row>
    <row r="888" spans="16:16" x14ac:dyDescent="0.2">
      <c r="P888" s="2"/>
    </row>
    <row r="889" spans="16:16" x14ac:dyDescent="0.2">
      <c r="P889" s="2"/>
    </row>
    <row r="890" spans="16:16" x14ac:dyDescent="0.2">
      <c r="P890" s="2"/>
    </row>
    <row r="891" spans="16:16" x14ac:dyDescent="0.2">
      <c r="P891" s="2"/>
    </row>
    <row r="892" spans="16:16" x14ac:dyDescent="0.2">
      <c r="P892" s="2"/>
    </row>
    <row r="893" spans="16:16" x14ac:dyDescent="0.2">
      <c r="P893" s="2"/>
    </row>
    <row r="894" spans="16:16" x14ac:dyDescent="0.2">
      <c r="P894" s="2"/>
    </row>
    <row r="895" spans="16:16" x14ac:dyDescent="0.2">
      <c r="P895" s="2"/>
    </row>
    <row r="896" spans="16:16" x14ac:dyDescent="0.2">
      <c r="P896" s="2"/>
    </row>
    <row r="897" spans="16:16" x14ac:dyDescent="0.2">
      <c r="P897" s="2"/>
    </row>
    <row r="898" spans="16:16" x14ac:dyDescent="0.2">
      <c r="P898" s="2"/>
    </row>
    <row r="899" spans="16:16" x14ac:dyDescent="0.2">
      <c r="P899" s="2"/>
    </row>
    <row r="900" spans="16:16" x14ac:dyDescent="0.2">
      <c r="P900" s="2"/>
    </row>
    <row r="901" spans="16:16" x14ac:dyDescent="0.2">
      <c r="P901" s="2"/>
    </row>
    <row r="902" spans="16:16" x14ac:dyDescent="0.2">
      <c r="P902" s="2"/>
    </row>
    <row r="903" spans="16:16" x14ac:dyDescent="0.2">
      <c r="P903" s="2"/>
    </row>
    <row r="904" spans="16:16" x14ac:dyDescent="0.2">
      <c r="P904" s="2"/>
    </row>
    <row r="905" spans="16:16" x14ac:dyDescent="0.2">
      <c r="P905" s="2"/>
    </row>
    <row r="906" spans="16:16" x14ac:dyDescent="0.2">
      <c r="P906" s="2"/>
    </row>
    <row r="907" spans="16:16" x14ac:dyDescent="0.2">
      <c r="P907" s="2"/>
    </row>
    <row r="908" spans="16:16" x14ac:dyDescent="0.2">
      <c r="P908" s="2"/>
    </row>
    <row r="909" spans="16:16" x14ac:dyDescent="0.2">
      <c r="P909" s="2"/>
    </row>
    <row r="910" spans="16:16" x14ac:dyDescent="0.2">
      <c r="P910" s="2"/>
    </row>
    <row r="911" spans="16:16" x14ac:dyDescent="0.2">
      <c r="P911" s="2"/>
    </row>
    <row r="912" spans="16:16" x14ac:dyDescent="0.2">
      <c r="P912" s="2"/>
    </row>
    <row r="913" spans="16:16" x14ac:dyDescent="0.2">
      <c r="P913" s="2"/>
    </row>
    <row r="914" spans="16:16" x14ac:dyDescent="0.2">
      <c r="P914" s="2"/>
    </row>
    <row r="915" spans="16:16" x14ac:dyDescent="0.2">
      <c r="P915" s="2"/>
    </row>
    <row r="916" spans="16:16" x14ac:dyDescent="0.2">
      <c r="P916" s="2"/>
    </row>
    <row r="917" spans="16:16" x14ac:dyDescent="0.2">
      <c r="P917" s="2"/>
    </row>
    <row r="918" spans="16:16" x14ac:dyDescent="0.2">
      <c r="P918" s="2"/>
    </row>
    <row r="919" spans="16:16" x14ac:dyDescent="0.2">
      <c r="P919" s="2"/>
    </row>
    <row r="920" spans="16:16" x14ac:dyDescent="0.2">
      <c r="P920" s="2"/>
    </row>
    <row r="921" spans="16:16" x14ac:dyDescent="0.2">
      <c r="P921" s="2"/>
    </row>
    <row r="922" spans="16:16" x14ac:dyDescent="0.2">
      <c r="P922" s="2"/>
    </row>
    <row r="923" spans="16:16" x14ac:dyDescent="0.2">
      <c r="P923" s="2"/>
    </row>
    <row r="924" spans="16:16" x14ac:dyDescent="0.2">
      <c r="P924" s="2"/>
    </row>
    <row r="925" spans="16:16" x14ac:dyDescent="0.2">
      <c r="P925" s="2"/>
    </row>
    <row r="926" spans="16:16" x14ac:dyDescent="0.2">
      <c r="P926" s="2"/>
    </row>
    <row r="927" spans="16:16" x14ac:dyDescent="0.2">
      <c r="P927" s="2"/>
    </row>
    <row r="928" spans="16:16" x14ac:dyDescent="0.2">
      <c r="P928" s="2"/>
    </row>
    <row r="929" spans="16:16" x14ac:dyDescent="0.2">
      <c r="P929" s="2"/>
    </row>
    <row r="930" spans="16:16" x14ac:dyDescent="0.2">
      <c r="P930" s="2"/>
    </row>
    <row r="931" spans="16:16" x14ac:dyDescent="0.2">
      <c r="P931" s="2"/>
    </row>
    <row r="932" spans="16:16" x14ac:dyDescent="0.2">
      <c r="P932" s="2"/>
    </row>
    <row r="933" spans="16:16" x14ac:dyDescent="0.2">
      <c r="P933" s="2"/>
    </row>
    <row r="934" spans="16:16" x14ac:dyDescent="0.2">
      <c r="P934" s="2"/>
    </row>
    <row r="935" spans="16:16" x14ac:dyDescent="0.2">
      <c r="P935" s="2"/>
    </row>
    <row r="936" spans="16:16" x14ac:dyDescent="0.2">
      <c r="P936" s="2"/>
    </row>
    <row r="937" spans="16:16" x14ac:dyDescent="0.2">
      <c r="P937" s="2"/>
    </row>
    <row r="938" spans="16:16" x14ac:dyDescent="0.2">
      <c r="P938" s="2"/>
    </row>
    <row r="939" spans="16:16" x14ac:dyDescent="0.2">
      <c r="P939" s="2"/>
    </row>
    <row r="940" spans="16:16" x14ac:dyDescent="0.2">
      <c r="P940" s="2"/>
    </row>
    <row r="941" spans="16:16" x14ac:dyDescent="0.2">
      <c r="P941" s="2"/>
    </row>
    <row r="942" spans="16:16" x14ac:dyDescent="0.2">
      <c r="P942" s="2"/>
    </row>
    <row r="943" spans="16:16" x14ac:dyDescent="0.2">
      <c r="P943" s="2"/>
    </row>
    <row r="944" spans="16:16" x14ac:dyDescent="0.2">
      <c r="P944" s="2"/>
    </row>
    <row r="945" spans="16:16" x14ac:dyDescent="0.2">
      <c r="P945" s="2"/>
    </row>
    <row r="946" spans="16:16" x14ac:dyDescent="0.2">
      <c r="P946" s="2"/>
    </row>
    <row r="947" spans="16:16" x14ac:dyDescent="0.2">
      <c r="P947" s="2"/>
    </row>
    <row r="948" spans="16:16" x14ac:dyDescent="0.2">
      <c r="P948" s="2"/>
    </row>
    <row r="949" spans="16:16" x14ac:dyDescent="0.2">
      <c r="P949" s="2"/>
    </row>
    <row r="950" spans="16:16" x14ac:dyDescent="0.2">
      <c r="P950" s="2"/>
    </row>
    <row r="951" spans="16:16" x14ac:dyDescent="0.2">
      <c r="P951" s="2"/>
    </row>
    <row r="952" spans="16:16" x14ac:dyDescent="0.2">
      <c r="P952" s="2"/>
    </row>
    <row r="953" spans="16:16" x14ac:dyDescent="0.2">
      <c r="P953" s="2"/>
    </row>
    <row r="954" spans="16:16" x14ac:dyDescent="0.2">
      <c r="P954" s="2"/>
    </row>
    <row r="955" spans="16:16" x14ac:dyDescent="0.2">
      <c r="P955" s="2"/>
    </row>
    <row r="956" spans="16:16" x14ac:dyDescent="0.2">
      <c r="P956" s="2"/>
    </row>
    <row r="957" spans="16:16" x14ac:dyDescent="0.2">
      <c r="P957" s="2"/>
    </row>
    <row r="958" spans="16:16" x14ac:dyDescent="0.2">
      <c r="P958" s="2"/>
    </row>
    <row r="959" spans="16:16" x14ac:dyDescent="0.2">
      <c r="P959" s="2"/>
    </row>
    <row r="960" spans="16:16" x14ac:dyDescent="0.2">
      <c r="P960" s="2"/>
    </row>
    <row r="961" spans="16:16" x14ac:dyDescent="0.2">
      <c r="P961" s="2"/>
    </row>
    <row r="962" spans="16:16" x14ac:dyDescent="0.2">
      <c r="P962" s="2"/>
    </row>
    <row r="963" spans="16:16" x14ac:dyDescent="0.2">
      <c r="P963" s="2"/>
    </row>
    <row r="964" spans="16:16" x14ac:dyDescent="0.2">
      <c r="P964" s="2"/>
    </row>
    <row r="965" spans="16:16" x14ac:dyDescent="0.2">
      <c r="P965" s="2"/>
    </row>
    <row r="966" spans="16:16" x14ac:dyDescent="0.2">
      <c r="P966" s="2"/>
    </row>
    <row r="967" spans="16:16" x14ac:dyDescent="0.2">
      <c r="P967" s="2"/>
    </row>
    <row r="968" spans="16:16" x14ac:dyDescent="0.2">
      <c r="P968" s="2"/>
    </row>
    <row r="969" spans="16:16" x14ac:dyDescent="0.2">
      <c r="P969" s="2"/>
    </row>
    <row r="970" spans="16:16" x14ac:dyDescent="0.2">
      <c r="P970" s="2"/>
    </row>
    <row r="971" spans="16:16" x14ac:dyDescent="0.2">
      <c r="P971" s="2"/>
    </row>
    <row r="972" spans="16:16" x14ac:dyDescent="0.2">
      <c r="P972" s="2"/>
    </row>
    <row r="973" spans="16:16" x14ac:dyDescent="0.2">
      <c r="P973" s="2"/>
    </row>
    <row r="974" spans="16:16" x14ac:dyDescent="0.2">
      <c r="P974" s="2"/>
    </row>
    <row r="975" spans="16:16" x14ac:dyDescent="0.2">
      <c r="P975" s="2"/>
    </row>
    <row r="976" spans="16:16" x14ac:dyDescent="0.2">
      <c r="P976" s="2"/>
    </row>
    <row r="977" spans="16:16" x14ac:dyDescent="0.2">
      <c r="P977" s="2"/>
    </row>
    <row r="978" spans="16:16" x14ac:dyDescent="0.2">
      <c r="P978" s="2"/>
    </row>
    <row r="979" spans="16:16" x14ac:dyDescent="0.2">
      <c r="P979" s="2"/>
    </row>
    <row r="980" spans="16:16" x14ac:dyDescent="0.2">
      <c r="P980" s="2"/>
    </row>
    <row r="981" spans="16:16" x14ac:dyDescent="0.2">
      <c r="P981" s="2"/>
    </row>
    <row r="982" spans="16:16" x14ac:dyDescent="0.2">
      <c r="P982" s="2"/>
    </row>
    <row r="983" spans="16:16" x14ac:dyDescent="0.2">
      <c r="P983" s="2"/>
    </row>
    <row r="984" spans="16:16" x14ac:dyDescent="0.2">
      <c r="P984" s="2"/>
    </row>
    <row r="985" spans="16:16" x14ac:dyDescent="0.2">
      <c r="P985" s="2"/>
    </row>
    <row r="986" spans="16:16" x14ac:dyDescent="0.2">
      <c r="P986" s="2"/>
    </row>
    <row r="987" spans="16:16" x14ac:dyDescent="0.2">
      <c r="P987" s="2"/>
    </row>
    <row r="988" spans="16:16" x14ac:dyDescent="0.2">
      <c r="P988" s="2"/>
    </row>
    <row r="989" spans="16:16" x14ac:dyDescent="0.2">
      <c r="P989" s="2"/>
    </row>
    <row r="990" spans="16:16" x14ac:dyDescent="0.2">
      <c r="P990" s="2"/>
    </row>
    <row r="991" spans="16:16" x14ac:dyDescent="0.2">
      <c r="P991" s="2"/>
    </row>
    <row r="992" spans="16:16" x14ac:dyDescent="0.2">
      <c r="P992" s="2"/>
    </row>
    <row r="993" spans="16:16" x14ac:dyDescent="0.2">
      <c r="P993" s="2"/>
    </row>
    <row r="994" spans="16:16" x14ac:dyDescent="0.2">
      <c r="P994" s="2"/>
    </row>
    <row r="995" spans="16:16" x14ac:dyDescent="0.2">
      <c r="P995" s="2"/>
    </row>
    <row r="996" spans="16:16" x14ac:dyDescent="0.2">
      <c r="P996" s="2"/>
    </row>
    <row r="997" spans="16:16" x14ac:dyDescent="0.2">
      <c r="P997" s="2"/>
    </row>
    <row r="998" spans="16:16" x14ac:dyDescent="0.2">
      <c r="P998" s="2"/>
    </row>
    <row r="999" spans="16:16" x14ac:dyDescent="0.2">
      <c r="P999" s="2"/>
    </row>
    <row r="1000" spans="16:16" x14ac:dyDescent="0.2">
      <c r="P1000" s="2"/>
    </row>
    <row r="1001" spans="16:16" x14ac:dyDescent="0.2">
      <c r="P1001" s="2"/>
    </row>
    <row r="1002" spans="16:16" x14ac:dyDescent="0.2">
      <c r="P1002" s="2"/>
    </row>
    <row r="1003" spans="16:16" x14ac:dyDescent="0.2">
      <c r="P1003" s="2"/>
    </row>
    <row r="1004" spans="16:16" x14ac:dyDescent="0.2">
      <c r="P1004" s="2"/>
    </row>
    <row r="1005" spans="16:16" x14ac:dyDescent="0.2">
      <c r="P1005" s="2"/>
    </row>
    <row r="1006" spans="16:16" x14ac:dyDescent="0.2">
      <c r="P1006" s="2"/>
    </row>
    <row r="1007" spans="16:16" x14ac:dyDescent="0.2">
      <c r="P1007" s="2"/>
    </row>
    <row r="1008" spans="16:16" x14ac:dyDescent="0.2">
      <c r="P1008" s="2"/>
    </row>
    <row r="1009" spans="16:16" x14ac:dyDescent="0.2">
      <c r="P1009" s="2"/>
    </row>
    <row r="1010" spans="16:16" x14ac:dyDescent="0.2">
      <c r="P1010" s="2"/>
    </row>
    <row r="1011" spans="16:16" x14ac:dyDescent="0.2">
      <c r="P1011" s="2"/>
    </row>
    <row r="1012" spans="16:16" x14ac:dyDescent="0.2">
      <c r="P1012" s="2"/>
    </row>
    <row r="1013" spans="16:16" x14ac:dyDescent="0.2">
      <c r="P1013" s="2"/>
    </row>
    <row r="1014" spans="16:16" x14ac:dyDescent="0.2">
      <c r="P1014" s="2"/>
    </row>
    <row r="1015" spans="16:16" x14ac:dyDescent="0.2">
      <c r="P1015" s="2"/>
    </row>
    <row r="1016" spans="16:16" x14ac:dyDescent="0.2">
      <c r="P1016" s="2"/>
    </row>
    <row r="1017" spans="16:16" x14ac:dyDescent="0.2">
      <c r="P1017" s="2"/>
    </row>
    <row r="1018" spans="16:16" x14ac:dyDescent="0.2">
      <c r="P1018" s="2"/>
    </row>
    <row r="1019" spans="16:16" x14ac:dyDescent="0.2">
      <c r="P1019" s="2"/>
    </row>
    <row r="1020" spans="16:16" x14ac:dyDescent="0.2">
      <c r="P1020" s="2"/>
    </row>
    <row r="1021" spans="16:16" x14ac:dyDescent="0.2">
      <c r="P1021" s="2"/>
    </row>
    <row r="1022" spans="16:16" x14ac:dyDescent="0.2">
      <c r="P1022" s="2"/>
    </row>
    <row r="1023" spans="16:16" x14ac:dyDescent="0.2">
      <c r="P1023" s="2"/>
    </row>
    <row r="1024" spans="16:16" x14ac:dyDescent="0.2">
      <c r="P1024" s="2"/>
    </row>
    <row r="1025" spans="16:16" x14ac:dyDescent="0.2">
      <c r="P1025" s="2"/>
    </row>
    <row r="1026" spans="16:16" x14ac:dyDescent="0.2">
      <c r="P1026" s="2"/>
    </row>
    <row r="1027" spans="16:16" x14ac:dyDescent="0.2">
      <c r="P1027" s="2"/>
    </row>
    <row r="1028" spans="16:16" x14ac:dyDescent="0.2">
      <c r="P1028" s="2"/>
    </row>
    <row r="1029" spans="16:16" x14ac:dyDescent="0.2">
      <c r="P1029" s="2"/>
    </row>
    <row r="1030" spans="16:16" x14ac:dyDescent="0.2">
      <c r="P1030" s="2"/>
    </row>
    <row r="1031" spans="16:16" x14ac:dyDescent="0.2">
      <c r="P1031" s="2"/>
    </row>
    <row r="1032" spans="16:16" x14ac:dyDescent="0.2">
      <c r="P1032" s="2"/>
    </row>
    <row r="1033" spans="16:16" x14ac:dyDescent="0.2">
      <c r="P1033" s="2"/>
    </row>
    <row r="1034" spans="16:16" x14ac:dyDescent="0.2">
      <c r="P1034" s="2"/>
    </row>
    <row r="1035" spans="16:16" x14ac:dyDescent="0.2">
      <c r="P1035" s="2"/>
    </row>
    <row r="1036" spans="16:16" x14ac:dyDescent="0.2">
      <c r="P1036" s="2"/>
    </row>
    <row r="1037" spans="16:16" x14ac:dyDescent="0.2">
      <c r="P1037" s="2"/>
    </row>
    <row r="1038" spans="16:16" x14ac:dyDescent="0.2">
      <c r="P1038" s="2"/>
    </row>
    <row r="1039" spans="16:16" x14ac:dyDescent="0.2">
      <c r="P1039" s="2"/>
    </row>
    <row r="1040" spans="16:16" x14ac:dyDescent="0.2">
      <c r="P1040" s="2"/>
    </row>
    <row r="1041" spans="16:16" x14ac:dyDescent="0.2">
      <c r="P1041" s="2"/>
    </row>
    <row r="1042" spans="16:16" x14ac:dyDescent="0.2">
      <c r="P1042" s="2"/>
    </row>
    <row r="1043" spans="16:16" x14ac:dyDescent="0.2">
      <c r="P1043" s="2"/>
    </row>
    <row r="1044" spans="16:16" x14ac:dyDescent="0.2">
      <c r="P1044" s="2"/>
    </row>
    <row r="1045" spans="16:16" x14ac:dyDescent="0.2">
      <c r="P1045" s="2"/>
    </row>
    <row r="1046" spans="16:16" x14ac:dyDescent="0.2">
      <c r="P1046" s="2"/>
    </row>
    <row r="1047" spans="16:16" x14ac:dyDescent="0.2">
      <c r="P1047" s="2"/>
    </row>
    <row r="1048" spans="16:16" x14ac:dyDescent="0.2">
      <c r="P1048" s="2"/>
    </row>
    <row r="1049" spans="16:16" x14ac:dyDescent="0.2">
      <c r="P1049" s="2"/>
    </row>
    <row r="1050" spans="16:16" x14ac:dyDescent="0.2">
      <c r="P1050" s="2"/>
    </row>
    <row r="1051" spans="16:16" x14ac:dyDescent="0.2">
      <c r="P1051" s="2"/>
    </row>
    <row r="1052" spans="16:16" x14ac:dyDescent="0.2">
      <c r="P1052" s="2"/>
    </row>
    <row r="1053" spans="16:16" x14ac:dyDescent="0.2">
      <c r="P1053" s="2"/>
    </row>
    <row r="1054" spans="16:16" x14ac:dyDescent="0.2">
      <c r="P1054" s="2"/>
    </row>
    <row r="1055" spans="16:16" x14ac:dyDescent="0.2">
      <c r="P1055" s="2"/>
    </row>
    <row r="1056" spans="16:16" x14ac:dyDescent="0.2">
      <c r="P1056" s="2"/>
    </row>
    <row r="1057" spans="16:16" x14ac:dyDescent="0.2">
      <c r="P1057" s="2"/>
    </row>
    <row r="1058" spans="16:16" x14ac:dyDescent="0.2">
      <c r="P1058" s="2"/>
    </row>
    <row r="1059" spans="16:16" x14ac:dyDescent="0.2">
      <c r="P1059" s="2"/>
    </row>
    <row r="1060" spans="16:16" x14ac:dyDescent="0.2">
      <c r="P1060" s="2"/>
    </row>
    <row r="1061" spans="16:16" x14ac:dyDescent="0.2">
      <c r="P1061" s="2"/>
    </row>
    <row r="1062" spans="16:16" x14ac:dyDescent="0.2">
      <c r="P1062" s="2"/>
    </row>
    <row r="1063" spans="16:16" x14ac:dyDescent="0.2">
      <c r="P1063" s="2"/>
    </row>
    <row r="1064" spans="16:16" x14ac:dyDescent="0.2">
      <c r="P1064" s="2"/>
    </row>
    <row r="1065" spans="16:16" x14ac:dyDescent="0.2">
      <c r="P1065" s="2"/>
    </row>
    <row r="1066" spans="16:16" x14ac:dyDescent="0.2">
      <c r="P1066" s="2"/>
    </row>
    <row r="1067" spans="16:16" x14ac:dyDescent="0.2">
      <c r="P1067" s="2"/>
    </row>
    <row r="1068" spans="16:16" x14ac:dyDescent="0.2">
      <c r="P1068" s="2"/>
    </row>
    <row r="1069" spans="16:16" x14ac:dyDescent="0.2">
      <c r="P1069" s="2"/>
    </row>
    <row r="1070" spans="16:16" x14ac:dyDescent="0.2">
      <c r="P1070" s="2"/>
    </row>
    <row r="1071" spans="16:16" x14ac:dyDescent="0.2">
      <c r="P1071" s="2"/>
    </row>
    <row r="1072" spans="16:16" x14ac:dyDescent="0.2">
      <c r="P1072" s="2"/>
    </row>
    <row r="1073" spans="16:16" x14ac:dyDescent="0.2">
      <c r="P1073" s="2"/>
    </row>
    <row r="1074" spans="16:16" x14ac:dyDescent="0.2">
      <c r="P1074" s="2"/>
    </row>
    <row r="1075" spans="16:16" x14ac:dyDescent="0.2">
      <c r="P1075" s="2"/>
    </row>
    <row r="1076" spans="16:16" x14ac:dyDescent="0.2">
      <c r="P1076" s="2"/>
    </row>
    <row r="1077" spans="16:16" x14ac:dyDescent="0.2">
      <c r="P1077" s="2"/>
    </row>
    <row r="1078" spans="16:16" x14ac:dyDescent="0.2">
      <c r="P1078" s="2"/>
    </row>
    <row r="1079" spans="16:16" x14ac:dyDescent="0.2">
      <c r="P1079" s="2"/>
    </row>
    <row r="1080" spans="16:16" x14ac:dyDescent="0.2">
      <c r="P1080" s="2"/>
    </row>
    <row r="1081" spans="16:16" x14ac:dyDescent="0.2">
      <c r="P1081" s="2"/>
    </row>
    <row r="1082" spans="16:16" x14ac:dyDescent="0.2">
      <c r="P1082" s="2"/>
    </row>
    <row r="1083" spans="16:16" x14ac:dyDescent="0.2">
      <c r="P1083" s="2"/>
    </row>
    <row r="1084" spans="16:16" x14ac:dyDescent="0.2">
      <c r="P1084" s="2"/>
    </row>
    <row r="1085" spans="16:16" x14ac:dyDescent="0.2">
      <c r="P1085" s="2"/>
    </row>
    <row r="1086" spans="16:16" x14ac:dyDescent="0.2">
      <c r="P1086" s="2"/>
    </row>
    <row r="1087" spans="16:16" x14ac:dyDescent="0.2">
      <c r="P1087" s="2"/>
    </row>
    <row r="1088" spans="16:16" x14ac:dyDescent="0.2">
      <c r="P1088" s="2"/>
    </row>
    <row r="1089" spans="16:16" x14ac:dyDescent="0.2">
      <c r="P1089" s="2"/>
    </row>
    <row r="1090" spans="16:16" x14ac:dyDescent="0.2">
      <c r="P1090" s="2"/>
    </row>
    <row r="1091" spans="16:16" x14ac:dyDescent="0.2">
      <c r="P1091" s="2"/>
    </row>
    <row r="1092" spans="16:16" x14ac:dyDescent="0.2">
      <c r="P1092" s="2"/>
    </row>
    <row r="1093" spans="16:16" x14ac:dyDescent="0.2">
      <c r="P1093" s="2"/>
    </row>
    <row r="1094" spans="16:16" x14ac:dyDescent="0.2">
      <c r="P1094" s="2"/>
    </row>
    <row r="1095" spans="16:16" x14ac:dyDescent="0.2">
      <c r="P1095" s="2"/>
    </row>
    <row r="1096" spans="16:16" x14ac:dyDescent="0.2">
      <c r="P1096" s="2"/>
    </row>
    <row r="1097" spans="16:16" x14ac:dyDescent="0.2">
      <c r="P1097" s="2"/>
    </row>
    <row r="1098" spans="16:16" x14ac:dyDescent="0.2">
      <c r="P1098" s="2"/>
    </row>
    <row r="1099" spans="16:16" x14ac:dyDescent="0.2">
      <c r="P1099" s="2"/>
    </row>
    <row r="1100" spans="16:16" x14ac:dyDescent="0.2">
      <c r="P1100" s="2"/>
    </row>
    <row r="1101" spans="16:16" x14ac:dyDescent="0.2">
      <c r="P1101" s="2"/>
    </row>
    <row r="1102" spans="16:16" x14ac:dyDescent="0.2">
      <c r="P1102" s="2"/>
    </row>
    <row r="1103" spans="16:16" x14ac:dyDescent="0.2">
      <c r="P1103" s="2"/>
    </row>
    <row r="1104" spans="16:16" x14ac:dyDescent="0.2">
      <c r="P1104" s="2"/>
    </row>
    <row r="1105" spans="16:16" x14ac:dyDescent="0.2">
      <c r="P1105" s="2"/>
    </row>
    <row r="1106" spans="16:16" x14ac:dyDescent="0.2">
      <c r="P1106" s="2"/>
    </row>
    <row r="1107" spans="16:16" x14ac:dyDescent="0.2">
      <c r="P1107" s="2"/>
    </row>
    <row r="1108" spans="16:16" x14ac:dyDescent="0.2">
      <c r="P1108" s="2"/>
    </row>
    <row r="1109" spans="16:16" x14ac:dyDescent="0.2">
      <c r="P1109" s="2"/>
    </row>
    <row r="1110" spans="16:16" x14ac:dyDescent="0.2">
      <c r="P1110" s="2"/>
    </row>
    <row r="1111" spans="16:16" x14ac:dyDescent="0.2">
      <c r="P1111" s="2"/>
    </row>
    <row r="1112" spans="16:16" x14ac:dyDescent="0.2">
      <c r="P1112" s="2"/>
    </row>
    <row r="1113" spans="16:16" x14ac:dyDescent="0.2">
      <c r="P1113" s="2"/>
    </row>
    <row r="1114" spans="16:16" x14ac:dyDescent="0.2">
      <c r="P1114" s="2"/>
    </row>
    <row r="1115" spans="16:16" x14ac:dyDescent="0.2">
      <c r="P1115" s="2"/>
    </row>
    <row r="1116" spans="16:16" x14ac:dyDescent="0.2">
      <c r="P1116" s="2"/>
    </row>
    <row r="1117" spans="16:16" x14ac:dyDescent="0.2">
      <c r="P1117" s="2"/>
    </row>
    <row r="1118" spans="16:16" x14ac:dyDescent="0.2">
      <c r="P1118" s="2"/>
    </row>
    <row r="1119" spans="16:16" x14ac:dyDescent="0.2">
      <c r="P1119" s="2"/>
    </row>
    <row r="1120" spans="16:16" x14ac:dyDescent="0.2">
      <c r="P1120" s="2"/>
    </row>
    <row r="1121" spans="16:16" x14ac:dyDescent="0.2">
      <c r="P1121" s="2"/>
    </row>
    <row r="1122" spans="16:16" x14ac:dyDescent="0.2">
      <c r="P1122" s="2"/>
    </row>
    <row r="1123" spans="16:16" x14ac:dyDescent="0.2">
      <c r="P1123" s="2"/>
    </row>
    <row r="1124" spans="16:16" x14ac:dyDescent="0.2">
      <c r="P1124" s="2"/>
    </row>
    <row r="1125" spans="16:16" x14ac:dyDescent="0.2">
      <c r="P1125" s="2"/>
    </row>
    <row r="1126" spans="16:16" x14ac:dyDescent="0.2">
      <c r="P1126" s="2"/>
    </row>
    <row r="1127" spans="16:16" x14ac:dyDescent="0.2">
      <c r="P1127" s="2"/>
    </row>
    <row r="1128" spans="16:16" x14ac:dyDescent="0.2">
      <c r="P1128" s="2"/>
    </row>
    <row r="1129" spans="16:16" x14ac:dyDescent="0.2">
      <c r="P1129" s="2"/>
    </row>
    <row r="1130" spans="16:16" x14ac:dyDescent="0.2">
      <c r="P1130" s="2"/>
    </row>
    <row r="1131" spans="16:16" x14ac:dyDescent="0.2">
      <c r="P1131" s="2"/>
    </row>
    <row r="1132" spans="16:16" x14ac:dyDescent="0.2">
      <c r="P1132" s="2"/>
    </row>
    <row r="1133" spans="16:16" x14ac:dyDescent="0.2">
      <c r="P1133" s="2"/>
    </row>
    <row r="1134" spans="16:16" x14ac:dyDescent="0.2">
      <c r="P1134" s="2"/>
    </row>
    <row r="1135" spans="16:16" x14ac:dyDescent="0.2">
      <c r="P1135" s="2"/>
    </row>
    <row r="1136" spans="16:16" x14ac:dyDescent="0.2">
      <c r="P1136" s="2"/>
    </row>
    <row r="1137" spans="16:16" x14ac:dyDescent="0.2">
      <c r="P1137" s="2"/>
    </row>
    <row r="1138" spans="16:16" x14ac:dyDescent="0.2">
      <c r="P1138" s="2"/>
    </row>
    <row r="1139" spans="16:16" x14ac:dyDescent="0.2">
      <c r="P1139" s="2"/>
    </row>
    <row r="1140" spans="16:16" x14ac:dyDescent="0.2">
      <c r="P1140" s="2"/>
    </row>
    <row r="1141" spans="16:16" x14ac:dyDescent="0.2">
      <c r="P1141" s="2"/>
    </row>
    <row r="1142" spans="16:16" x14ac:dyDescent="0.2">
      <c r="P1142" s="2"/>
    </row>
    <row r="1143" spans="16:16" x14ac:dyDescent="0.2">
      <c r="P1143" s="2"/>
    </row>
    <row r="1144" spans="16:16" x14ac:dyDescent="0.2">
      <c r="P1144" s="2"/>
    </row>
    <row r="1145" spans="16:16" x14ac:dyDescent="0.2">
      <c r="P1145" s="2"/>
    </row>
    <row r="1146" spans="16:16" x14ac:dyDescent="0.2">
      <c r="P1146" s="2"/>
    </row>
    <row r="1147" spans="16:16" x14ac:dyDescent="0.2">
      <c r="P1147" s="2"/>
    </row>
    <row r="1148" spans="16:16" x14ac:dyDescent="0.2">
      <c r="P1148" s="2"/>
    </row>
    <row r="1149" spans="16:16" x14ac:dyDescent="0.2">
      <c r="P1149" s="2"/>
    </row>
    <row r="1150" spans="16:16" x14ac:dyDescent="0.2">
      <c r="P1150" s="2"/>
    </row>
    <row r="1151" spans="16:16" x14ac:dyDescent="0.2">
      <c r="P1151" s="2"/>
    </row>
    <row r="1152" spans="16:16" x14ac:dyDescent="0.2">
      <c r="P1152" s="2"/>
    </row>
    <row r="1153" spans="16:16" x14ac:dyDescent="0.2">
      <c r="P1153" s="2"/>
    </row>
    <row r="1154" spans="16:16" x14ac:dyDescent="0.2">
      <c r="P1154" s="2"/>
    </row>
    <row r="1155" spans="16:16" x14ac:dyDescent="0.2">
      <c r="P1155" s="2"/>
    </row>
    <row r="1156" spans="16:16" x14ac:dyDescent="0.2">
      <c r="P1156" s="2"/>
    </row>
    <row r="1157" spans="16:16" x14ac:dyDescent="0.2">
      <c r="P1157" s="2"/>
    </row>
    <row r="1158" spans="16:16" x14ac:dyDescent="0.2">
      <c r="P1158" s="2"/>
    </row>
    <row r="1159" spans="16:16" x14ac:dyDescent="0.2">
      <c r="P1159" s="2"/>
    </row>
    <row r="1160" spans="16:16" x14ac:dyDescent="0.2">
      <c r="P1160" s="2"/>
    </row>
    <row r="1161" spans="16:16" x14ac:dyDescent="0.2">
      <c r="P1161" s="2"/>
    </row>
    <row r="1162" spans="16:16" x14ac:dyDescent="0.2">
      <c r="P1162" s="2"/>
    </row>
    <row r="1163" spans="16:16" x14ac:dyDescent="0.2">
      <c r="P1163" s="2"/>
    </row>
    <row r="1164" spans="16:16" x14ac:dyDescent="0.2">
      <c r="P1164" s="2"/>
    </row>
    <row r="1165" spans="16:16" x14ac:dyDescent="0.2">
      <c r="P1165" s="2"/>
    </row>
    <row r="1166" spans="16:16" x14ac:dyDescent="0.2">
      <c r="P1166" s="2"/>
    </row>
    <row r="1167" spans="16:16" x14ac:dyDescent="0.2">
      <c r="P1167" s="2"/>
    </row>
    <row r="1168" spans="16:16" x14ac:dyDescent="0.2">
      <c r="P1168" s="2"/>
    </row>
    <row r="1169" spans="16:16" x14ac:dyDescent="0.2">
      <c r="P1169" s="2"/>
    </row>
    <row r="1170" spans="16:16" x14ac:dyDescent="0.2">
      <c r="P1170" s="2"/>
    </row>
    <row r="1171" spans="16:16" x14ac:dyDescent="0.2">
      <c r="P1171" s="2"/>
    </row>
    <row r="1172" spans="16:16" x14ac:dyDescent="0.2">
      <c r="P1172" s="2"/>
    </row>
    <row r="1173" spans="16:16" x14ac:dyDescent="0.2">
      <c r="P1173" s="2"/>
    </row>
    <row r="1174" spans="16:16" x14ac:dyDescent="0.2">
      <c r="P1174" s="2"/>
    </row>
    <row r="1175" spans="16:16" x14ac:dyDescent="0.2">
      <c r="P1175" s="2"/>
    </row>
    <row r="1176" spans="16:16" x14ac:dyDescent="0.2">
      <c r="P1176" s="2"/>
    </row>
    <row r="1177" spans="16:16" x14ac:dyDescent="0.2">
      <c r="P1177" s="2"/>
    </row>
    <row r="1178" spans="16:16" x14ac:dyDescent="0.2">
      <c r="P1178" s="2"/>
    </row>
    <row r="1179" spans="16:16" x14ac:dyDescent="0.2">
      <c r="P1179" s="2"/>
    </row>
    <row r="1180" spans="16:16" x14ac:dyDescent="0.2">
      <c r="P1180" s="2"/>
    </row>
    <row r="1181" spans="16:16" x14ac:dyDescent="0.2">
      <c r="P1181" s="2"/>
    </row>
    <row r="1182" spans="16:16" x14ac:dyDescent="0.2">
      <c r="P1182" s="2"/>
    </row>
    <row r="1183" spans="16:16" x14ac:dyDescent="0.2">
      <c r="P1183" s="2"/>
    </row>
    <row r="1184" spans="16:16" x14ac:dyDescent="0.2">
      <c r="P1184" s="2"/>
    </row>
    <row r="1185" spans="16:16" x14ac:dyDescent="0.2">
      <c r="P1185" s="2"/>
    </row>
    <row r="1186" spans="16:16" x14ac:dyDescent="0.2">
      <c r="P1186" s="2"/>
    </row>
    <row r="1187" spans="16:16" x14ac:dyDescent="0.2">
      <c r="P1187" s="2"/>
    </row>
    <row r="1188" spans="16:16" x14ac:dyDescent="0.2">
      <c r="P1188" s="2"/>
    </row>
    <row r="1189" spans="16:16" x14ac:dyDescent="0.2">
      <c r="P1189" s="2"/>
    </row>
    <row r="1190" spans="16:16" x14ac:dyDescent="0.2">
      <c r="P1190" s="2"/>
    </row>
    <row r="1191" spans="16:16" x14ac:dyDescent="0.2">
      <c r="P1191" s="2"/>
    </row>
    <row r="1192" spans="16:16" x14ac:dyDescent="0.2">
      <c r="P1192" s="2"/>
    </row>
    <row r="1193" spans="16:16" x14ac:dyDescent="0.2">
      <c r="P1193" s="2"/>
    </row>
    <row r="1194" spans="16:16" x14ac:dyDescent="0.2">
      <c r="P1194" s="2"/>
    </row>
    <row r="1195" spans="16:16" x14ac:dyDescent="0.2">
      <c r="P1195" s="2"/>
    </row>
    <row r="1196" spans="16:16" x14ac:dyDescent="0.2">
      <c r="P1196" s="2"/>
    </row>
    <row r="1197" spans="16:16" x14ac:dyDescent="0.2">
      <c r="P1197" s="2"/>
    </row>
    <row r="1198" spans="16:16" x14ac:dyDescent="0.2">
      <c r="P1198" s="2"/>
    </row>
    <row r="1199" spans="16:16" x14ac:dyDescent="0.2">
      <c r="P1199" s="2"/>
    </row>
    <row r="1200" spans="16:16" x14ac:dyDescent="0.2">
      <c r="P1200" s="2"/>
    </row>
    <row r="1201" spans="16:16" x14ac:dyDescent="0.2">
      <c r="P1201" s="2"/>
    </row>
    <row r="1202" spans="16:16" x14ac:dyDescent="0.2">
      <c r="P1202" s="2"/>
    </row>
    <row r="1203" spans="16:16" x14ac:dyDescent="0.2">
      <c r="P1203" s="2"/>
    </row>
    <row r="1204" spans="16:16" x14ac:dyDescent="0.2">
      <c r="P1204" s="2"/>
    </row>
    <row r="1205" spans="16:16" x14ac:dyDescent="0.2">
      <c r="P1205" s="2"/>
    </row>
    <row r="1206" spans="16:16" x14ac:dyDescent="0.2">
      <c r="P1206" s="2"/>
    </row>
    <row r="1207" spans="16:16" x14ac:dyDescent="0.2">
      <c r="P1207" s="2"/>
    </row>
    <row r="1208" spans="16:16" x14ac:dyDescent="0.2">
      <c r="P1208" s="2"/>
    </row>
    <row r="1209" spans="16:16" x14ac:dyDescent="0.2">
      <c r="P1209" s="2"/>
    </row>
    <row r="1210" spans="16:16" x14ac:dyDescent="0.2">
      <c r="P1210" s="2"/>
    </row>
    <row r="1211" spans="16:16" x14ac:dyDescent="0.2">
      <c r="P1211" s="2"/>
    </row>
    <row r="1212" spans="16:16" x14ac:dyDescent="0.2">
      <c r="P1212" s="2"/>
    </row>
    <row r="1213" spans="16:16" x14ac:dyDescent="0.2">
      <c r="P1213" s="2"/>
    </row>
    <row r="1214" spans="16:16" x14ac:dyDescent="0.2">
      <c r="P1214" s="2"/>
    </row>
    <row r="1215" spans="16:16" x14ac:dyDescent="0.2">
      <c r="P1215" s="2"/>
    </row>
    <row r="1216" spans="16:16" x14ac:dyDescent="0.2">
      <c r="P1216" s="2"/>
    </row>
    <row r="1217" spans="16:16" x14ac:dyDescent="0.2">
      <c r="P1217" s="2"/>
    </row>
    <row r="1218" spans="16:16" x14ac:dyDescent="0.2">
      <c r="P1218" s="2"/>
    </row>
    <row r="1219" spans="16:16" x14ac:dyDescent="0.2">
      <c r="P1219" s="2"/>
    </row>
    <row r="1220" spans="16:16" x14ac:dyDescent="0.2">
      <c r="P1220" s="2"/>
    </row>
    <row r="1221" spans="16:16" x14ac:dyDescent="0.2">
      <c r="P1221" s="2"/>
    </row>
    <row r="1222" spans="16:16" x14ac:dyDescent="0.2">
      <c r="P1222" s="2"/>
    </row>
    <row r="1223" spans="16:16" x14ac:dyDescent="0.2">
      <c r="P1223" s="2"/>
    </row>
    <row r="1224" spans="16:16" x14ac:dyDescent="0.2">
      <c r="P1224" s="2"/>
    </row>
    <row r="1225" spans="16:16" x14ac:dyDescent="0.2">
      <c r="P1225" s="2"/>
    </row>
    <row r="1226" spans="16:16" x14ac:dyDescent="0.2">
      <c r="P1226" s="2"/>
    </row>
    <row r="1227" spans="16:16" x14ac:dyDescent="0.2">
      <c r="P1227" s="2"/>
    </row>
    <row r="1228" spans="16:16" x14ac:dyDescent="0.2">
      <c r="P1228" s="2"/>
    </row>
    <row r="1229" spans="16:16" x14ac:dyDescent="0.2">
      <c r="P1229" s="2"/>
    </row>
    <row r="1230" spans="16:16" x14ac:dyDescent="0.2">
      <c r="P1230" s="2"/>
    </row>
    <row r="1231" spans="16:16" x14ac:dyDescent="0.2">
      <c r="P1231" s="2"/>
    </row>
    <row r="1232" spans="16:16" x14ac:dyDescent="0.2">
      <c r="P1232" s="2"/>
    </row>
    <row r="1233" spans="16:16" x14ac:dyDescent="0.2">
      <c r="P1233" s="2"/>
    </row>
    <row r="1234" spans="16:16" x14ac:dyDescent="0.2">
      <c r="P1234" s="2"/>
    </row>
    <row r="1235" spans="16:16" x14ac:dyDescent="0.2">
      <c r="P1235" s="2"/>
    </row>
    <row r="1236" spans="16:16" x14ac:dyDescent="0.2">
      <c r="P1236" s="2"/>
    </row>
    <row r="1237" spans="16:16" x14ac:dyDescent="0.2">
      <c r="P1237" s="2"/>
    </row>
    <row r="1238" spans="16:16" x14ac:dyDescent="0.2">
      <c r="P1238" s="2"/>
    </row>
    <row r="1239" spans="16:16" x14ac:dyDescent="0.2">
      <c r="P1239" s="2"/>
    </row>
    <row r="1240" spans="16:16" x14ac:dyDescent="0.2">
      <c r="P1240" s="2"/>
    </row>
    <row r="1241" spans="16:16" x14ac:dyDescent="0.2">
      <c r="P1241" s="2"/>
    </row>
    <row r="1242" spans="16:16" x14ac:dyDescent="0.2">
      <c r="P1242" s="2"/>
    </row>
    <row r="1243" spans="16:16" x14ac:dyDescent="0.2">
      <c r="P1243" s="2"/>
    </row>
    <row r="1244" spans="16:16" x14ac:dyDescent="0.2">
      <c r="P1244" s="2"/>
    </row>
    <row r="1245" spans="16:16" x14ac:dyDescent="0.2">
      <c r="P1245" s="2"/>
    </row>
    <row r="1246" spans="16:16" x14ac:dyDescent="0.2">
      <c r="P1246" s="2"/>
    </row>
    <row r="1247" spans="16:16" x14ac:dyDescent="0.2">
      <c r="P1247" s="2"/>
    </row>
    <row r="1248" spans="16:16" x14ac:dyDescent="0.2">
      <c r="P1248" s="2"/>
    </row>
    <row r="1249" spans="16:16" x14ac:dyDescent="0.2">
      <c r="P1249" s="2"/>
    </row>
    <row r="1250" spans="16:16" x14ac:dyDescent="0.2">
      <c r="P1250" s="2"/>
    </row>
    <row r="1251" spans="16:16" x14ac:dyDescent="0.2">
      <c r="P1251" s="2"/>
    </row>
    <row r="1252" spans="16:16" x14ac:dyDescent="0.2">
      <c r="P1252" s="2"/>
    </row>
    <row r="1253" spans="16:16" x14ac:dyDescent="0.2">
      <c r="P1253" s="2"/>
    </row>
    <row r="1254" spans="16:16" x14ac:dyDescent="0.2">
      <c r="P1254" s="2"/>
    </row>
    <row r="1255" spans="16:16" x14ac:dyDescent="0.2">
      <c r="P1255" s="2"/>
    </row>
    <row r="1256" spans="16:16" x14ac:dyDescent="0.2">
      <c r="P1256" s="2"/>
    </row>
    <row r="1257" spans="16:16" x14ac:dyDescent="0.2">
      <c r="P1257" s="2"/>
    </row>
    <row r="1258" spans="16:16" x14ac:dyDescent="0.2">
      <c r="P1258" s="2"/>
    </row>
    <row r="1259" spans="16:16" x14ac:dyDescent="0.2">
      <c r="P1259" s="2"/>
    </row>
    <row r="1260" spans="16:16" x14ac:dyDescent="0.2">
      <c r="P1260" s="2"/>
    </row>
    <row r="1261" spans="16:16" x14ac:dyDescent="0.2">
      <c r="P1261" s="2"/>
    </row>
    <row r="1262" spans="16:16" x14ac:dyDescent="0.2">
      <c r="P1262" s="2"/>
    </row>
    <row r="1263" spans="16:16" x14ac:dyDescent="0.2">
      <c r="P1263" s="2"/>
    </row>
    <row r="1264" spans="16:16" x14ac:dyDescent="0.2">
      <c r="P1264" s="2"/>
    </row>
    <row r="1265" spans="16:16" x14ac:dyDescent="0.2">
      <c r="P1265" s="2"/>
    </row>
    <row r="1266" spans="16:16" x14ac:dyDescent="0.2">
      <c r="P1266" s="2"/>
    </row>
    <row r="1267" spans="16:16" x14ac:dyDescent="0.2">
      <c r="P1267" s="2"/>
    </row>
    <row r="1268" spans="16:16" x14ac:dyDescent="0.2">
      <c r="P1268" s="2"/>
    </row>
    <row r="1269" spans="16:16" x14ac:dyDescent="0.2">
      <c r="P1269" s="2"/>
    </row>
    <row r="1270" spans="16:16" x14ac:dyDescent="0.2">
      <c r="P1270" s="2"/>
    </row>
    <row r="1271" spans="16:16" x14ac:dyDescent="0.2">
      <c r="P1271" s="2"/>
    </row>
    <row r="1272" spans="16:16" x14ac:dyDescent="0.2">
      <c r="P1272" s="2"/>
    </row>
    <row r="1273" spans="16:16" x14ac:dyDescent="0.2">
      <c r="P1273" s="2"/>
    </row>
    <row r="1274" spans="16:16" x14ac:dyDescent="0.2">
      <c r="P1274" s="2"/>
    </row>
    <row r="1275" spans="16:16" x14ac:dyDescent="0.2">
      <c r="P1275" s="2"/>
    </row>
    <row r="1276" spans="16:16" x14ac:dyDescent="0.2">
      <c r="P1276" s="2"/>
    </row>
    <row r="1277" spans="16:16" x14ac:dyDescent="0.2">
      <c r="P1277" s="2"/>
    </row>
    <row r="1278" spans="16:16" x14ac:dyDescent="0.2">
      <c r="P1278" s="2"/>
    </row>
    <row r="1279" spans="16:16" x14ac:dyDescent="0.2">
      <c r="P1279" s="2"/>
    </row>
    <row r="1280" spans="16:16" x14ac:dyDescent="0.2">
      <c r="P1280" s="2"/>
    </row>
    <row r="1281" spans="16:16" x14ac:dyDescent="0.2">
      <c r="P1281" s="2"/>
    </row>
    <row r="1282" spans="16:16" x14ac:dyDescent="0.2">
      <c r="P1282" s="2"/>
    </row>
    <row r="1283" spans="16:16" x14ac:dyDescent="0.2">
      <c r="P1283" s="2"/>
    </row>
    <row r="1284" spans="16:16" x14ac:dyDescent="0.2">
      <c r="P1284" s="2"/>
    </row>
    <row r="1285" spans="16:16" x14ac:dyDescent="0.2">
      <c r="P1285" s="2"/>
    </row>
    <row r="1286" spans="16:16" x14ac:dyDescent="0.2">
      <c r="P1286" s="2"/>
    </row>
    <row r="1287" spans="16:16" x14ac:dyDescent="0.2">
      <c r="P1287" s="2"/>
    </row>
    <row r="1288" spans="16:16" x14ac:dyDescent="0.2">
      <c r="P1288" s="2"/>
    </row>
    <row r="1289" spans="16:16" x14ac:dyDescent="0.2">
      <c r="P1289" s="2"/>
    </row>
    <row r="1290" spans="16:16" x14ac:dyDescent="0.2">
      <c r="P1290" s="2"/>
    </row>
    <row r="1291" spans="16:16" x14ac:dyDescent="0.2">
      <c r="P1291" s="2"/>
    </row>
    <row r="1292" spans="16:16" x14ac:dyDescent="0.2">
      <c r="P1292" s="2"/>
    </row>
    <row r="1293" spans="16:16" x14ac:dyDescent="0.2">
      <c r="P1293" s="2"/>
    </row>
    <row r="1294" spans="16:16" x14ac:dyDescent="0.2">
      <c r="P1294" s="2"/>
    </row>
    <row r="1295" spans="16:16" x14ac:dyDescent="0.2">
      <c r="P1295" s="2"/>
    </row>
    <row r="1296" spans="16:16" x14ac:dyDescent="0.2">
      <c r="P1296" s="2"/>
    </row>
    <row r="1297" spans="16:16" x14ac:dyDescent="0.2">
      <c r="P1297" s="2"/>
    </row>
    <row r="1298" spans="16:16" x14ac:dyDescent="0.2">
      <c r="P1298" s="2"/>
    </row>
    <row r="1299" spans="16:16" x14ac:dyDescent="0.2">
      <c r="P1299" s="2"/>
    </row>
    <row r="1300" spans="16:16" x14ac:dyDescent="0.2">
      <c r="P1300" s="2"/>
    </row>
    <row r="1301" spans="16:16" x14ac:dyDescent="0.2">
      <c r="P1301" s="2"/>
    </row>
    <row r="1302" spans="16:16" x14ac:dyDescent="0.2">
      <c r="P1302" s="2"/>
    </row>
    <row r="1303" spans="16:16" x14ac:dyDescent="0.2">
      <c r="P1303" s="2"/>
    </row>
    <row r="1304" spans="16:16" x14ac:dyDescent="0.2">
      <c r="P1304" s="2"/>
    </row>
    <row r="1305" spans="16:16" x14ac:dyDescent="0.2">
      <c r="P1305" s="2"/>
    </row>
    <row r="1306" spans="16:16" x14ac:dyDescent="0.2">
      <c r="P1306" s="2"/>
    </row>
    <row r="1307" spans="16:16" x14ac:dyDescent="0.2">
      <c r="P1307" s="2"/>
    </row>
    <row r="1308" spans="16:16" x14ac:dyDescent="0.2">
      <c r="P1308" s="2"/>
    </row>
    <row r="1309" spans="16:16" x14ac:dyDescent="0.2">
      <c r="P1309" s="2"/>
    </row>
    <row r="1310" spans="16:16" x14ac:dyDescent="0.2">
      <c r="P1310" s="2"/>
    </row>
    <row r="1311" spans="16:16" x14ac:dyDescent="0.2">
      <c r="P1311" s="2"/>
    </row>
    <row r="1312" spans="16:16" x14ac:dyDescent="0.2">
      <c r="P1312" s="2"/>
    </row>
    <row r="1313" spans="16:16" x14ac:dyDescent="0.2">
      <c r="P1313" s="2"/>
    </row>
    <row r="1314" spans="16:16" x14ac:dyDescent="0.2">
      <c r="P1314" s="2"/>
    </row>
    <row r="1315" spans="16:16" x14ac:dyDescent="0.2">
      <c r="P1315" s="2"/>
    </row>
    <row r="1316" spans="16:16" x14ac:dyDescent="0.2">
      <c r="P1316" s="2"/>
    </row>
    <row r="1317" spans="16:16" x14ac:dyDescent="0.2">
      <c r="P1317" s="2"/>
    </row>
    <row r="1318" spans="16:16" x14ac:dyDescent="0.2">
      <c r="P1318" s="2"/>
    </row>
    <row r="1319" spans="16:16" x14ac:dyDescent="0.2">
      <c r="P1319" s="2"/>
    </row>
    <row r="1320" spans="16:16" x14ac:dyDescent="0.2">
      <c r="P1320" s="2"/>
    </row>
    <row r="1321" spans="16:16" x14ac:dyDescent="0.2">
      <c r="P1321" s="2"/>
    </row>
    <row r="1322" spans="16:16" x14ac:dyDescent="0.2">
      <c r="P1322" s="2"/>
    </row>
    <row r="1323" spans="16:16" x14ac:dyDescent="0.2">
      <c r="P1323" s="2"/>
    </row>
    <row r="1324" spans="16:16" x14ac:dyDescent="0.2">
      <c r="P1324" s="2"/>
    </row>
    <row r="1325" spans="16:16" x14ac:dyDescent="0.2">
      <c r="P1325" s="2"/>
    </row>
    <row r="1326" spans="16:16" x14ac:dyDescent="0.2">
      <c r="P1326" s="2"/>
    </row>
    <row r="1327" spans="16:16" x14ac:dyDescent="0.2">
      <c r="P1327" s="2"/>
    </row>
    <row r="1328" spans="16:16" x14ac:dyDescent="0.2">
      <c r="P1328" s="2"/>
    </row>
    <row r="1329" spans="16:16" x14ac:dyDescent="0.2">
      <c r="P1329" s="2"/>
    </row>
    <row r="1330" spans="16:16" x14ac:dyDescent="0.2">
      <c r="P1330" s="2"/>
    </row>
    <row r="1331" spans="16:16" x14ac:dyDescent="0.2">
      <c r="P1331" s="2"/>
    </row>
    <row r="1332" spans="16:16" x14ac:dyDescent="0.2">
      <c r="P1332" s="2"/>
    </row>
    <row r="1333" spans="16:16" x14ac:dyDescent="0.2">
      <c r="P1333" s="2"/>
    </row>
    <row r="1334" spans="16:16" x14ac:dyDescent="0.2">
      <c r="P1334" s="2"/>
    </row>
    <row r="1335" spans="16:16" x14ac:dyDescent="0.2">
      <c r="P1335" s="2"/>
    </row>
    <row r="1336" spans="16:16" x14ac:dyDescent="0.2">
      <c r="P1336" s="2"/>
    </row>
    <row r="1337" spans="16:16" x14ac:dyDescent="0.2">
      <c r="P1337" s="2"/>
    </row>
    <row r="1338" spans="16:16" x14ac:dyDescent="0.2">
      <c r="P1338" s="2"/>
    </row>
    <row r="1339" spans="16:16" x14ac:dyDescent="0.2">
      <c r="P1339" s="2"/>
    </row>
    <row r="1340" spans="16:16" x14ac:dyDescent="0.2">
      <c r="P1340" s="2"/>
    </row>
    <row r="1341" spans="16:16" x14ac:dyDescent="0.2">
      <c r="P1341" s="2"/>
    </row>
    <row r="1342" spans="16:16" x14ac:dyDescent="0.2">
      <c r="P1342" s="2"/>
    </row>
    <row r="1343" spans="16:16" x14ac:dyDescent="0.2">
      <c r="P1343" s="2"/>
    </row>
    <row r="1344" spans="16:16" x14ac:dyDescent="0.2">
      <c r="P1344" s="2"/>
    </row>
    <row r="1345" spans="16:16" x14ac:dyDescent="0.2">
      <c r="P1345" s="2"/>
    </row>
    <row r="1346" spans="16:16" x14ac:dyDescent="0.2">
      <c r="P1346" s="2"/>
    </row>
    <row r="1347" spans="16:16" x14ac:dyDescent="0.2">
      <c r="P1347" s="2"/>
    </row>
    <row r="1348" spans="16:16" x14ac:dyDescent="0.2">
      <c r="P1348" s="2"/>
    </row>
    <row r="1349" spans="16:16" x14ac:dyDescent="0.2">
      <c r="P1349" s="2"/>
    </row>
    <row r="1350" spans="16:16" x14ac:dyDescent="0.2">
      <c r="P1350" s="2"/>
    </row>
    <row r="1351" spans="16:16" x14ac:dyDescent="0.2">
      <c r="P1351" s="2"/>
    </row>
    <row r="1352" spans="16:16" x14ac:dyDescent="0.2">
      <c r="P1352" s="2"/>
    </row>
    <row r="1353" spans="16:16" x14ac:dyDescent="0.2">
      <c r="P1353" s="2"/>
    </row>
    <row r="1354" spans="16:16" x14ac:dyDescent="0.2">
      <c r="P1354" s="2"/>
    </row>
    <row r="1355" spans="16:16" x14ac:dyDescent="0.2">
      <c r="P1355" s="2"/>
    </row>
    <row r="1356" spans="16:16" x14ac:dyDescent="0.2">
      <c r="P1356" s="2"/>
    </row>
    <row r="1357" spans="16:16" x14ac:dyDescent="0.2">
      <c r="P1357" s="2"/>
    </row>
    <row r="1358" spans="16:16" x14ac:dyDescent="0.2">
      <c r="P1358" s="2"/>
    </row>
    <row r="1359" spans="16:16" x14ac:dyDescent="0.2">
      <c r="P1359" s="2"/>
    </row>
    <row r="1360" spans="16:16" x14ac:dyDescent="0.2">
      <c r="P1360" s="2"/>
    </row>
    <row r="1361" spans="16:16" x14ac:dyDescent="0.2">
      <c r="P1361" s="2"/>
    </row>
    <row r="1362" spans="16:16" x14ac:dyDescent="0.2">
      <c r="P1362" s="2"/>
    </row>
    <row r="1363" spans="16:16" x14ac:dyDescent="0.2">
      <c r="P1363" s="2"/>
    </row>
    <row r="1364" spans="16:16" x14ac:dyDescent="0.2">
      <c r="P1364" s="2"/>
    </row>
    <row r="1365" spans="16:16" x14ac:dyDescent="0.2">
      <c r="P1365" s="2"/>
    </row>
    <row r="1366" spans="16:16" x14ac:dyDescent="0.2">
      <c r="P1366" s="2"/>
    </row>
    <row r="1367" spans="16:16" x14ac:dyDescent="0.2">
      <c r="P1367" s="2"/>
    </row>
    <row r="1368" spans="16:16" x14ac:dyDescent="0.2">
      <c r="P1368" s="2"/>
    </row>
    <row r="1369" spans="16:16" x14ac:dyDescent="0.2">
      <c r="P1369" s="2"/>
    </row>
    <row r="1370" spans="16:16" x14ac:dyDescent="0.2">
      <c r="P1370" s="2"/>
    </row>
    <row r="1371" spans="16:16" x14ac:dyDescent="0.2">
      <c r="P1371" s="2"/>
    </row>
    <row r="1372" spans="16:16" x14ac:dyDescent="0.2">
      <c r="P1372" s="2"/>
    </row>
    <row r="1373" spans="16:16" x14ac:dyDescent="0.2">
      <c r="P1373" s="2"/>
    </row>
    <row r="1374" spans="16:16" x14ac:dyDescent="0.2">
      <c r="P1374" s="2"/>
    </row>
    <row r="1375" spans="16:16" x14ac:dyDescent="0.2">
      <c r="P1375" s="2"/>
    </row>
    <row r="1376" spans="16:16" x14ac:dyDescent="0.2">
      <c r="P1376" s="2"/>
    </row>
    <row r="1377" spans="16:16" x14ac:dyDescent="0.2">
      <c r="P1377" s="2"/>
    </row>
    <row r="1378" spans="16:16" x14ac:dyDescent="0.2">
      <c r="P1378" s="2"/>
    </row>
    <row r="1379" spans="16:16" x14ac:dyDescent="0.2">
      <c r="P1379" s="2"/>
    </row>
    <row r="1380" spans="16:16" x14ac:dyDescent="0.2">
      <c r="P1380" s="2"/>
    </row>
    <row r="1381" spans="16:16" x14ac:dyDescent="0.2">
      <c r="P1381" s="2"/>
    </row>
    <row r="1382" spans="16:16" x14ac:dyDescent="0.2">
      <c r="P1382" s="2"/>
    </row>
    <row r="1383" spans="16:16" x14ac:dyDescent="0.2">
      <c r="P1383" s="2"/>
    </row>
    <row r="1384" spans="16:16" x14ac:dyDescent="0.2">
      <c r="P1384" s="2"/>
    </row>
    <row r="1385" spans="16:16" x14ac:dyDescent="0.2">
      <c r="P1385" s="2"/>
    </row>
    <row r="1386" spans="16:16" x14ac:dyDescent="0.2">
      <c r="P1386" s="2"/>
    </row>
    <row r="1387" spans="16:16" x14ac:dyDescent="0.2">
      <c r="P1387" s="2"/>
    </row>
    <row r="1388" spans="16:16" x14ac:dyDescent="0.2">
      <c r="P1388" s="2"/>
    </row>
    <row r="1389" spans="16:16" x14ac:dyDescent="0.2">
      <c r="P1389" s="2"/>
    </row>
    <row r="1390" spans="16:16" x14ac:dyDescent="0.2">
      <c r="P1390" s="2"/>
    </row>
    <row r="1391" spans="16:16" x14ac:dyDescent="0.2">
      <c r="P1391" s="2"/>
    </row>
    <row r="1392" spans="16:16" x14ac:dyDescent="0.2">
      <c r="P1392" s="2"/>
    </row>
    <row r="1393" spans="16:16" x14ac:dyDescent="0.2">
      <c r="P1393" s="2"/>
    </row>
    <row r="1394" spans="16:16" x14ac:dyDescent="0.2">
      <c r="P1394" s="2"/>
    </row>
    <row r="1395" spans="16:16" x14ac:dyDescent="0.2">
      <c r="P1395" s="2"/>
    </row>
    <row r="1396" spans="16:16" x14ac:dyDescent="0.2">
      <c r="P1396" s="2"/>
    </row>
    <row r="1397" spans="16:16" x14ac:dyDescent="0.2">
      <c r="P1397" s="2"/>
    </row>
    <row r="1398" spans="16:16" x14ac:dyDescent="0.2">
      <c r="P1398" s="2"/>
    </row>
    <row r="1399" spans="16:16" x14ac:dyDescent="0.2">
      <c r="P1399" s="2"/>
    </row>
    <row r="1400" spans="16:16" x14ac:dyDescent="0.2">
      <c r="P1400" s="2"/>
    </row>
    <row r="1401" spans="16:16" x14ac:dyDescent="0.2">
      <c r="P1401" s="2"/>
    </row>
    <row r="1402" spans="16:16" x14ac:dyDescent="0.2">
      <c r="P1402" s="2"/>
    </row>
    <row r="1403" spans="16:16" x14ac:dyDescent="0.2">
      <c r="P1403" s="2"/>
    </row>
    <row r="1404" spans="16:16" x14ac:dyDescent="0.2">
      <c r="P1404" s="2"/>
    </row>
    <row r="1405" spans="16:16" x14ac:dyDescent="0.2">
      <c r="P1405" s="2"/>
    </row>
    <row r="1406" spans="16:16" x14ac:dyDescent="0.2">
      <c r="P1406" s="2"/>
    </row>
    <row r="1407" spans="16:16" x14ac:dyDescent="0.2">
      <c r="P1407" s="2"/>
    </row>
    <row r="1408" spans="16:16" x14ac:dyDescent="0.2">
      <c r="P1408" s="2"/>
    </row>
    <row r="1409" spans="16:16" x14ac:dyDescent="0.2">
      <c r="P1409" s="2"/>
    </row>
    <row r="1410" spans="16:16" x14ac:dyDescent="0.2">
      <c r="P1410" s="2"/>
    </row>
    <row r="1411" spans="16:16" x14ac:dyDescent="0.2">
      <c r="P1411" s="2"/>
    </row>
    <row r="1412" spans="16:16" x14ac:dyDescent="0.2">
      <c r="P1412" s="2"/>
    </row>
    <row r="1413" spans="16:16" x14ac:dyDescent="0.2">
      <c r="P1413" s="2"/>
    </row>
    <row r="1414" spans="16:16" x14ac:dyDescent="0.2">
      <c r="P1414" s="2"/>
    </row>
    <row r="1415" spans="16:16" x14ac:dyDescent="0.2">
      <c r="P1415" s="2"/>
    </row>
    <row r="1416" spans="16:16" x14ac:dyDescent="0.2">
      <c r="P1416" s="2"/>
    </row>
    <row r="1417" spans="16:16" x14ac:dyDescent="0.2">
      <c r="P1417" s="2"/>
    </row>
    <row r="1418" spans="16:16" x14ac:dyDescent="0.2">
      <c r="P1418" s="2"/>
    </row>
    <row r="1419" spans="16:16" x14ac:dyDescent="0.2">
      <c r="P1419" s="2"/>
    </row>
    <row r="1420" spans="16:16" x14ac:dyDescent="0.2">
      <c r="P1420" s="2"/>
    </row>
    <row r="1421" spans="16:16" x14ac:dyDescent="0.2">
      <c r="P1421" s="2"/>
    </row>
    <row r="1422" spans="16:16" x14ac:dyDescent="0.2">
      <c r="P1422" s="2"/>
    </row>
    <row r="1423" spans="16:16" x14ac:dyDescent="0.2">
      <c r="P1423" s="2"/>
    </row>
    <row r="1424" spans="16:16" x14ac:dyDescent="0.2">
      <c r="P1424" s="2"/>
    </row>
    <row r="1425" spans="16:16" x14ac:dyDescent="0.2">
      <c r="P1425" s="2"/>
    </row>
    <row r="1426" spans="16:16" x14ac:dyDescent="0.2">
      <c r="P1426" s="2"/>
    </row>
    <row r="1427" spans="16:16" x14ac:dyDescent="0.2">
      <c r="P1427" s="2"/>
    </row>
    <row r="1428" spans="16:16" x14ac:dyDescent="0.2">
      <c r="P1428" s="2"/>
    </row>
    <row r="1429" spans="16:16" x14ac:dyDescent="0.2">
      <c r="P1429" s="2"/>
    </row>
    <row r="1430" spans="16:16" x14ac:dyDescent="0.2">
      <c r="P1430" s="2"/>
    </row>
    <row r="1431" spans="16:16" x14ac:dyDescent="0.2">
      <c r="P1431" s="2"/>
    </row>
    <row r="1432" spans="16:16" x14ac:dyDescent="0.2">
      <c r="P1432" s="2"/>
    </row>
    <row r="1433" spans="16:16" x14ac:dyDescent="0.2">
      <c r="P1433" s="2"/>
    </row>
    <row r="1434" spans="16:16" x14ac:dyDescent="0.2">
      <c r="P1434" s="2"/>
    </row>
    <row r="1435" spans="16:16" x14ac:dyDescent="0.2">
      <c r="P1435" s="2"/>
    </row>
    <row r="1436" spans="16:16" x14ac:dyDescent="0.2">
      <c r="P1436" s="2"/>
    </row>
    <row r="1437" spans="16:16" x14ac:dyDescent="0.2">
      <c r="P1437" s="2"/>
    </row>
    <row r="1438" spans="16:16" x14ac:dyDescent="0.2">
      <c r="P1438" s="2"/>
    </row>
    <row r="1439" spans="16:16" x14ac:dyDescent="0.2">
      <c r="P1439" s="2"/>
    </row>
    <row r="1440" spans="16:16" x14ac:dyDescent="0.2">
      <c r="P1440" s="2"/>
    </row>
    <row r="1441" spans="16:16" x14ac:dyDescent="0.2">
      <c r="P1441" s="2"/>
    </row>
    <row r="1442" spans="16:16" x14ac:dyDescent="0.2">
      <c r="P1442" s="2"/>
    </row>
    <row r="1443" spans="16:16" x14ac:dyDescent="0.2">
      <c r="P1443" s="2"/>
    </row>
    <row r="1444" spans="16:16" x14ac:dyDescent="0.2">
      <c r="P1444" s="2"/>
    </row>
    <row r="1445" spans="16:16" x14ac:dyDescent="0.2">
      <c r="P1445" s="2"/>
    </row>
    <row r="1446" spans="16:16" x14ac:dyDescent="0.2">
      <c r="P1446" s="2"/>
    </row>
    <row r="1447" spans="16:16" x14ac:dyDescent="0.2">
      <c r="P1447" s="2"/>
    </row>
    <row r="1448" spans="16:16" x14ac:dyDescent="0.2">
      <c r="P1448" s="2"/>
    </row>
    <row r="1449" spans="16:16" x14ac:dyDescent="0.2">
      <c r="P1449" s="2"/>
    </row>
    <row r="1450" spans="16:16" x14ac:dyDescent="0.2">
      <c r="P1450" s="2"/>
    </row>
    <row r="1451" spans="16:16" x14ac:dyDescent="0.2">
      <c r="P1451" s="2"/>
    </row>
    <row r="1452" spans="16:16" x14ac:dyDescent="0.2">
      <c r="P1452" s="2"/>
    </row>
    <row r="1453" spans="16:16" x14ac:dyDescent="0.2">
      <c r="P1453" s="2"/>
    </row>
    <row r="1454" spans="16:16" x14ac:dyDescent="0.2">
      <c r="P1454" s="2"/>
    </row>
    <row r="1455" spans="16:16" x14ac:dyDescent="0.2">
      <c r="P1455" s="2"/>
    </row>
    <row r="1456" spans="16:16" x14ac:dyDescent="0.2">
      <c r="P1456" s="2"/>
    </row>
    <row r="1457" spans="16:16" x14ac:dyDescent="0.2">
      <c r="P1457" s="2"/>
    </row>
    <row r="1458" spans="16:16" x14ac:dyDescent="0.2">
      <c r="P1458" s="2"/>
    </row>
    <row r="1459" spans="16:16" x14ac:dyDescent="0.2">
      <c r="P1459" s="2"/>
    </row>
    <row r="1460" spans="16:16" x14ac:dyDescent="0.2">
      <c r="P1460" s="2"/>
    </row>
    <row r="1461" spans="16:16" x14ac:dyDescent="0.2">
      <c r="P1461" s="2"/>
    </row>
    <row r="1462" spans="16:16" x14ac:dyDescent="0.2">
      <c r="P1462" s="2"/>
    </row>
    <row r="1463" spans="16:16" x14ac:dyDescent="0.2">
      <c r="P1463" s="2"/>
    </row>
    <row r="1464" spans="16:16" x14ac:dyDescent="0.2">
      <c r="P1464" s="2"/>
    </row>
    <row r="1465" spans="16:16" x14ac:dyDescent="0.2">
      <c r="P1465" s="2"/>
    </row>
    <row r="1466" spans="16:16" x14ac:dyDescent="0.2">
      <c r="P1466" s="2"/>
    </row>
    <row r="1467" spans="16:16" x14ac:dyDescent="0.2">
      <c r="P1467" s="2"/>
    </row>
    <row r="1468" spans="16:16" x14ac:dyDescent="0.2">
      <c r="P1468" s="2"/>
    </row>
    <row r="1469" spans="16:16" x14ac:dyDescent="0.2">
      <c r="P1469" s="2"/>
    </row>
    <row r="1470" spans="16:16" x14ac:dyDescent="0.2">
      <c r="P1470" s="2"/>
    </row>
    <row r="1471" spans="16:16" x14ac:dyDescent="0.2">
      <c r="P1471" s="2"/>
    </row>
    <row r="1472" spans="16:16" x14ac:dyDescent="0.2">
      <c r="P1472" s="2"/>
    </row>
    <row r="1473" spans="16:16" x14ac:dyDescent="0.2">
      <c r="P1473" s="2"/>
    </row>
    <row r="1474" spans="16:16" x14ac:dyDescent="0.2">
      <c r="P1474" s="2"/>
    </row>
    <row r="1475" spans="16:16" x14ac:dyDescent="0.2">
      <c r="P1475" s="2"/>
    </row>
    <row r="1476" spans="16:16" x14ac:dyDescent="0.2">
      <c r="P1476" s="2"/>
    </row>
    <row r="1477" spans="16:16" x14ac:dyDescent="0.2">
      <c r="P1477" s="2"/>
    </row>
    <row r="1478" spans="16:16" x14ac:dyDescent="0.2">
      <c r="P1478" s="2"/>
    </row>
    <row r="1479" spans="16:16" x14ac:dyDescent="0.2">
      <c r="P1479" s="2"/>
    </row>
    <row r="1480" spans="16:16" x14ac:dyDescent="0.2">
      <c r="P1480" s="2"/>
    </row>
    <row r="1481" spans="16:16" x14ac:dyDescent="0.2">
      <c r="P1481" s="2"/>
    </row>
    <row r="1482" spans="16:16" x14ac:dyDescent="0.2">
      <c r="P1482" s="2"/>
    </row>
    <row r="1483" spans="16:16" x14ac:dyDescent="0.2">
      <c r="P1483" s="2"/>
    </row>
    <row r="1484" spans="16:16" x14ac:dyDescent="0.2">
      <c r="P1484" s="2"/>
    </row>
    <row r="1485" spans="16:16" x14ac:dyDescent="0.2">
      <c r="P1485" s="2"/>
    </row>
    <row r="1486" spans="16:16" x14ac:dyDescent="0.2">
      <c r="P1486" s="2"/>
    </row>
    <row r="1487" spans="16:16" x14ac:dyDescent="0.2">
      <c r="P1487" s="2"/>
    </row>
    <row r="1488" spans="16:16" x14ac:dyDescent="0.2">
      <c r="P1488" s="2"/>
    </row>
    <row r="1489" spans="16:16" x14ac:dyDescent="0.2">
      <c r="P1489" s="2"/>
    </row>
    <row r="1490" spans="16:16" x14ac:dyDescent="0.2">
      <c r="P1490" s="2"/>
    </row>
    <row r="1491" spans="16:16" x14ac:dyDescent="0.2">
      <c r="P1491" s="2"/>
    </row>
    <row r="1492" spans="16:16" x14ac:dyDescent="0.2">
      <c r="P1492" s="2"/>
    </row>
    <row r="1493" spans="16:16" x14ac:dyDescent="0.2">
      <c r="P1493" s="2"/>
    </row>
    <row r="1494" spans="16:16" x14ac:dyDescent="0.2">
      <c r="P1494" s="2"/>
    </row>
    <row r="1495" spans="16:16" x14ac:dyDescent="0.2">
      <c r="P1495" s="2"/>
    </row>
    <row r="1496" spans="16:16" x14ac:dyDescent="0.2">
      <c r="P1496" s="2"/>
    </row>
    <row r="1497" spans="16:16" x14ac:dyDescent="0.2">
      <c r="P1497" s="2"/>
    </row>
    <row r="1498" spans="16:16" x14ac:dyDescent="0.2">
      <c r="P1498" s="2"/>
    </row>
    <row r="1499" spans="16:16" x14ac:dyDescent="0.2">
      <c r="P1499" s="2"/>
    </row>
    <row r="1500" spans="16:16" x14ac:dyDescent="0.2">
      <c r="P1500" s="2"/>
    </row>
    <row r="1501" spans="16:16" x14ac:dyDescent="0.2">
      <c r="P1501" s="2"/>
    </row>
    <row r="1502" spans="16:16" x14ac:dyDescent="0.2">
      <c r="P1502" s="2"/>
    </row>
    <row r="1503" spans="16:16" x14ac:dyDescent="0.2">
      <c r="P1503" s="2"/>
    </row>
    <row r="1504" spans="16:16" x14ac:dyDescent="0.2">
      <c r="P1504" s="2"/>
    </row>
    <row r="1505" spans="16:16" x14ac:dyDescent="0.2">
      <c r="P1505" s="2"/>
    </row>
    <row r="1506" spans="16:16" x14ac:dyDescent="0.2">
      <c r="P1506" s="2"/>
    </row>
    <row r="1507" spans="16:16" x14ac:dyDescent="0.2">
      <c r="P1507" s="2"/>
    </row>
    <row r="1508" spans="16:16" x14ac:dyDescent="0.2">
      <c r="P1508" s="2"/>
    </row>
    <row r="1509" spans="16:16" x14ac:dyDescent="0.2">
      <c r="P1509" s="2"/>
    </row>
    <row r="1510" spans="16:16" x14ac:dyDescent="0.2">
      <c r="P1510" s="2"/>
    </row>
    <row r="1511" spans="16:16" x14ac:dyDescent="0.2">
      <c r="P1511" s="2"/>
    </row>
    <row r="1512" spans="16:16" x14ac:dyDescent="0.2">
      <c r="P1512" s="2"/>
    </row>
    <row r="1513" spans="16:16" x14ac:dyDescent="0.2">
      <c r="P1513" s="2"/>
    </row>
    <row r="1514" spans="16:16" x14ac:dyDescent="0.2">
      <c r="P1514" s="2"/>
    </row>
    <row r="1515" spans="16:16" x14ac:dyDescent="0.2">
      <c r="P1515" s="2"/>
    </row>
    <row r="1516" spans="16:16" x14ac:dyDescent="0.2">
      <c r="P1516" s="2"/>
    </row>
    <row r="1517" spans="16:16" x14ac:dyDescent="0.2">
      <c r="P1517" s="2"/>
    </row>
    <row r="1518" spans="16:16" x14ac:dyDescent="0.2">
      <c r="P1518" s="2"/>
    </row>
    <row r="1519" spans="16:16" x14ac:dyDescent="0.2">
      <c r="P1519" s="2"/>
    </row>
    <row r="1520" spans="16:16" x14ac:dyDescent="0.2">
      <c r="P1520" s="2"/>
    </row>
    <row r="1521" spans="16:16" x14ac:dyDescent="0.2">
      <c r="P1521" s="2"/>
    </row>
    <row r="1522" spans="16:16" x14ac:dyDescent="0.2">
      <c r="P1522" s="2"/>
    </row>
    <row r="1523" spans="16:16" x14ac:dyDescent="0.2">
      <c r="P1523" s="2"/>
    </row>
    <row r="1524" spans="16:16" x14ac:dyDescent="0.2">
      <c r="P1524" s="2"/>
    </row>
    <row r="1525" spans="16:16" x14ac:dyDescent="0.2">
      <c r="P1525" s="2"/>
    </row>
    <row r="1526" spans="16:16" x14ac:dyDescent="0.2">
      <c r="P1526" s="2"/>
    </row>
    <row r="1527" spans="16:16" x14ac:dyDescent="0.2">
      <c r="P1527" s="2"/>
    </row>
    <row r="1528" spans="16:16" x14ac:dyDescent="0.2">
      <c r="P1528" s="2"/>
    </row>
    <row r="1529" spans="16:16" x14ac:dyDescent="0.2">
      <c r="P1529" s="2"/>
    </row>
    <row r="1530" spans="16:16" x14ac:dyDescent="0.2">
      <c r="P1530" s="2"/>
    </row>
    <row r="1531" spans="16:16" x14ac:dyDescent="0.2">
      <c r="P1531" s="2"/>
    </row>
    <row r="1532" spans="16:16" x14ac:dyDescent="0.2">
      <c r="P1532" s="2"/>
    </row>
    <row r="1533" spans="16:16" x14ac:dyDescent="0.2">
      <c r="P1533" s="2"/>
    </row>
    <row r="1534" spans="16:16" x14ac:dyDescent="0.2">
      <c r="P1534" s="2"/>
    </row>
    <row r="1535" spans="16:16" x14ac:dyDescent="0.2">
      <c r="P1535" s="2"/>
    </row>
    <row r="1536" spans="16:16" x14ac:dyDescent="0.2">
      <c r="P1536" s="2"/>
    </row>
    <row r="1537" spans="16:16" x14ac:dyDescent="0.2">
      <c r="P1537" s="2"/>
    </row>
    <row r="1538" spans="16:16" x14ac:dyDescent="0.2">
      <c r="P1538" s="2"/>
    </row>
    <row r="1539" spans="16:16" x14ac:dyDescent="0.2">
      <c r="P1539" s="2"/>
    </row>
    <row r="1540" spans="16:16" x14ac:dyDescent="0.2">
      <c r="P1540" s="2"/>
    </row>
    <row r="1541" spans="16:16" x14ac:dyDescent="0.2">
      <c r="P1541" s="2"/>
    </row>
    <row r="1542" spans="16:16" x14ac:dyDescent="0.2">
      <c r="P1542" s="2"/>
    </row>
    <row r="1543" spans="16:16" x14ac:dyDescent="0.2">
      <c r="P1543" s="2"/>
    </row>
    <row r="1544" spans="16:16" x14ac:dyDescent="0.2">
      <c r="P1544" s="2"/>
    </row>
    <row r="1545" spans="16:16" x14ac:dyDescent="0.2">
      <c r="P1545" s="2"/>
    </row>
    <row r="1546" spans="16:16" x14ac:dyDescent="0.2">
      <c r="P1546" s="2"/>
    </row>
    <row r="1547" spans="16:16" x14ac:dyDescent="0.2">
      <c r="P1547" s="2"/>
    </row>
    <row r="1548" spans="16:16" x14ac:dyDescent="0.2">
      <c r="P1548" s="2"/>
    </row>
    <row r="1549" spans="16:16" x14ac:dyDescent="0.2">
      <c r="P1549" s="2"/>
    </row>
    <row r="1550" spans="16:16" x14ac:dyDescent="0.2">
      <c r="P1550" s="2"/>
    </row>
    <row r="1551" spans="16:16" x14ac:dyDescent="0.2">
      <c r="P1551" s="2"/>
    </row>
    <row r="1552" spans="16:16" x14ac:dyDescent="0.2">
      <c r="P1552" s="2"/>
    </row>
    <row r="1553" spans="16:16" x14ac:dyDescent="0.2">
      <c r="P1553" s="2"/>
    </row>
    <row r="1554" spans="16:16" x14ac:dyDescent="0.2">
      <c r="P1554" s="2"/>
    </row>
    <row r="1555" spans="16:16" x14ac:dyDescent="0.2">
      <c r="P1555" s="2"/>
    </row>
    <row r="1556" spans="16:16" x14ac:dyDescent="0.2">
      <c r="P1556" s="2"/>
    </row>
    <row r="1557" spans="16:16" x14ac:dyDescent="0.2">
      <c r="P1557" s="2"/>
    </row>
    <row r="1558" spans="16:16" x14ac:dyDescent="0.2">
      <c r="P1558" s="2"/>
    </row>
    <row r="1559" spans="16:16" x14ac:dyDescent="0.2">
      <c r="P1559" s="2"/>
    </row>
    <row r="1560" spans="16:16" x14ac:dyDescent="0.2">
      <c r="P1560" s="2"/>
    </row>
    <row r="1561" spans="16:16" x14ac:dyDescent="0.2">
      <c r="P1561" s="2"/>
    </row>
    <row r="1562" spans="16:16" x14ac:dyDescent="0.2">
      <c r="P1562" s="2"/>
    </row>
    <row r="1563" spans="16:16" x14ac:dyDescent="0.2">
      <c r="P1563" s="2"/>
    </row>
    <row r="1564" spans="16:16" x14ac:dyDescent="0.2">
      <c r="P1564" s="2"/>
    </row>
    <row r="1565" spans="16:16" x14ac:dyDescent="0.2">
      <c r="P1565" s="2"/>
    </row>
    <row r="1566" spans="16:16" x14ac:dyDescent="0.2">
      <c r="P1566" s="2"/>
    </row>
    <row r="1567" spans="16:16" x14ac:dyDescent="0.2">
      <c r="P1567" s="2"/>
    </row>
    <row r="1568" spans="16:16" x14ac:dyDescent="0.2">
      <c r="P1568" s="2"/>
    </row>
    <row r="1569" spans="16:16" x14ac:dyDescent="0.2">
      <c r="P1569" s="2"/>
    </row>
    <row r="1570" spans="16:16" x14ac:dyDescent="0.2">
      <c r="P1570" s="2"/>
    </row>
    <row r="1571" spans="16:16" x14ac:dyDescent="0.2">
      <c r="P1571" s="2"/>
    </row>
    <row r="1572" spans="16:16" x14ac:dyDescent="0.2">
      <c r="P1572" s="2"/>
    </row>
    <row r="1573" spans="16:16" x14ac:dyDescent="0.2">
      <c r="P1573" s="2"/>
    </row>
    <row r="1574" spans="16:16" x14ac:dyDescent="0.2">
      <c r="P1574" s="2"/>
    </row>
    <row r="1575" spans="16:16" x14ac:dyDescent="0.2">
      <c r="P1575" s="2"/>
    </row>
    <row r="1576" spans="16:16" x14ac:dyDescent="0.2">
      <c r="P1576" s="2"/>
    </row>
    <row r="1577" spans="16:16" x14ac:dyDescent="0.2">
      <c r="P1577" s="2"/>
    </row>
    <row r="1578" spans="16:16" x14ac:dyDescent="0.2">
      <c r="P1578" s="2"/>
    </row>
    <row r="1579" spans="16:16" x14ac:dyDescent="0.2">
      <c r="P1579" s="2"/>
    </row>
    <row r="1580" spans="16:16" x14ac:dyDescent="0.2">
      <c r="P1580" s="2"/>
    </row>
    <row r="1581" spans="16:16" x14ac:dyDescent="0.2">
      <c r="P1581" s="2"/>
    </row>
    <row r="1582" spans="16:16" x14ac:dyDescent="0.2">
      <c r="P1582" s="2"/>
    </row>
    <row r="1583" spans="16:16" x14ac:dyDescent="0.2">
      <c r="P1583" s="2"/>
    </row>
    <row r="1584" spans="16:16" x14ac:dyDescent="0.2">
      <c r="P1584" s="2"/>
    </row>
    <row r="1585" spans="16:16" x14ac:dyDescent="0.2">
      <c r="P1585" s="2"/>
    </row>
    <row r="1586" spans="16:16" x14ac:dyDescent="0.2">
      <c r="P1586" s="2"/>
    </row>
    <row r="1587" spans="16:16" x14ac:dyDescent="0.2">
      <c r="P1587" s="2"/>
    </row>
    <row r="1588" spans="16:16" x14ac:dyDescent="0.2">
      <c r="P1588" s="2"/>
    </row>
    <row r="1589" spans="16:16" x14ac:dyDescent="0.2">
      <c r="P1589" s="2"/>
    </row>
    <row r="1590" spans="16:16" x14ac:dyDescent="0.2">
      <c r="P1590" s="2"/>
    </row>
    <row r="1591" spans="16:16" x14ac:dyDescent="0.2">
      <c r="P1591" s="2"/>
    </row>
    <row r="1592" spans="16:16" x14ac:dyDescent="0.2">
      <c r="P1592" s="2"/>
    </row>
    <row r="1593" spans="16:16" x14ac:dyDescent="0.2">
      <c r="P1593" s="2"/>
    </row>
    <row r="1594" spans="16:16" x14ac:dyDescent="0.2">
      <c r="P1594" s="2"/>
    </row>
    <row r="1595" spans="16:16" x14ac:dyDescent="0.2">
      <c r="P1595" s="2"/>
    </row>
    <row r="1596" spans="16:16" x14ac:dyDescent="0.2">
      <c r="P1596" s="2"/>
    </row>
    <row r="1597" spans="16:16" x14ac:dyDescent="0.2">
      <c r="P1597" s="2"/>
    </row>
    <row r="1598" spans="16:16" x14ac:dyDescent="0.2">
      <c r="P1598" s="2"/>
    </row>
    <row r="1599" spans="16:16" x14ac:dyDescent="0.2">
      <c r="P1599" s="2"/>
    </row>
    <row r="1600" spans="16:16" x14ac:dyDescent="0.2">
      <c r="P1600" s="2"/>
    </row>
    <row r="1601" spans="16:16" x14ac:dyDescent="0.2">
      <c r="P1601" s="2"/>
    </row>
    <row r="1602" spans="16:16" x14ac:dyDescent="0.2">
      <c r="P1602" s="2"/>
    </row>
    <row r="1603" spans="16:16" x14ac:dyDescent="0.2">
      <c r="P1603" s="2"/>
    </row>
    <row r="1604" spans="16:16" x14ac:dyDescent="0.2">
      <c r="P1604" s="2"/>
    </row>
    <row r="1605" spans="16:16" x14ac:dyDescent="0.2">
      <c r="P1605" s="2"/>
    </row>
    <row r="1606" spans="16:16" x14ac:dyDescent="0.2">
      <c r="P1606" s="2"/>
    </row>
    <row r="1607" spans="16:16" x14ac:dyDescent="0.2">
      <c r="P1607" s="2"/>
    </row>
    <row r="1608" spans="16:16" x14ac:dyDescent="0.2">
      <c r="P1608" s="2"/>
    </row>
    <row r="1609" spans="16:16" x14ac:dyDescent="0.2">
      <c r="P1609" s="2"/>
    </row>
    <row r="1610" spans="16:16" x14ac:dyDescent="0.2">
      <c r="P1610" s="2"/>
    </row>
    <row r="1611" spans="16:16" x14ac:dyDescent="0.2">
      <c r="P1611" s="2"/>
    </row>
    <row r="1612" spans="16:16" x14ac:dyDescent="0.2">
      <c r="P1612" s="2"/>
    </row>
    <row r="1613" spans="16:16" x14ac:dyDescent="0.2">
      <c r="P1613" s="2"/>
    </row>
    <row r="1614" spans="16:16" x14ac:dyDescent="0.2">
      <c r="P1614" s="2"/>
    </row>
    <row r="1615" spans="16:16" x14ac:dyDescent="0.2">
      <c r="P1615" s="2"/>
    </row>
    <row r="1616" spans="16:16" x14ac:dyDescent="0.2">
      <c r="P1616" s="2"/>
    </row>
    <row r="1617" spans="16:16" x14ac:dyDescent="0.2">
      <c r="P1617" s="2"/>
    </row>
    <row r="1618" spans="16:16" x14ac:dyDescent="0.2">
      <c r="P1618" s="2"/>
    </row>
    <row r="1619" spans="16:16" x14ac:dyDescent="0.2">
      <c r="P1619" s="2"/>
    </row>
    <row r="1620" spans="16:16" x14ac:dyDescent="0.2">
      <c r="P1620" s="2"/>
    </row>
    <row r="1621" spans="16:16" x14ac:dyDescent="0.2">
      <c r="P1621" s="2"/>
    </row>
    <row r="1622" spans="16:16" x14ac:dyDescent="0.2">
      <c r="P1622" s="2"/>
    </row>
    <row r="1623" spans="16:16" x14ac:dyDescent="0.2">
      <c r="P1623" s="2"/>
    </row>
    <row r="1624" spans="16:16" x14ac:dyDescent="0.2">
      <c r="P1624" s="2"/>
    </row>
    <row r="1625" spans="16:16" x14ac:dyDescent="0.2">
      <c r="P1625" s="2"/>
    </row>
    <row r="1626" spans="16:16" x14ac:dyDescent="0.2">
      <c r="P1626" s="2"/>
    </row>
    <row r="1627" spans="16:16" x14ac:dyDescent="0.2">
      <c r="P1627" s="2"/>
    </row>
    <row r="1628" spans="16:16" x14ac:dyDescent="0.2">
      <c r="P1628" s="2"/>
    </row>
    <row r="1629" spans="16:16" x14ac:dyDescent="0.2">
      <c r="P1629" s="2"/>
    </row>
    <row r="1630" spans="16:16" x14ac:dyDescent="0.2">
      <c r="P1630" s="2"/>
    </row>
    <row r="1631" spans="16:16" x14ac:dyDescent="0.2">
      <c r="P1631" s="2"/>
    </row>
    <row r="1632" spans="16:16" x14ac:dyDescent="0.2">
      <c r="P1632" s="2"/>
    </row>
    <row r="1633" spans="16:16" x14ac:dyDescent="0.2">
      <c r="P1633" s="2"/>
    </row>
    <row r="1634" spans="16:16" x14ac:dyDescent="0.2">
      <c r="P1634" s="2"/>
    </row>
    <row r="1635" spans="16:16" x14ac:dyDescent="0.2">
      <c r="P1635" s="2"/>
    </row>
    <row r="1636" spans="16:16" x14ac:dyDescent="0.2">
      <c r="P1636" s="2"/>
    </row>
    <row r="1637" spans="16:16" x14ac:dyDescent="0.2">
      <c r="P1637" s="2"/>
    </row>
    <row r="1638" spans="16:16" x14ac:dyDescent="0.2">
      <c r="P1638" s="2"/>
    </row>
    <row r="1639" spans="16:16" x14ac:dyDescent="0.2">
      <c r="P1639" s="2"/>
    </row>
    <row r="1640" spans="16:16" x14ac:dyDescent="0.2">
      <c r="P1640" s="2"/>
    </row>
    <row r="1641" spans="16:16" x14ac:dyDescent="0.2">
      <c r="P1641" s="2"/>
    </row>
    <row r="1642" spans="16:16" x14ac:dyDescent="0.2">
      <c r="P1642" s="2"/>
    </row>
    <row r="1643" spans="16:16" x14ac:dyDescent="0.2">
      <c r="P1643" s="2"/>
    </row>
    <row r="1644" spans="16:16" x14ac:dyDescent="0.2">
      <c r="P1644" s="2"/>
    </row>
    <row r="1645" spans="16:16" x14ac:dyDescent="0.2">
      <c r="P1645" s="2"/>
    </row>
    <row r="1646" spans="16:16" x14ac:dyDescent="0.2">
      <c r="P1646" s="2"/>
    </row>
    <row r="1647" spans="16:16" x14ac:dyDescent="0.2">
      <c r="P1647" s="2"/>
    </row>
    <row r="1648" spans="16:16" x14ac:dyDescent="0.2">
      <c r="P1648" s="2"/>
    </row>
    <row r="1649" spans="16:16" x14ac:dyDescent="0.2">
      <c r="P1649" s="2"/>
    </row>
    <row r="1650" spans="16:16" x14ac:dyDescent="0.2">
      <c r="P1650" s="2"/>
    </row>
    <row r="1651" spans="16:16" x14ac:dyDescent="0.2">
      <c r="P1651" s="2"/>
    </row>
    <row r="1652" spans="16:16" x14ac:dyDescent="0.2">
      <c r="P1652" s="2"/>
    </row>
    <row r="1653" spans="16:16" x14ac:dyDescent="0.2">
      <c r="P1653" s="2"/>
    </row>
    <row r="1654" spans="16:16" x14ac:dyDescent="0.2">
      <c r="P1654" s="2"/>
    </row>
    <row r="1655" spans="16:16" x14ac:dyDescent="0.2">
      <c r="P1655" s="2"/>
    </row>
    <row r="1656" spans="16:16" x14ac:dyDescent="0.2">
      <c r="P1656" s="2"/>
    </row>
    <row r="1657" spans="16:16" x14ac:dyDescent="0.2">
      <c r="P1657" s="2"/>
    </row>
    <row r="1658" spans="16:16" x14ac:dyDescent="0.2">
      <c r="P1658" s="2"/>
    </row>
    <row r="1659" spans="16:16" x14ac:dyDescent="0.2">
      <c r="P1659" s="2"/>
    </row>
    <row r="1660" spans="16:16" x14ac:dyDescent="0.2">
      <c r="P1660" s="2"/>
    </row>
    <row r="1661" spans="16:16" x14ac:dyDescent="0.2">
      <c r="P1661" s="2"/>
    </row>
    <row r="1662" spans="16:16" x14ac:dyDescent="0.2">
      <c r="P1662" s="2"/>
    </row>
    <row r="1663" spans="16:16" x14ac:dyDescent="0.2">
      <c r="P1663" s="2"/>
    </row>
    <row r="1664" spans="16:16" x14ac:dyDescent="0.2">
      <c r="P1664" s="2"/>
    </row>
    <row r="1665" spans="16:16" x14ac:dyDescent="0.2">
      <c r="P1665" s="2"/>
    </row>
    <row r="1666" spans="16:16" x14ac:dyDescent="0.2">
      <c r="P1666" s="2"/>
    </row>
    <row r="1667" spans="16:16" x14ac:dyDescent="0.2">
      <c r="P1667" s="2"/>
    </row>
    <row r="1668" spans="16:16" x14ac:dyDescent="0.2">
      <c r="P1668" s="2"/>
    </row>
    <row r="1669" spans="16:16" x14ac:dyDescent="0.2">
      <c r="P1669" s="2"/>
    </row>
    <row r="1670" spans="16:16" x14ac:dyDescent="0.2">
      <c r="P1670" s="2"/>
    </row>
    <row r="1671" spans="16:16" x14ac:dyDescent="0.2">
      <c r="P1671" s="2"/>
    </row>
    <row r="1672" spans="16:16" x14ac:dyDescent="0.2">
      <c r="P1672" s="2"/>
    </row>
    <row r="1673" spans="16:16" x14ac:dyDescent="0.2">
      <c r="P1673" s="2"/>
    </row>
    <row r="1674" spans="16:16" x14ac:dyDescent="0.2">
      <c r="P1674" s="2"/>
    </row>
    <row r="1675" spans="16:16" x14ac:dyDescent="0.2">
      <c r="P1675" s="2"/>
    </row>
    <row r="1676" spans="16:16" x14ac:dyDescent="0.2">
      <c r="P1676" s="2"/>
    </row>
    <row r="1677" spans="16:16" x14ac:dyDescent="0.2">
      <c r="P1677" s="2"/>
    </row>
    <row r="1678" spans="16:16" x14ac:dyDescent="0.2">
      <c r="P1678" s="2"/>
    </row>
    <row r="1679" spans="16:16" x14ac:dyDescent="0.2">
      <c r="P1679" s="2"/>
    </row>
    <row r="1680" spans="16:16" x14ac:dyDescent="0.2">
      <c r="P1680" s="2"/>
    </row>
    <row r="1681" spans="16:16" x14ac:dyDescent="0.2">
      <c r="P1681" s="2"/>
    </row>
    <row r="1682" spans="16:16" x14ac:dyDescent="0.2">
      <c r="P1682" s="2"/>
    </row>
    <row r="1683" spans="16:16" x14ac:dyDescent="0.2">
      <c r="P1683" s="2"/>
    </row>
    <row r="1684" spans="16:16" x14ac:dyDescent="0.2">
      <c r="P1684" s="2"/>
    </row>
    <row r="1685" spans="16:16" x14ac:dyDescent="0.2">
      <c r="P1685" s="2"/>
    </row>
    <row r="1686" spans="16:16" x14ac:dyDescent="0.2">
      <c r="P1686" s="2"/>
    </row>
    <row r="1687" spans="16:16" x14ac:dyDescent="0.2">
      <c r="P1687" s="2"/>
    </row>
    <row r="1688" spans="16:16" x14ac:dyDescent="0.2">
      <c r="P1688" s="2"/>
    </row>
    <row r="1689" spans="16:16" x14ac:dyDescent="0.2">
      <c r="P1689" s="2"/>
    </row>
    <row r="1690" spans="16:16" x14ac:dyDescent="0.2">
      <c r="P1690" s="2"/>
    </row>
    <row r="1691" spans="16:16" x14ac:dyDescent="0.2">
      <c r="P1691" s="2"/>
    </row>
    <row r="1692" spans="16:16" x14ac:dyDescent="0.2">
      <c r="P1692" s="2"/>
    </row>
    <row r="1693" spans="16:16" x14ac:dyDescent="0.2">
      <c r="P1693" s="2"/>
    </row>
    <row r="1694" spans="16:16" x14ac:dyDescent="0.2">
      <c r="P1694" s="2"/>
    </row>
    <row r="1695" spans="16:16" x14ac:dyDescent="0.2">
      <c r="P1695" s="2"/>
    </row>
    <row r="1696" spans="16:16" x14ac:dyDescent="0.2">
      <c r="P1696" s="2"/>
    </row>
    <row r="1697" spans="16:16" x14ac:dyDescent="0.2">
      <c r="P1697" s="2"/>
    </row>
    <row r="1698" spans="16:16" x14ac:dyDescent="0.2">
      <c r="P1698" s="2"/>
    </row>
    <row r="1699" spans="16:16" x14ac:dyDescent="0.2">
      <c r="P1699" s="2"/>
    </row>
    <row r="1700" spans="16:16" x14ac:dyDescent="0.2">
      <c r="P1700" s="2"/>
    </row>
    <row r="1701" spans="16:16" x14ac:dyDescent="0.2">
      <c r="P1701" s="2"/>
    </row>
    <row r="1702" spans="16:16" x14ac:dyDescent="0.2">
      <c r="P1702" s="2"/>
    </row>
    <row r="1703" spans="16:16" x14ac:dyDescent="0.2">
      <c r="P1703" s="2"/>
    </row>
    <row r="1704" spans="16:16" x14ac:dyDescent="0.2">
      <c r="P1704" s="2"/>
    </row>
    <row r="1705" spans="16:16" x14ac:dyDescent="0.2">
      <c r="P1705" s="2"/>
    </row>
    <row r="1706" spans="16:16" x14ac:dyDescent="0.2">
      <c r="P1706" s="2"/>
    </row>
    <row r="1707" spans="16:16" x14ac:dyDescent="0.2">
      <c r="P1707" s="2"/>
    </row>
    <row r="1708" spans="16:16" x14ac:dyDescent="0.2">
      <c r="P1708" s="2"/>
    </row>
    <row r="1709" spans="16:16" x14ac:dyDescent="0.2">
      <c r="P1709" s="2"/>
    </row>
    <row r="1710" spans="16:16" x14ac:dyDescent="0.2">
      <c r="P1710" s="2"/>
    </row>
    <row r="1711" spans="16:16" x14ac:dyDescent="0.2">
      <c r="P1711" s="2"/>
    </row>
    <row r="1712" spans="16:16" x14ac:dyDescent="0.2">
      <c r="P1712" s="2"/>
    </row>
    <row r="1713" spans="16:16" x14ac:dyDescent="0.2">
      <c r="P1713" s="2"/>
    </row>
    <row r="1714" spans="16:16" x14ac:dyDescent="0.2">
      <c r="P1714" s="2"/>
    </row>
    <row r="1715" spans="16:16" x14ac:dyDescent="0.2">
      <c r="P1715" s="2"/>
    </row>
    <row r="1716" spans="16:16" x14ac:dyDescent="0.2">
      <c r="P1716" s="2"/>
    </row>
    <row r="1717" spans="16:16" x14ac:dyDescent="0.2">
      <c r="P1717" s="2"/>
    </row>
    <row r="1718" spans="16:16" x14ac:dyDescent="0.2">
      <c r="P1718" s="2"/>
    </row>
    <row r="1719" spans="16:16" x14ac:dyDescent="0.2">
      <c r="P1719" s="2"/>
    </row>
    <row r="1720" spans="16:16" x14ac:dyDescent="0.2">
      <c r="P1720" s="2"/>
    </row>
    <row r="1721" spans="16:16" x14ac:dyDescent="0.2">
      <c r="P1721" s="2"/>
    </row>
    <row r="1722" spans="16:16" x14ac:dyDescent="0.2">
      <c r="P1722" s="2"/>
    </row>
    <row r="1723" spans="16:16" x14ac:dyDescent="0.2">
      <c r="P1723" s="2"/>
    </row>
    <row r="1724" spans="16:16" x14ac:dyDescent="0.2">
      <c r="P1724" s="2"/>
    </row>
    <row r="1725" spans="16:16" x14ac:dyDescent="0.2">
      <c r="P1725" s="2"/>
    </row>
    <row r="1726" spans="16:16" x14ac:dyDescent="0.2">
      <c r="P1726" s="2"/>
    </row>
    <row r="1727" spans="16:16" x14ac:dyDescent="0.2">
      <c r="P1727" s="2"/>
    </row>
    <row r="1728" spans="16:16" x14ac:dyDescent="0.2">
      <c r="P1728" s="2"/>
    </row>
    <row r="1729" spans="16:16" x14ac:dyDescent="0.2">
      <c r="P1729" s="2"/>
    </row>
    <row r="1730" spans="16:16" x14ac:dyDescent="0.2">
      <c r="P1730" s="2"/>
    </row>
    <row r="1731" spans="16:16" x14ac:dyDescent="0.2">
      <c r="P1731" s="2"/>
    </row>
    <row r="1732" spans="16:16" x14ac:dyDescent="0.2">
      <c r="P1732" s="2"/>
    </row>
    <row r="1733" spans="16:16" x14ac:dyDescent="0.2">
      <c r="P1733" s="2"/>
    </row>
    <row r="1734" spans="16:16" x14ac:dyDescent="0.2">
      <c r="P1734" s="2"/>
    </row>
    <row r="1735" spans="16:16" x14ac:dyDescent="0.2">
      <c r="P1735" s="2"/>
    </row>
    <row r="1736" spans="16:16" x14ac:dyDescent="0.2">
      <c r="P1736" s="2"/>
    </row>
    <row r="1737" spans="16:16" x14ac:dyDescent="0.2">
      <c r="P1737" s="2"/>
    </row>
    <row r="1738" spans="16:16" x14ac:dyDescent="0.2">
      <c r="P1738" s="2"/>
    </row>
    <row r="1739" spans="16:16" x14ac:dyDescent="0.2">
      <c r="P1739" s="2"/>
    </row>
    <row r="1740" spans="16:16" x14ac:dyDescent="0.2">
      <c r="P1740" s="2"/>
    </row>
    <row r="1741" spans="16:16" x14ac:dyDescent="0.2">
      <c r="P1741" s="2"/>
    </row>
    <row r="1742" spans="16:16" x14ac:dyDescent="0.2">
      <c r="P1742" s="2"/>
    </row>
    <row r="1743" spans="16:16" x14ac:dyDescent="0.2">
      <c r="P1743" s="2"/>
    </row>
    <row r="1744" spans="16:16" x14ac:dyDescent="0.2">
      <c r="P1744" s="2"/>
    </row>
    <row r="1745" spans="16:16" x14ac:dyDescent="0.2">
      <c r="P1745" s="2"/>
    </row>
    <row r="1746" spans="16:16" x14ac:dyDescent="0.2">
      <c r="P1746" s="2"/>
    </row>
    <row r="1747" spans="16:16" x14ac:dyDescent="0.2">
      <c r="P1747" s="2"/>
    </row>
    <row r="1748" spans="16:16" x14ac:dyDescent="0.2">
      <c r="P1748" s="2"/>
    </row>
    <row r="1749" spans="16:16" x14ac:dyDescent="0.2">
      <c r="P1749" s="2"/>
    </row>
    <row r="1750" spans="16:16" x14ac:dyDescent="0.2">
      <c r="P1750" s="2"/>
    </row>
    <row r="1751" spans="16:16" x14ac:dyDescent="0.2">
      <c r="P1751" s="2"/>
    </row>
    <row r="1752" spans="16:16" x14ac:dyDescent="0.2">
      <c r="P1752" s="2"/>
    </row>
    <row r="1753" spans="16:16" x14ac:dyDescent="0.2">
      <c r="P1753" s="2"/>
    </row>
    <row r="1754" spans="16:16" x14ac:dyDescent="0.2">
      <c r="P1754" s="2"/>
    </row>
    <row r="1755" spans="16:16" x14ac:dyDescent="0.2">
      <c r="P1755" s="2"/>
    </row>
    <row r="1756" spans="16:16" x14ac:dyDescent="0.2">
      <c r="P1756" s="2"/>
    </row>
    <row r="1757" spans="16:16" x14ac:dyDescent="0.2">
      <c r="P1757" s="2"/>
    </row>
    <row r="1758" spans="16:16" x14ac:dyDescent="0.2">
      <c r="P1758" s="2"/>
    </row>
    <row r="1759" spans="16:16" x14ac:dyDescent="0.2">
      <c r="P1759" s="2"/>
    </row>
    <row r="1760" spans="16:16" x14ac:dyDescent="0.2">
      <c r="P1760" s="2"/>
    </row>
    <row r="1761" spans="16:16" x14ac:dyDescent="0.2">
      <c r="P1761" s="2"/>
    </row>
    <row r="1762" spans="16:16" x14ac:dyDescent="0.2">
      <c r="P1762" s="2"/>
    </row>
    <row r="1763" spans="16:16" x14ac:dyDescent="0.2">
      <c r="P1763" s="2"/>
    </row>
    <row r="1764" spans="16:16" x14ac:dyDescent="0.2">
      <c r="P1764" s="2"/>
    </row>
    <row r="1765" spans="16:16" x14ac:dyDescent="0.2">
      <c r="P1765" s="2"/>
    </row>
    <row r="1766" spans="16:16" x14ac:dyDescent="0.2">
      <c r="P1766" s="2"/>
    </row>
    <row r="1767" spans="16:16" x14ac:dyDescent="0.2">
      <c r="P1767" s="2"/>
    </row>
    <row r="1768" spans="16:16" x14ac:dyDescent="0.2">
      <c r="P1768" s="2"/>
    </row>
    <row r="1769" spans="16:16" x14ac:dyDescent="0.2">
      <c r="P1769" s="2"/>
    </row>
    <row r="1770" spans="16:16" x14ac:dyDescent="0.2">
      <c r="P1770" s="2"/>
    </row>
    <row r="1771" spans="16:16" x14ac:dyDescent="0.2">
      <c r="P1771" s="2"/>
    </row>
    <row r="1772" spans="16:16" x14ac:dyDescent="0.2">
      <c r="P1772" s="2"/>
    </row>
    <row r="1773" spans="16:16" x14ac:dyDescent="0.2">
      <c r="P1773" s="2"/>
    </row>
    <row r="1774" spans="16:16" x14ac:dyDescent="0.2">
      <c r="P1774" s="2"/>
    </row>
    <row r="1775" spans="16:16" x14ac:dyDescent="0.2">
      <c r="P1775" s="2"/>
    </row>
    <row r="1776" spans="16:16" x14ac:dyDescent="0.2">
      <c r="P1776" s="2"/>
    </row>
    <row r="1777" spans="16:16" x14ac:dyDescent="0.2">
      <c r="P1777" s="2"/>
    </row>
    <row r="1778" spans="16:16" x14ac:dyDescent="0.2">
      <c r="P1778" s="2"/>
    </row>
    <row r="1779" spans="16:16" x14ac:dyDescent="0.2">
      <c r="P1779" s="2"/>
    </row>
    <row r="1780" spans="16:16" x14ac:dyDescent="0.2">
      <c r="P1780" s="2"/>
    </row>
    <row r="1781" spans="16:16" x14ac:dyDescent="0.2">
      <c r="P1781" s="2"/>
    </row>
    <row r="1782" spans="16:16" x14ac:dyDescent="0.2">
      <c r="P1782" s="2"/>
    </row>
    <row r="1783" spans="16:16" x14ac:dyDescent="0.2">
      <c r="P1783" s="2"/>
    </row>
    <row r="1784" spans="16:16" x14ac:dyDescent="0.2">
      <c r="P1784" s="2"/>
    </row>
    <row r="1785" spans="16:16" x14ac:dyDescent="0.2">
      <c r="P1785" s="2"/>
    </row>
    <row r="1786" spans="16:16" x14ac:dyDescent="0.2">
      <c r="P1786" s="2"/>
    </row>
    <row r="1787" spans="16:16" x14ac:dyDescent="0.2">
      <c r="P1787" s="2"/>
    </row>
    <row r="1788" spans="16:16" x14ac:dyDescent="0.2">
      <c r="P1788" s="2"/>
    </row>
    <row r="1789" spans="16:16" x14ac:dyDescent="0.2">
      <c r="P1789" s="2"/>
    </row>
    <row r="1790" spans="16:16" x14ac:dyDescent="0.2">
      <c r="P1790" s="2"/>
    </row>
    <row r="1791" spans="16:16" x14ac:dyDescent="0.2">
      <c r="P1791" s="2"/>
    </row>
    <row r="1792" spans="16:16" x14ac:dyDescent="0.2">
      <c r="P1792" s="2"/>
    </row>
    <row r="1793" spans="16:16" x14ac:dyDescent="0.2">
      <c r="P1793" s="2"/>
    </row>
    <row r="1794" spans="16:16" x14ac:dyDescent="0.2">
      <c r="P1794" s="2"/>
    </row>
    <row r="1795" spans="16:16" x14ac:dyDescent="0.2">
      <c r="P1795" s="2"/>
    </row>
    <row r="1796" spans="16:16" x14ac:dyDescent="0.2">
      <c r="P1796" s="2"/>
    </row>
    <row r="1797" spans="16:16" x14ac:dyDescent="0.2">
      <c r="P1797" s="2"/>
    </row>
    <row r="1798" spans="16:16" x14ac:dyDescent="0.2">
      <c r="P1798" s="2"/>
    </row>
    <row r="1799" spans="16:16" x14ac:dyDescent="0.2">
      <c r="P1799" s="2"/>
    </row>
    <row r="1800" spans="16:16" x14ac:dyDescent="0.2">
      <c r="P1800" s="2"/>
    </row>
    <row r="1801" spans="16:16" x14ac:dyDescent="0.2">
      <c r="P1801" s="2"/>
    </row>
    <row r="1802" spans="16:16" x14ac:dyDescent="0.2">
      <c r="P1802" s="2"/>
    </row>
    <row r="1803" spans="16:16" x14ac:dyDescent="0.2">
      <c r="P1803" s="2"/>
    </row>
    <row r="1804" spans="16:16" x14ac:dyDescent="0.2">
      <c r="P1804" s="2"/>
    </row>
    <row r="1805" spans="16:16" x14ac:dyDescent="0.2">
      <c r="P1805" s="2"/>
    </row>
    <row r="1806" spans="16:16" x14ac:dyDescent="0.2">
      <c r="P1806" s="2"/>
    </row>
    <row r="1807" spans="16:16" x14ac:dyDescent="0.2">
      <c r="P1807" s="2"/>
    </row>
    <row r="1808" spans="16:16" x14ac:dyDescent="0.2">
      <c r="P1808" s="2"/>
    </row>
    <row r="1809" spans="16:16" x14ac:dyDescent="0.2">
      <c r="P1809" s="2"/>
    </row>
    <row r="1810" spans="16:16" x14ac:dyDescent="0.2">
      <c r="P1810" s="2"/>
    </row>
    <row r="1811" spans="16:16" x14ac:dyDescent="0.2">
      <c r="P1811" s="2"/>
    </row>
    <row r="1812" spans="16:16" x14ac:dyDescent="0.2">
      <c r="P1812" s="2"/>
    </row>
    <row r="1813" spans="16:16" x14ac:dyDescent="0.2">
      <c r="P1813" s="2"/>
    </row>
    <row r="1814" spans="16:16" x14ac:dyDescent="0.2">
      <c r="P1814" s="2"/>
    </row>
    <row r="1815" spans="16:16" x14ac:dyDescent="0.2">
      <c r="P1815" s="2"/>
    </row>
    <row r="1816" spans="16:16" x14ac:dyDescent="0.2">
      <c r="P1816" s="2"/>
    </row>
    <row r="1817" spans="16:16" x14ac:dyDescent="0.2">
      <c r="P1817" s="2"/>
    </row>
    <row r="1818" spans="16:16" x14ac:dyDescent="0.2">
      <c r="P1818" s="2"/>
    </row>
    <row r="1819" spans="16:16" x14ac:dyDescent="0.2">
      <c r="P1819" s="2"/>
    </row>
    <row r="1820" spans="16:16" x14ac:dyDescent="0.2">
      <c r="P1820" s="2"/>
    </row>
    <row r="1821" spans="16:16" x14ac:dyDescent="0.2">
      <c r="P1821" s="2"/>
    </row>
    <row r="1822" spans="16:16" x14ac:dyDescent="0.2">
      <c r="P1822" s="2"/>
    </row>
    <row r="1823" spans="16:16" x14ac:dyDescent="0.2">
      <c r="P1823" s="2"/>
    </row>
    <row r="1824" spans="16:16" x14ac:dyDescent="0.2">
      <c r="P1824" s="2"/>
    </row>
    <row r="1825" spans="16:16" x14ac:dyDescent="0.2">
      <c r="P1825" s="2"/>
    </row>
    <row r="1826" spans="16:16" x14ac:dyDescent="0.2">
      <c r="P1826" s="2"/>
    </row>
    <row r="1827" spans="16:16" x14ac:dyDescent="0.2">
      <c r="P1827" s="2"/>
    </row>
    <row r="1828" spans="16:16" x14ac:dyDescent="0.2">
      <c r="P1828" s="2"/>
    </row>
    <row r="1829" spans="16:16" x14ac:dyDescent="0.2">
      <c r="P1829" s="2"/>
    </row>
    <row r="1830" spans="16:16" x14ac:dyDescent="0.2">
      <c r="P1830" s="2"/>
    </row>
    <row r="1831" spans="16:16" x14ac:dyDescent="0.2">
      <c r="P1831" s="2"/>
    </row>
    <row r="1832" spans="16:16" x14ac:dyDescent="0.2">
      <c r="P1832" s="2"/>
    </row>
    <row r="1833" spans="16:16" x14ac:dyDescent="0.2">
      <c r="P1833" s="2"/>
    </row>
    <row r="1834" spans="16:16" x14ac:dyDescent="0.2">
      <c r="P1834" s="2"/>
    </row>
    <row r="1835" spans="16:16" x14ac:dyDescent="0.2">
      <c r="P1835" s="2"/>
    </row>
    <row r="1836" spans="16:16" x14ac:dyDescent="0.2">
      <c r="P1836" s="2"/>
    </row>
    <row r="1837" spans="16:16" x14ac:dyDescent="0.2">
      <c r="P1837" s="2"/>
    </row>
    <row r="1838" spans="16:16" x14ac:dyDescent="0.2">
      <c r="P1838" s="2"/>
    </row>
    <row r="1839" spans="16:16" x14ac:dyDescent="0.2">
      <c r="P1839" s="2"/>
    </row>
    <row r="1840" spans="16:16" x14ac:dyDescent="0.2">
      <c r="P1840" s="2"/>
    </row>
    <row r="1841" spans="16:16" x14ac:dyDescent="0.2">
      <c r="P1841" s="2"/>
    </row>
    <row r="1842" spans="16:16" x14ac:dyDescent="0.2">
      <c r="P1842" s="2"/>
    </row>
    <row r="1843" spans="16:16" x14ac:dyDescent="0.2">
      <c r="P1843" s="2"/>
    </row>
    <row r="1844" spans="16:16" x14ac:dyDescent="0.2">
      <c r="P1844" s="2"/>
    </row>
    <row r="1845" spans="16:16" x14ac:dyDescent="0.2">
      <c r="P1845" s="2"/>
    </row>
    <row r="1846" spans="16:16" x14ac:dyDescent="0.2">
      <c r="P1846" s="2"/>
    </row>
    <row r="1847" spans="16:16" x14ac:dyDescent="0.2">
      <c r="P1847" s="2"/>
    </row>
    <row r="1848" spans="16:16" x14ac:dyDescent="0.2">
      <c r="P1848" s="2"/>
    </row>
    <row r="1849" spans="16:16" x14ac:dyDescent="0.2">
      <c r="P1849" s="2"/>
    </row>
    <row r="1850" spans="16:16" x14ac:dyDescent="0.2">
      <c r="P1850" s="2"/>
    </row>
    <row r="1851" spans="16:16" x14ac:dyDescent="0.2">
      <c r="P1851" s="2"/>
    </row>
    <row r="1852" spans="16:16" x14ac:dyDescent="0.2">
      <c r="P1852" s="2"/>
    </row>
    <row r="1853" spans="16:16" x14ac:dyDescent="0.2">
      <c r="P1853" s="2"/>
    </row>
    <row r="1854" spans="16:16" x14ac:dyDescent="0.2">
      <c r="P1854" s="2"/>
    </row>
    <row r="1855" spans="16:16" x14ac:dyDescent="0.2">
      <c r="P1855" s="2"/>
    </row>
    <row r="1856" spans="16:16" x14ac:dyDescent="0.2">
      <c r="P1856" s="2"/>
    </row>
    <row r="1857" spans="16:16" x14ac:dyDescent="0.2">
      <c r="P1857" s="2"/>
    </row>
    <row r="1858" spans="16:16" x14ac:dyDescent="0.2">
      <c r="P1858" s="2"/>
    </row>
    <row r="1859" spans="16:16" x14ac:dyDescent="0.2">
      <c r="P1859" s="2"/>
    </row>
    <row r="1860" spans="16:16" x14ac:dyDescent="0.2">
      <c r="P1860" s="2"/>
    </row>
    <row r="1861" spans="16:16" x14ac:dyDescent="0.2">
      <c r="P1861" s="2"/>
    </row>
  </sheetData>
  <mergeCells count="38">
    <mergeCell ref="A1:H1"/>
    <mergeCell ref="BW1:CJ1"/>
    <mergeCell ref="A2:B2"/>
    <mergeCell ref="A3:A5"/>
    <mergeCell ref="B3:B4"/>
    <mergeCell ref="BR3:BR4"/>
    <mergeCell ref="BS3:BX3"/>
    <mergeCell ref="BY3:CA3"/>
    <mergeCell ref="CB3:CE3"/>
    <mergeCell ref="CF3:CF4"/>
    <mergeCell ref="CG3:CG4"/>
    <mergeCell ref="CH3:CH4"/>
    <mergeCell ref="CI3:CI4"/>
    <mergeCell ref="CJ3:CJ5"/>
    <mergeCell ref="A73:B73"/>
    <mergeCell ref="CI73:CJ73"/>
    <mergeCell ref="A74:B74"/>
    <mergeCell ref="CI74:CJ74"/>
    <mergeCell ref="A75:B75"/>
    <mergeCell ref="CI75:CJ75"/>
    <mergeCell ref="A76:B76"/>
    <mergeCell ref="CI76:CJ76"/>
    <mergeCell ref="A77:B77"/>
    <mergeCell ref="CI77:CJ77"/>
    <mergeCell ref="A78:B78"/>
    <mergeCell ref="CI78:CJ78"/>
    <mergeCell ref="A79:B79"/>
    <mergeCell ref="CI79:CJ79"/>
    <mergeCell ref="A83:B83"/>
    <mergeCell ref="CI83:CJ83"/>
    <mergeCell ref="CI85:CJ85"/>
    <mergeCell ref="CI88:CJ88"/>
    <mergeCell ref="A80:B80"/>
    <mergeCell ref="CI80:CJ80"/>
    <mergeCell ref="A81:B81"/>
    <mergeCell ref="CI81:CJ81"/>
    <mergeCell ref="A82:B82"/>
    <mergeCell ref="CI82:CJ82"/>
  </mergeCells>
  <pageMargins left="0.70866141732283472" right="2.4409448818897639" top="0.74803149606299213" bottom="0.74803149606299213" header="0.31496062992125984" footer="0.31496062992125984"/>
  <pageSetup paperSize="270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7881-AAD9-2F40-A407-D72AA82F5B57}">
  <sheetPr>
    <tabColor rgb="FF00B050"/>
  </sheetPr>
  <dimension ref="A1:GX364"/>
  <sheetViews>
    <sheetView zoomScale="107" zoomScaleNormal="87" workbookViewId="0">
      <pane xSplit="1" ySplit="1" topLeftCell="B62" activePane="bottomRight" state="frozen"/>
      <selection activeCell="B8" sqref="B8"/>
      <selection pane="topRight" activeCell="B8" sqref="B8"/>
      <selection pane="bottomLeft" activeCell="B8" sqref="B8"/>
      <selection pane="bottomRight" activeCell="H47" sqref="H47"/>
    </sheetView>
  </sheetViews>
  <sheetFormatPr baseColWidth="10" defaultColWidth="8.83203125" defaultRowHeight="15" x14ac:dyDescent="0.2"/>
  <cols>
    <col min="1" max="1" width="8.83203125" style="73"/>
    <col min="2" max="144" width="9.33203125" style="73" bestFit="1" customWidth="1"/>
    <col min="145" max="145" width="12.1640625" style="73" bestFit="1" customWidth="1"/>
    <col min="146" max="147" width="10" style="73" bestFit="1" customWidth="1"/>
    <col min="148" max="157" width="9.33203125" style="73" bestFit="1" customWidth="1"/>
    <col min="158" max="158" width="10" style="73" bestFit="1" customWidth="1"/>
    <col min="159" max="168" width="9.33203125" style="73" bestFit="1" customWidth="1"/>
    <col min="169" max="172" width="10" style="73" bestFit="1" customWidth="1"/>
    <col min="173" max="181" width="9.33203125" style="73" bestFit="1" customWidth="1"/>
    <col min="182" max="182" width="10" style="73" bestFit="1" customWidth="1"/>
    <col min="183" max="186" width="9.33203125" style="73" bestFit="1" customWidth="1"/>
    <col min="187" max="187" width="10" style="73" bestFit="1" customWidth="1"/>
    <col min="188" max="188" width="9.33203125" style="73" bestFit="1" customWidth="1"/>
    <col min="189" max="190" width="10" style="73" bestFit="1" customWidth="1"/>
    <col min="191" max="16384" width="8.83203125" style="73"/>
  </cols>
  <sheetData>
    <row r="1" spans="1:206" ht="80" x14ac:dyDescent="0.2">
      <c r="A1" s="70" t="s">
        <v>214</v>
      </c>
      <c r="B1" s="71" t="s">
        <v>215</v>
      </c>
      <c r="C1" s="71" t="s">
        <v>216</v>
      </c>
      <c r="D1" s="71" t="s">
        <v>217</v>
      </c>
      <c r="E1" s="71" t="s">
        <v>218</v>
      </c>
      <c r="F1" s="71" t="s">
        <v>219</v>
      </c>
      <c r="G1" s="71" t="s">
        <v>220</v>
      </c>
      <c r="H1" s="71" t="s">
        <v>221</v>
      </c>
      <c r="I1" s="71" t="s">
        <v>222</v>
      </c>
      <c r="J1" s="71" t="s">
        <v>223</v>
      </c>
      <c r="K1" s="71" t="s">
        <v>224</v>
      </c>
      <c r="L1" s="71" t="s">
        <v>225</v>
      </c>
      <c r="M1" s="71" t="s">
        <v>226</v>
      </c>
      <c r="N1" s="71" t="s">
        <v>227</v>
      </c>
      <c r="O1" s="71" t="s">
        <v>228</v>
      </c>
      <c r="P1" s="71" t="s">
        <v>229</v>
      </c>
      <c r="Q1" s="71" t="s">
        <v>230</v>
      </c>
      <c r="R1" s="71" t="s">
        <v>231</v>
      </c>
      <c r="S1" s="71" t="s">
        <v>232</v>
      </c>
      <c r="T1" s="71" t="s">
        <v>233</v>
      </c>
      <c r="U1" s="71" t="s">
        <v>234</v>
      </c>
      <c r="V1" s="71" t="s">
        <v>235</v>
      </c>
      <c r="W1" s="71" t="s">
        <v>236</v>
      </c>
      <c r="X1" s="71" t="s">
        <v>237</v>
      </c>
      <c r="Y1" s="71" t="s">
        <v>238</v>
      </c>
      <c r="Z1" s="71" t="s">
        <v>239</v>
      </c>
      <c r="AA1" s="71" t="s">
        <v>240</v>
      </c>
      <c r="AB1" s="71" t="s">
        <v>241</v>
      </c>
      <c r="AC1" s="71" t="s">
        <v>242</v>
      </c>
      <c r="AD1" s="71" t="s">
        <v>243</v>
      </c>
      <c r="AE1" s="71" t="s">
        <v>244</v>
      </c>
      <c r="AF1" s="71" t="s">
        <v>245</v>
      </c>
      <c r="AG1" s="71" t="s">
        <v>246</v>
      </c>
      <c r="AH1" s="71" t="s">
        <v>247</v>
      </c>
      <c r="AI1" s="71" t="s">
        <v>248</v>
      </c>
      <c r="AJ1" s="71" t="s">
        <v>249</v>
      </c>
      <c r="AK1" s="71" t="s">
        <v>250</v>
      </c>
      <c r="AL1" s="71" t="s">
        <v>251</v>
      </c>
      <c r="AM1" s="71" t="s">
        <v>252</v>
      </c>
      <c r="AN1" s="71" t="s">
        <v>253</v>
      </c>
      <c r="AO1" s="71" t="s">
        <v>254</v>
      </c>
      <c r="AP1" s="71" t="s">
        <v>255</v>
      </c>
      <c r="AQ1" s="71" t="s">
        <v>256</v>
      </c>
      <c r="AR1" s="71" t="s">
        <v>257</v>
      </c>
      <c r="AS1" s="71" t="s">
        <v>258</v>
      </c>
      <c r="AT1" s="71" t="s">
        <v>259</v>
      </c>
      <c r="AU1" s="71" t="s">
        <v>260</v>
      </c>
      <c r="AV1" s="71" t="s">
        <v>261</v>
      </c>
      <c r="AW1" s="71" t="s">
        <v>262</v>
      </c>
      <c r="AX1" s="71" t="s">
        <v>263</v>
      </c>
      <c r="AY1" s="71" t="s">
        <v>264</v>
      </c>
      <c r="AZ1" s="71" t="s">
        <v>265</v>
      </c>
      <c r="BA1" s="71" t="s">
        <v>266</v>
      </c>
      <c r="BB1" s="71" t="s">
        <v>267</v>
      </c>
      <c r="BC1" s="71" t="s">
        <v>268</v>
      </c>
      <c r="BD1" s="71" t="s">
        <v>269</v>
      </c>
      <c r="BE1" s="71" t="s">
        <v>270</v>
      </c>
      <c r="BF1" s="71" t="s">
        <v>271</v>
      </c>
      <c r="BG1" s="71" t="s">
        <v>272</v>
      </c>
      <c r="BH1" s="71" t="s">
        <v>273</v>
      </c>
      <c r="BI1" s="71" t="s">
        <v>274</v>
      </c>
      <c r="BJ1" s="71" t="s">
        <v>275</v>
      </c>
      <c r="BK1" s="71" t="s">
        <v>276</v>
      </c>
      <c r="BL1" s="71" t="s">
        <v>277</v>
      </c>
      <c r="BM1" s="71" t="s">
        <v>278</v>
      </c>
      <c r="BN1" s="71" t="s">
        <v>279</v>
      </c>
      <c r="BO1" s="71" t="s">
        <v>280</v>
      </c>
      <c r="BP1" s="71" t="s">
        <v>281</v>
      </c>
      <c r="BQ1" s="71" t="s">
        <v>282</v>
      </c>
      <c r="BR1" s="71" t="s">
        <v>283</v>
      </c>
      <c r="BS1" s="72" t="s">
        <v>284</v>
      </c>
      <c r="BT1" s="72" t="s">
        <v>285</v>
      </c>
      <c r="BU1" s="72" t="s">
        <v>286</v>
      </c>
      <c r="BV1" s="72" t="s">
        <v>287</v>
      </c>
      <c r="BW1" s="72" t="s">
        <v>288</v>
      </c>
      <c r="BX1" s="72" t="s">
        <v>289</v>
      </c>
      <c r="BY1" s="72" t="s">
        <v>290</v>
      </c>
      <c r="BZ1" s="72" t="s">
        <v>291</v>
      </c>
      <c r="CA1" s="72" t="s">
        <v>292</v>
      </c>
      <c r="CB1" s="72" t="s">
        <v>293</v>
      </c>
      <c r="CC1" s="72" t="s">
        <v>294</v>
      </c>
      <c r="CD1" s="72" t="s">
        <v>295</v>
      </c>
      <c r="CE1" s="72" t="s">
        <v>296</v>
      </c>
      <c r="CF1" s="72" t="s">
        <v>297</v>
      </c>
      <c r="CG1" s="72" t="s">
        <v>298</v>
      </c>
      <c r="CH1" s="72" t="s">
        <v>299</v>
      </c>
      <c r="CI1" s="72" t="s">
        <v>300</v>
      </c>
      <c r="CJ1" s="72" t="s">
        <v>301</v>
      </c>
      <c r="CK1" s="72" t="s">
        <v>302</v>
      </c>
      <c r="CL1" s="72" t="s">
        <v>303</v>
      </c>
      <c r="CM1" s="72" t="s">
        <v>304</v>
      </c>
      <c r="CN1" s="72" t="s">
        <v>305</v>
      </c>
      <c r="CO1" s="72" t="s">
        <v>306</v>
      </c>
      <c r="CP1" s="72" t="s">
        <v>307</v>
      </c>
      <c r="CQ1" s="72" t="s">
        <v>308</v>
      </c>
      <c r="CR1" s="72" t="s">
        <v>309</v>
      </c>
      <c r="CS1" s="72" t="s">
        <v>310</v>
      </c>
      <c r="CT1" s="72" t="s">
        <v>311</v>
      </c>
      <c r="CU1" s="72" t="s">
        <v>312</v>
      </c>
      <c r="CV1" s="72" t="s">
        <v>313</v>
      </c>
      <c r="CW1" s="72" t="s">
        <v>314</v>
      </c>
      <c r="CX1" s="72" t="s">
        <v>315</v>
      </c>
      <c r="CY1" s="72" t="s">
        <v>316</v>
      </c>
      <c r="CZ1" s="72" t="s">
        <v>317</v>
      </c>
      <c r="DA1" s="72" t="s">
        <v>318</v>
      </c>
      <c r="DB1" s="72" t="s">
        <v>319</v>
      </c>
      <c r="DC1" s="72" t="s">
        <v>320</v>
      </c>
      <c r="DD1" s="72" t="s">
        <v>321</v>
      </c>
      <c r="DE1" s="72" t="s">
        <v>322</v>
      </c>
      <c r="DF1" s="72" t="s">
        <v>323</v>
      </c>
      <c r="DG1" s="72" t="s">
        <v>324</v>
      </c>
      <c r="DH1" s="72" t="s">
        <v>325</v>
      </c>
      <c r="DI1" s="72" t="s">
        <v>326</v>
      </c>
      <c r="DJ1" s="72" t="s">
        <v>327</v>
      </c>
      <c r="DK1" s="72" t="s">
        <v>328</v>
      </c>
      <c r="DL1" s="72" t="s">
        <v>329</v>
      </c>
      <c r="DM1" s="72" t="s">
        <v>330</v>
      </c>
      <c r="DN1" s="72" t="s">
        <v>331</v>
      </c>
      <c r="DO1" s="72" t="s">
        <v>332</v>
      </c>
      <c r="DP1" s="72" t="s">
        <v>333</v>
      </c>
      <c r="DQ1" s="72" t="s">
        <v>334</v>
      </c>
      <c r="DR1" s="72" t="s">
        <v>335</v>
      </c>
      <c r="DS1" s="72" t="s">
        <v>336</v>
      </c>
      <c r="DT1" s="72" t="s">
        <v>337</v>
      </c>
      <c r="DU1" s="72" t="s">
        <v>338</v>
      </c>
      <c r="DV1" s="72" t="s">
        <v>339</v>
      </c>
      <c r="DW1" s="72" t="s">
        <v>340</v>
      </c>
      <c r="DX1" s="72" t="s">
        <v>131</v>
      </c>
      <c r="DY1" s="72" t="s">
        <v>341</v>
      </c>
      <c r="DZ1" s="72" t="s">
        <v>342</v>
      </c>
      <c r="EA1" s="72" t="s">
        <v>343</v>
      </c>
      <c r="EB1" s="72" t="s">
        <v>344</v>
      </c>
      <c r="EC1" s="72" t="s">
        <v>345</v>
      </c>
      <c r="ED1" s="72" t="s">
        <v>346</v>
      </c>
      <c r="EE1" s="72" t="s">
        <v>347</v>
      </c>
      <c r="EF1" s="72" t="s">
        <v>348</v>
      </c>
      <c r="EG1" s="72" t="s">
        <v>349</v>
      </c>
      <c r="EH1" s="72" t="s">
        <v>147</v>
      </c>
      <c r="EI1" s="72" t="s">
        <v>350</v>
      </c>
      <c r="EJ1" s="72" t="s">
        <v>351</v>
      </c>
      <c r="EK1" s="72" t="s">
        <v>352</v>
      </c>
      <c r="EL1" s="72" t="s">
        <v>353</v>
      </c>
      <c r="EM1" s="72" t="s">
        <v>354</v>
      </c>
      <c r="EN1" s="71" t="s">
        <v>355</v>
      </c>
      <c r="EO1" s="71" t="s">
        <v>356</v>
      </c>
      <c r="EP1" s="71" t="s">
        <v>357</v>
      </c>
      <c r="EQ1" s="71" t="s">
        <v>358</v>
      </c>
      <c r="ER1" s="71" t="s">
        <v>359</v>
      </c>
      <c r="ES1" s="71" t="s">
        <v>360</v>
      </c>
      <c r="ET1" s="71" t="s">
        <v>361</v>
      </c>
      <c r="EU1" s="71" t="s">
        <v>362</v>
      </c>
      <c r="EV1" s="71" t="s">
        <v>363</v>
      </c>
      <c r="EW1" s="71" t="s">
        <v>364</v>
      </c>
      <c r="EX1" s="71" t="s">
        <v>365</v>
      </c>
      <c r="EY1" s="71" t="s">
        <v>366</v>
      </c>
      <c r="EZ1" s="71" t="s">
        <v>367</v>
      </c>
      <c r="FA1" s="71" t="s">
        <v>368</v>
      </c>
      <c r="FB1" s="71" t="s">
        <v>369</v>
      </c>
      <c r="FC1" s="73" t="s">
        <v>370</v>
      </c>
      <c r="FD1" s="73" t="s">
        <v>371</v>
      </c>
      <c r="FE1" s="73" t="s">
        <v>372</v>
      </c>
      <c r="FF1" s="73" t="s">
        <v>373</v>
      </c>
      <c r="FG1" s="73" t="s">
        <v>374</v>
      </c>
      <c r="FH1" s="71" t="s">
        <v>375</v>
      </c>
      <c r="FI1" s="71" t="s">
        <v>376</v>
      </c>
      <c r="FJ1" s="71" t="s">
        <v>377</v>
      </c>
      <c r="FK1" s="71" t="s">
        <v>378</v>
      </c>
      <c r="FL1" s="71" t="s">
        <v>379</v>
      </c>
      <c r="FM1" s="71" t="s">
        <v>380</v>
      </c>
      <c r="FN1" s="71" t="s">
        <v>381</v>
      </c>
      <c r="FO1" s="71" t="s">
        <v>382</v>
      </c>
      <c r="FP1" s="71" t="s">
        <v>383</v>
      </c>
      <c r="FQ1" s="71" t="s">
        <v>384</v>
      </c>
      <c r="FR1" s="71" t="s">
        <v>385</v>
      </c>
      <c r="FS1" s="71" t="s">
        <v>386</v>
      </c>
      <c r="FT1" s="71" t="s">
        <v>387</v>
      </c>
      <c r="FU1" s="71" t="s">
        <v>388</v>
      </c>
      <c r="FV1" s="71" t="s">
        <v>389</v>
      </c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  <c r="GX1" s="74"/>
    </row>
    <row r="2" spans="1:206" x14ac:dyDescent="0.2">
      <c r="A2" s="71" t="s">
        <v>215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>
        <v>55.057779068910754</v>
      </c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>
        <v>55.057779068910754</v>
      </c>
      <c r="FW2" s="70"/>
      <c r="FX2" s="75"/>
      <c r="FY2" s="70"/>
      <c r="FZ2" s="70"/>
      <c r="GA2" s="70"/>
      <c r="GB2" s="70"/>
      <c r="GC2" s="70"/>
      <c r="GD2" s="70"/>
      <c r="GE2" s="70"/>
      <c r="GF2" s="70"/>
      <c r="GG2" s="70"/>
      <c r="GH2" s="70"/>
    </row>
    <row r="3" spans="1:206" x14ac:dyDescent="0.2">
      <c r="A3" s="71" t="s">
        <v>216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>
        <v>7.821111969718503</v>
      </c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>
        <v>7.821111969718503</v>
      </c>
      <c r="FW3" s="70"/>
      <c r="FX3" s="75"/>
      <c r="FY3" s="70"/>
      <c r="FZ3" s="70"/>
      <c r="GA3" s="70"/>
      <c r="GB3" s="70"/>
      <c r="GC3" s="70"/>
      <c r="GD3" s="70"/>
      <c r="GE3" s="70"/>
      <c r="GF3" s="70"/>
      <c r="GG3" s="70"/>
      <c r="GH3" s="70"/>
    </row>
    <row r="4" spans="1:206" x14ac:dyDescent="0.2">
      <c r="A4" s="71" t="s">
        <v>217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>
        <v>25.714953845220638</v>
      </c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>
        <v>25.714953845220638</v>
      </c>
      <c r="FW4" s="70"/>
      <c r="FX4" s="75"/>
      <c r="FY4" s="70"/>
      <c r="FZ4" s="70"/>
      <c r="GA4" s="70"/>
      <c r="GB4" s="70"/>
      <c r="GC4" s="70"/>
      <c r="GD4" s="70"/>
      <c r="GE4" s="70"/>
      <c r="GF4" s="70"/>
      <c r="GG4" s="70"/>
      <c r="GH4" s="70"/>
    </row>
    <row r="5" spans="1:206" x14ac:dyDescent="0.2">
      <c r="A5" s="71" t="s">
        <v>218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>
        <v>21.049468638474721</v>
      </c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>
        <v>21.049468638474721</v>
      </c>
      <c r="FW5" s="70"/>
      <c r="FX5" s="75"/>
      <c r="FY5" s="70"/>
      <c r="FZ5" s="70"/>
      <c r="GA5" s="70"/>
      <c r="GB5" s="70"/>
      <c r="GC5" s="70"/>
      <c r="GD5" s="70"/>
      <c r="GE5" s="70"/>
      <c r="GF5" s="70"/>
      <c r="GG5" s="70"/>
      <c r="GH5" s="70"/>
    </row>
    <row r="6" spans="1:206" x14ac:dyDescent="0.2">
      <c r="A6" s="71" t="s">
        <v>219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>
        <v>1.6154736657609112</v>
      </c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>
        <v>1.6154736657609112</v>
      </c>
      <c r="FW6" s="70"/>
      <c r="FX6" s="75"/>
      <c r="FY6" s="70"/>
      <c r="FZ6" s="70"/>
      <c r="GA6" s="70"/>
      <c r="GB6" s="70"/>
      <c r="GC6" s="70"/>
      <c r="GD6" s="70"/>
      <c r="GE6" s="70"/>
      <c r="GF6" s="70"/>
      <c r="GG6" s="70"/>
      <c r="GH6" s="70"/>
    </row>
    <row r="7" spans="1:206" x14ac:dyDescent="0.2">
      <c r="A7" s="71" t="s">
        <v>220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>
        <v>3.8336724332837453</v>
      </c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>
        <v>3.8336724332837453</v>
      </c>
      <c r="FW7" s="70"/>
      <c r="FX7" s="75"/>
      <c r="FY7" s="70"/>
      <c r="FZ7" s="70"/>
      <c r="GA7" s="70"/>
      <c r="GB7" s="70"/>
      <c r="GC7" s="70"/>
      <c r="GD7" s="70"/>
      <c r="GE7" s="70"/>
      <c r="GF7" s="70"/>
      <c r="GG7" s="70"/>
      <c r="GH7" s="70"/>
    </row>
    <row r="8" spans="1:206" x14ac:dyDescent="0.2">
      <c r="A8" s="71" t="s">
        <v>221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>
        <v>19.152592375582827</v>
      </c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0"/>
      <c r="EF8" s="70"/>
      <c r="EG8" s="70"/>
      <c r="EH8" s="70"/>
      <c r="EI8" s="70"/>
      <c r="EJ8" s="70"/>
      <c r="EK8" s="70"/>
      <c r="EL8" s="70"/>
      <c r="EM8" s="70"/>
      <c r="EN8" s="70"/>
      <c r="EO8" s="70"/>
      <c r="EP8" s="70"/>
      <c r="EQ8" s="70"/>
      <c r="ER8" s="70"/>
      <c r="ES8" s="70"/>
      <c r="ET8" s="70"/>
      <c r="EU8" s="70"/>
      <c r="EV8" s="70"/>
      <c r="EW8" s="70"/>
      <c r="EX8" s="70"/>
      <c r="EY8" s="70"/>
      <c r="EZ8" s="70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0"/>
      <c r="FV8" s="70">
        <v>19.152592375582827</v>
      </c>
      <c r="FW8" s="70"/>
      <c r="FX8" s="75"/>
      <c r="FY8" s="70"/>
      <c r="FZ8" s="70"/>
      <c r="GA8" s="70"/>
      <c r="GB8" s="70"/>
      <c r="GC8" s="70"/>
      <c r="GD8" s="70"/>
      <c r="GE8" s="70"/>
      <c r="GF8" s="70"/>
      <c r="GG8" s="70"/>
      <c r="GH8" s="70"/>
    </row>
    <row r="9" spans="1:206" x14ac:dyDescent="0.2">
      <c r="A9" s="71" t="s">
        <v>222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>
        <v>7.5822126773459866</v>
      </c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>
        <v>7.5822126773459866</v>
      </c>
      <c r="FW9" s="70"/>
      <c r="FX9" s="75"/>
      <c r="FY9" s="70"/>
      <c r="FZ9" s="70"/>
      <c r="GA9" s="70"/>
      <c r="GB9" s="70"/>
      <c r="GC9" s="70"/>
      <c r="GD9" s="70"/>
      <c r="GE9" s="70"/>
      <c r="GF9" s="70"/>
      <c r="GG9" s="70"/>
      <c r="GH9" s="70"/>
    </row>
    <row r="10" spans="1:206" x14ac:dyDescent="0.2">
      <c r="A10" s="71" t="s">
        <v>223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>
        <v>34.654623623799964</v>
      </c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>
        <v>34.654623623799964</v>
      </c>
      <c r="FW10" s="70"/>
      <c r="FX10" s="75"/>
      <c r="FY10" s="70"/>
      <c r="FZ10" s="70"/>
      <c r="GA10" s="70"/>
      <c r="GB10" s="70"/>
      <c r="GC10" s="70"/>
      <c r="GD10" s="70"/>
      <c r="GE10" s="70"/>
      <c r="GF10" s="70"/>
      <c r="GG10" s="70"/>
      <c r="GH10" s="70"/>
    </row>
    <row r="11" spans="1:206" x14ac:dyDescent="0.2">
      <c r="A11" s="71" t="s">
        <v>224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>
        <v>117.42073061577561</v>
      </c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>
        <v>117.42073061577561</v>
      </c>
      <c r="FW11" s="70"/>
      <c r="FX11" s="75"/>
      <c r="FY11" s="70"/>
      <c r="FZ11" s="70"/>
      <c r="GA11" s="70"/>
      <c r="GB11" s="70"/>
      <c r="GC11" s="70"/>
      <c r="GD11" s="70"/>
      <c r="GE11" s="70"/>
      <c r="GF11" s="70"/>
      <c r="GG11" s="70"/>
      <c r="GH11" s="70"/>
    </row>
    <row r="12" spans="1:206" x14ac:dyDescent="0.2">
      <c r="A12" s="71" t="s">
        <v>225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>
        <v>27.932591565444287</v>
      </c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>
        <v>27.932591565444287</v>
      </c>
      <c r="FW12" s="70"/>
      <c r="FX12" s="75"/>
      <c r="FY12" s="70"/>
      <c r="FZ12" s="70"/>
      <c r="GA12" s="70"/>
      <c r="GB12" s="70"/>
      <c r="GC12" s="70"/>
      <c r="GD12" s="70"/>
      <c r="GE12" s="70"/>
      <c r="GF12" s="70"/>
      <c r="GG12" s="70"/>
      <c r="GH12" s="70"/>
    </row>
    <row r="13" spans="1:206" x14ac:dyDescent="0.2">
      <c r="A13" s="71" t="s">
        <v>226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>
        <v>1.5353512180130273</v>
      </c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>
        <v>1.5353512180130273</v>
      </c>
      <c r="FW13" s="70"/>
      <c r="FX13" s="75"/>
      <c r="FY13" s="70"/>
      <c r="FZ13" s="70"/>
      <c r="GA13" s="70"/>
      <c r="GB13" s="70"/>
      <c r="GC13" s="70"/>
      <c r="GD13" s="70"/>
      <c r="GE13" s="70"/>
      <c r="GF13" s="70"/>
      <c r="GG13" s="70"/>
      <c r="GH13" s="70"/>
    </row>
    <row r="14" spans="1:206" x14ac:dyDescent="0.2">
      <c r="A14" s="71" t="s">
        <v>227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>
        <v>103.5087790318609</v>
      </c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>
        <v>103.5087790318609</v>
      </c>
      <c r="FW14" s="70"/>
      <c r="FX14" s="75"/>
      <c r="FY14" s="70"/>
      <c r="FZ14" s="70"/>
      <c r="GA14" s="70"/>
      <c r="GB14" s="70"/>
      <c r="GC14" s="70"/>
      <c r="GD14" s="70"/>
      <c r="GE14" s="70"/>
      <c r="GF14" s="70"/>
      <c r="GG14" s="70"/>
      <c r="GH14" s="70"/>
    </row>
    <row r="15" spans="1:206" x14ac:dyDescent="0.2">
      <c r="A15" s="71" t="s">
        <v>228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>
        <v>0.85604406943427702</v>
      </c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>
        <v>0.85604406943427702</v>
      </c>
      <c r="FW15" s="70"/>
      <c r="FX15" s="75"/>
      <c r="FY15" s="70"/>
      <c r="FZ15" s="70"/>
      <c r="GA15" s="70"/>
      <c r="GB15" s="70"/>
      <c r="GC15" s="70"/>
      <c r="GD15" s="70"/>
      <c r="GE15" s="70"/>
      <c r="GF15" s="70"/>
      <c r="GG15" s="70"/>
      <c r="GH15" s="70"/>
    </row>
    <row r="16" spans="1:206" x14ac:dyDescent="0.2">
      <c r="A16" s="71" t="s">
        <v>229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>
        <v>142.38787815919935</v>
      </c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>
        <v>142.38787815919935</v>
      </c>
      <c r="FW16" s="70"/>
      <c r="FX16" s="75"/>
      <c r="FY16" s="70"/>
      <c r="FZ16" s="70"/>
      <c r="GA16" s="70"/>
      <c r="GB16" s="70"/>
      <c r="GC16" s="70"/>
      <c r="GD16" s="70"/>
      <c r="GE16" s="70"/>
      <c r="GF16" s="70"/>
      <c r="GG16" s="70"/>
      <c r="GH16" s="70"/>
    </row>
    <row r="17" spans="1:190" x14ac:dyDescent="0.2">
      <c r="A17" s="71" t="s">
        <v>230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>
        <v>39.007377562508367</v>
      </c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>
        <v>39.007377562508367</v>
      </c>
      <c r="FW17" s="70"/>
      <c r="FX17" s="75"/>
      <c r="FY17" s="70"/>
      <c r="FZ17" s="70"/>
      <c r="GA17" s="70"/>
      <c r="GB17" s="70"/>
      <c r="GC17" s="70"/>
      <c r="GD17" s="70"/>
      <c r="GE17" s="70"/>
      <c r="GF17" s="70"/>
      <c r="GG17" s="70"/>
      <c r="GH17" s="70"/>
    </row>
    <row r="18" spans="1:190" x14ac:dyDescent="0.2">
      <c r="A18" s="71" t="s">
        <v>231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>
        <v>134.57482243875072</v>
      </c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>
        <v>134.57482243875072</v>
      </c>
      <c r="FW18" s="70"/>
      <c r="FX18" s="75"/>
      <c r="FY18" s="70"/>
      <c r="FZ18" s="70"/>
      <c r="GA18" s="70"/>
      <c r="GB18" s="70"/>
      <c r="GC18" s="70"/>
      <c r="GD18" s="70"/>
      <c r="GE18" s="70"/>
      <c r="GF18" s="70"/>
      <c r="GG18" s="70"/>
      <c r="GH18" s="70"/>
    </row>
    <row r="19" spans="1:190" x14ac:dyDescent="0.2">
      <c r="A19" s="71" t="s">
        <v>232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>
        <v>5.5136278462172941</v>
      </c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>
        <v>5.5136278462172941</v>
      </c>
      <c r="FW19" s="70"/>
      <c r="FX19" s="75"/>
      <c r="FY19" s="70"/>
      <c r="FZ19" s="70"/>
      <c r="GA19" s="70"/>
      <c r="GB19" s="70"/>
      <c r="GC19" s="70"/>
      <c r="GD19" s="70"/>
      <c r="GE19" s="70"/>
      <c r="GF19" s="70"/>
      <c r="GG19" s="70"/>
      <c r="GH19" s="70"/>
    </row>
    <row r="20" spans="1:190" x14ac:dyDescent="0.2">
      <c r="A20" s="71" t="s">
        <v>233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>
        <v>22.424418540942753</v>
      </c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>
        <v>22.424418540942753</v>
      </c>
      <c r="FW20" s="70"/>
      <c r="FX20" s="75"/>
      <c r="FY20" s="70"/>
      <c r="FZ20" s="70"/>
      <c r="GA20" s="70"/>
      <c r="GB20" s="70"/>
      <c r="GC20" s="70"/>
      <c r="GD20" s="70"/>
      <c r="GE20" s="70"/>
      <c r="GF20" s="70"/>
      <c r="GG20" s="70"/>
      <c r="GH20" s="70"/>
    </row>
    <row r="21" spans="1:190" x14ac:dyDescent="0.2">
      <c r="A21" s="71" t="s">
        <v>234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>
        <v>6.3359279315265962</v>
      </c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>
        <v>6.3359279315265962</v>
      </c>
      <c r="FW21" s="70"/>
      <c r="FX21" s="75"/>
      <c r="FY21" s="70"/>
      <c r="FZ21" s="70"/>
      <c r="GA21" s="70"/>
      <c r="GB21" s="70"/>
      <c r="GC21" s="70"/>
      <c r="GD21" s="70"/>
      <c r="GE21" s="70"/>
      <c r="GF21" s="70"/>
      <c r="GG21" s="70"/>
      <c r="GH21" s="70"/>
    </row>
    <row r="22" spans="1:190" x14ac:dyDescent="0.2">
      <c r="A22" s="71" t="s">
        <v>235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>
        <v>72.703896570704202</v>
      </c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>
        <v>72.703896570704202</v>
      </c>
      <c r="FW22" s="70"/>
      <c r="FX22" s="75"/>
      <c r="FY22" s="70"/>
      <c r="FZ22" s="70"/>
      <c r="GA22" s="70"/>
      <c r="GB22" s="70"/>
      <c r="GC22" s="70"/>
      <c r="GD22" s="70"/>
      <c r="GE22" s="70"/>
      <c r="GF22" s="70"/>
      <c r="GG22" s="70"/>
      <c r="GH22" s="70"/>
    </row>
    <row r="23" spans="1:190" x14ac:dyDescent="0.2">
      <c r="A23" s="71" t="s">
        <v>236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>
        <v>299.77128219367148</v>
      </c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>
        <v>299.77128219367148</v>
      </c>
      <c r="FW23" s="70"/>
      <c r="FX23" s="75"/>
      <c r="FY23" s="70"/>
      <c r="FZ23" s="70"/>
      <c r="GA23" s="70"/>
      <c r="GB23" s="70"/>
      <c r="GC23" s="70"/>
      <c r="GD23" s="70"/>
      <c r="GE23" s="70"/>
      <c r="GF23" s="70"/>
      <c r="GG23" s="70"/>
      <c r="GH23" s="70"/>
    </row>
    <row r="24" spans="1:190" x14ac:dyDescent="0.2">
      <c r="A24" s="71" t="s">
        <v>237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>
        <v>167.98515370707401</v>
      </c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>
        <v>167.98515370707401</v>
      </c>
      <c r="FW24" s="70"/>
      <c r="FX24" s="75"/>
      <c r="FY24" s="70"/>
      <c r="FZ24" s="70"/>
      <c r="GA24" s="70"/>
      <c r="GB24" s="70"/>
      <c r="GC24" s="70"/>
      <c r="GD24" s="70"/>
      <c r="GE24" s="70"/>
      <c r="GF24" s="70"/>
      <c r="GG24" s="70"/>
      <c r="GH24" s="70"/>
    </row>
    <row r="25" spans="1:190" x14ac:dyDescent="0.2">
      <c r="A25" s="71" t="s">
        <v>238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>
        <v>106.4825208914865</v>
      </c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>
        <v>106.4825208914865</v>
      </c>
      <c r="FW25" s="70"/>
      <c r="FX25" s="75"/>
      <c r="FY25" s="70"/>
      <c r="FZ25" s="70"/>
      <c r="GA25" s="70"/>
      <c r="GB25" s="70"/>
      <c r="GC25" s="70"/>
      <c r="GD25" s="70"/>
      <c r="GE25" s="70"/>
      <c r="GF25" s="70"/>
      <c r="GG25" s="70"/>
      <c r="GH25" s="70"/>
    </row>
    <row r="26" spans="1:190" x14ac:dyDescent="0.2">
      <c r="A26" s="71" t="s">
        <v>239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>
        <v>24.669296424017034</v>
      </c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>
        <v>24.669296424017034</v>
      </c>
      <c r="FW26" s="70"/>
      <c r="FX26" s="75"/>
      <c r="FY26" s="70"/>
      <c r="FZ26" s="70"/>
      <c r="GA26" s="70"/>
      <c r="GB26" s="70"/>
      <c r="GC26" s="70"/>
      <c r="GD26" s="70"/>
      <c r="GE26" s="70"/>
      <c r="GF26" s="70"/>
      <c r="GG26" s="70"/>
      <c r="GH26" s="70"/>
    </row>
    <row r="27" spans="1:190" x14ac:dyDescent="0.2">
      <c r="A27" s="71" t="s">
        <v>240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>
        <v>2.2966605059375476</v>
      </c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>
        <v>2.2966605059375476</v>
      </c>
      <c r="FW27" s="70"/>
      <c r="FX27" s="75"/>
      <c r="FY27" s="70"/>
      <c r="FZ27" s="70"/>
      <c r="GA27" s="70"/>
      <c r="GB27" s="70"/>
      <c r="GC27" s="70"/>
      <c r="GD27" s="70"/>
      <c r="GE27" s="70"/>
      <c r="GF27" s="70"/>
      <c r="GG27" s="70"/>
      <c r="GH27" s="70"/>
    </row>
    <row r="28" spans="1:190" x14ac:dyDescent="0.2">
      <c r="A28" s="71" t="s">
        <v>241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>
        <v>80.329639102197291</v>
      </c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>
        <v>80.329639102197291</v>
      </c>
      <c r="FW28" s="70"/>
      <c r="FX28" s="75"/>
      <c r="FY28" s="70"/>
      <c r="FZ28" s="70"/>
      <c r="GA28" s="70"/>
      <c r="GB28" s="70"/>
      <c r="GC28" s="70"/>
      <c r="GD28" s="70"/>
      <c r="GE28" s="70"/>
      <c r="GF28" s="70"/>
      <c r="GG28" s="70"/>
      <c r="GH28" s="70"/>
    </row>
    <row r="29" spans="1:190" x14ac:dyDescent="0.2">
      <c r="A29" s="71" t="s">
        <v>242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>
        <v>35.344032150776776</v>
      </c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>
        <v>35.344032150776776</v>
      </c>
      <c r="FW29" s="70"/>
      <c r="FX29" s="75"/>
      <c r="FY29" s="70"/>
      <c r="FZ29" s="70"/>
      <c r="GA29" s="70"/>
      <c r="GB29" s="70"/>
      <c r="GC29" s="70"/>
      <c r="GD29" s="70"/>
      <c r="GE29" s="70"/>
      <c r="GF29" s="70"/>
      <c r="GG29" s="70"/>
      <c r="GH29" s="70"/>
    </row>
    <row r="30" spans="1:190" x14ac:dyDescent="0.2">
      <c r="A30" s="71" t="s">
        <v>243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>
        <v>60.347296220355872</v>
      </c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>
        <v>60.347296220355872</v>
      </c>
      <c r="FW30" s="70"/>
      <c r="FX30" s="75"/>
      <c r="FY30" s="70"/>
      <c r="FZ30" s="70"/>
      <c r="GA30" s="70"/>
      <c r="GB30" s="70"/>
      <c r="GC30" s="70"/>
      <c r="GD30" s="70"/>
      <c r="GE30" s="70"/>
      <c r="GF30" s="70"/>
      <c r="GG30" s="70"/>
      <c r="GH30" s="70"/>
    </row>
    <row r="31" spans="1:190" x14ac:dyDescent="0.2">
      <c r="A31" s="71" t="s">
        <v>244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>
        <v>9.1416252497754105</v>
      </c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>
        <v>9.1416252497754105</v>
      </c>
      <c r="FW31" s="70"/>
      <c r="FX31" s="75"/>
      <c r="FY31" s="70"/>
      <c r="FZ31" s="70"/>
      <c r="GA31" s="70"/>
      <c r="GB31" s="70"/>
      <c r="GC31" s="70"/>
      <c r="GD31" s="70"/>
      <c r="GE31" s="70"/>
      <c r="GF31" s="70"/>
      <c r="GG31" s="70"/>
      <c r="GH31" s="70"/>
    </row>
    <row r="32" spans="1:190" x14ac:dyDescent="0.2">
      <c r="A32" s="71" t="s">
        <v>245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>
        <v>0.99011215447804135</v>
      </c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>
        <v>0.99011215447804135</v>
      </c>
      <c r="FW32" s="70"/>
      <c r="FX32" s="75"/>
      <c r="FY32" s="70"/>
      <c r="FZ32" s="70"/>
      <c r="GA32" s="70"/>
      <c r="GB32" s="70"/>
      <c r="GC32" s="70"/>
      <c r="GD32" s="70"/>
      <c r="GE32" s="70"/>
      <c r="GF32" s="70"/>
      <c r="GG32" s="70"/>
      <c r="GH32" s="70"/>
    </row>
    <row r="33" spans="1:190" x14ac:dyDescent="0.2">
      <c r="A33" s="71" t="s">
        <v>246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>
        <v>8.028883958109871</v>
      </c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>
        <v>8.028883958109871</v>
      </c>
      <c r="FW33" s="70"/>
      <c r="FX33" s="75"/>
      <c r="FY33" s="70"/>
      <c r="FZ33" s="70"/>
      <c r="GA33" s="70"/>
      <c r="GB33" s="70"/>
      <c r="GC33" s="70"/>
      <c r="GD33" s="70"/>
      <c r="GE33" s="70"/>
      <c r="GF33" s="70"/>
      <c r="GG33" s="70"/>
      <c r="GH33" s="70"/>
    </row>
    <row r="34" spans="1:190" x14ac:dyDescent="0.2">
      <c r="A34" s="71" t="s">
        <v>247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>
        <v>18.392424032078569</v>
      </c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>
        <v>18.392424032078569</v>
      </c>
      <c r="FW34" s="70"/>
      <c r="FX34" s="75"/>
      <c r="FY34" s="70"/>
      <c r="FZ34" s="70"/>
      <c r="GA34" s="70"/>
      <c r="GB34" s="70"/>
      <c r="GC34" s="70"/>
      <c r="GD34" s="70"/>
      <c r="GE34" s="70"/>
      <c r="GF34" s="70"/>
      <c r="GG34" s="70"/>
      <c r="GH34" s="70"/>
    </row>
    <row r="35" spans="1:190" x14ac:dyDescent="0.2">
      <c r="A35" s="71" t="s">
        <v>248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>
        <v>1.9234475414475627</v>
      </c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>
        <v>1.9234475414475627</v>
      </c>
      <c r="FW35" s="70"/>
      <c r="FX35" s="75"/>
      <c r="FY35" s="70"/>
      <c r="FZ35" s="70"/>
      <c r="GA35" s="70"/>
      <c r="GB35" s="70"/>
      <c r="GC35" s="70"/>
      <c r="GD35" s="70"/>
      <c r="GE35" s="70"/>
      <c r="GF35" s="70"/>
      <c r="GG35" s="70"/>
      <c r="GH35" s="70"/>
    </row>
    <row r="36" spans="1:190" x14ac:dyDescent="0.2">
      <c r="A36" s="71" t="s">
        <v>249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>
        <v>64.831307513471259</v>
      </c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>
        <v>64.831307513471259</v>
      </c>
      <c r="FW36" s="70"/>
      <c r="FX36" s="75"/>
      <c r="FY36" s="70"/>
      <c r="FZ36" s="70"/>
      <c r="GA36" s="70"/>
      <c r="GB36" s="70"/>
      <c r="GC36" s="70"/>
      <c r="GD36" s="70"/>
      <c r="GE36" s="70"/>
      <c r="GF36" s="70"/>
      <c r="GG36" s="70"/>
      <c r="GH36" s="70"/>
    </row>
    <row r="37" spans="1:190" x14ac:dyDescent="0.2">
      <c r="A37" s="71" t="s">
        <v>250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>
        <v>215.23004336354057</v>
      </c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>
        <v>215.23004336354057</v>
      </c>
      <c r="FW37" s="70"/>
      <c r="FX37" s="75"/>
      <c r="FY37" s="70"/>
      <c r="FZ37" s="70"/>
      <c r="GA37" s="70"/>
      <c r="GB37" s="70"/>
      <c r="GC37" s="70"/>
      <c r="GD37" s="70"/>
      <c r="GE37" s="70"/>
      <c r="GF37" s="70"/>
      <c r="GG37" s="70"/>
      <c r="GH37" s="70"/>
    </row>
    <row r="38" spans="1:190" x14ac:dyDescent="0.2">
      <c r="A38" s="71" t="s">
        <v>251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>
        <v>18.815943643033211</v>
      </c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>
        <v>18.815943643033211</v>
      </c>
      <c r="FW38" s="70"/>
      <c r="FX38" s="75"/>
      <c r="FY38" s="70"/>
      <c r="FZ38" s="70"/>
      <c r="GA38" s="70"/>
      <c r="GB38" s="70"/>
      <c r="GC38" s="70"/>
      <c r="GD38" s="70"/>
      <c r="GE38" s="70"/>
      <c r="GF38" s="70"/>
      <c r="GG38" s="70"/>
      <c r="GH38" s="70"/>
    </row>
    <row r="39" spans="1:190" x14ac:dyDescent="0.2">
      <c r="A39" s="71" t="s">
        <v>252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>
        <v>18.155035214624736</v>
      </c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  <c r="FU39" s="70"/>
      <c r="FV39" s="70">
        <v>18.155035214624736</v>
      </c>
      <c r="FW39" s="70"/>
      <c r="FX39" s="75"/>
      <c r="FY39" s="70"/>
      <c r="FZ39" s="70"/>
      <c r="GA39" s="70"/>
      <c r="GB39" s="70"/>
      <c r="GC39" s="70"/>
      <c r="GD39" s="70"/>
      <c r="GE39" s="70"/>
      <c r="GF39" s="70"/>
      <c r="GG39" s="70"/>
      <c r="GH39" s="70"/>
    </row>
    <row r="40" spans="1:190" x14ac:dyDescent="0.2">
      <c r="A40" s="71" t="s">
        <v>253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>
        <v>49.885998691053494</v>
      </c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  <c r="FU40" s="70"/>
      <c r="FV40" s="70">
        <v>49.885998691053494</v>
      </c>
      <c r="FW40" s="70"/>
      <c r="FX40" s="75"/>
      <c r="FY40" s="70"/>
      <c r="FZ40" s="70"/>
      <c r="GA40" s="70"/>
      <c r="GB40" s="70"/>
      <c r="GC40" s="70"/>
      <c r="GD40" s="70"/>
      <c r="GE40" s="70"/>
      <c r="GF40" s="70"/>
      <c r="GG40" s="70"/>
      <c r="GH40" s="70"/>
    </row>
    <row r="41" spans="1:190" x14ac:dyDescent="0.2">
      <c r="A41" s="71" t="s">
        <v>254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>
        <v>15.666274985734345</v>
      </c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>
        <v>15.666274985734345</v>
      </c>
      <c r="FW41" s="70"/>
      <c r="FX41" s="75"/>
      <c r="FY41" s="70"/>
      <c r="FZ41" s="70"/>
      <c r="GA41" s="70"/>
      <c r="GB41" s="70"/>
      <c r="GC41" s="70"/>
      <c r="GD41" s="70"/>
      <c r="GE41" s="70"/>
      <c r="GF41" s="70"/>
      <c r="GG41" s="70"/>
      <c r="GH41" s="70"/>
    </row>
    <row r="42" spans="1:190" x14ac:dyDescent="0.2">
      <c r="A42" s="71" t="s">
        <v>255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>
        <v>80.966904667025432</v>
      </c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  <c r="FO42" s="70"/>
      <c r="FP42" s="70"/>
      <c r="FQ42" s="70"/>
      <c r="FR42" s="70"/>
      <c r="FS42" s="70"/>
      <c r="FT42" s="70"/>
      <c r="FU42" s="70"/>
      <c r="FV42" s="70">
        <v>80.966904667025432</v>
      </c>
      <c r="FW42" s="70"/>
      <c r="FX42" s="75"/>
      <c r="FY42" s="70"/>
      <c r="FZ42" s="70"/>
      <c r="GA42" s="70"/>
      <c r="GB42" s="70"/>
      <c r="GC42" s="70"/>
      <c r="GD42" s="70"/>
      <c r="GE42" s="70"/>
      <c r="GF42" s="70"/>
      <c r="GG42" s="70"/>
      <c r="GH42" s="70"/>
    </row>
    <row r="43" spans="1:190" x14ac:dyDescent="0.2">
      <c r="A43" s="71" t="s">
        <v>256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>
        <v>115.03579684190598</v>
      </c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  <c r="FU43" s="70"/>
      <c r="FV43" s="70">
        <v>115.03579684190598</v>
      </c>
      <c r="FW43" s="70"/>
      <c r="FX43" s="75"/>
      <c r="FY43" s="70"/>
      <c r="FZ43" s="70"/>
      <c r="GA43" s="70"/>
      <c r="GB43" s="70"/>
      <c r="GC43" s="70"/>
      <c r="GD43" s="70"/>
      <c r="GE43" s="70"/>
      <c r="GF43" s="70"/>
      <c r="GG43" s="70"/>
      <c r="GH43" s="70"/>
    </row>
    <row r="44" spans="1:190" x14ac:dyDescent="0.2">
      <c r="A44" s="71" t="s">
        <v>257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>
        <v>10.678210498984232</v>
      </c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  <c r="FU44" s="70"/>
      <c r="FV44" s="70">
        <v>10.678210498984232</v>
      </c>
      <c r="FW44" s="70"/>
      <c r="FX44" s="75"/>
      <c r="FY44" s="70"/>
      <c r="FZ44" s="70"/>
      <c r="GA44" s="70"/>
      <c r="GB44" s="70"/>
      <c r="GC44" s="70"/>
      <c r="GD44" s="70"/>
      <c r="GE44" s="70"/>
      <c r="GF44" s="70"/>
      <c r="GG44" s="70"/>
      <c r="GH44" s="70"/>
    </row>
    <row r="45" spans="1:190" x14ac:dyDescent="0.2">
      <c r="A45" s="71" t="s">
        <v>258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>
        <v>9.6534324511980074</v>
      </c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  <c r="FH45" s="70"/>
      <c r="FI45" s="70"/>
      <c r="FJ45" s="70"/>
      <c r="FK45" s="70"/>
      <c r="FL45" s="70"/>
      <c r="FM45" s="70"/>
      <c r="FN45" s="70"/>
      <c r="FO45" s="70"/>
      <c r="FP45" s="70"/>
      <c r="FQ45" s="70"/>
      <c r="FR45" s="70"/>
      <c r="FS45" s="70"/>
      <c r="FT45" s="70"/>
      <c r="FU45" s="70"/>
      <c r="FV45" s="70">
        <v>9.6534324511980074</v>
      </c>
      <c r="FW45" s="70"/>
      <c r="FX45" s="75"/>
      <c r="FY45" s="70"/>
      <c r="FZ45" s="70"/>
      <c r="GA45" s="70"/>
      <c r="GB45" s="70"/>
      <c r="GC45" s="70"/>
      <c r="GD45" s="70"/>
      <c r="GE45" s="70"/>
      <c r="GF45" s="70"/>
      <c r="GG45" s="70"/>
      <c r="GH45" s="70"/>
    </row>
    <row r="46" spans="1:190" x14ac:dyDescent="0.2">
      <c r="A46" s="71" t="s">
        <v>259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>
        <v>52.039678410489017</v>
      </c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  <c r="EY46" s="70"/>
      <c r="EZ46" s="70"/>
      <c r="FA46" s="70"/>
      <c r="FB46" s="70"/>
      <c r="FC46" s="70"/>
      <c r="FD46" s="70"/>
      <c r="FE46" s="70"/>
      <c r="FF46" s="70"/>
      <c r="FG46" s="70"/>
      <c r="FH46" s="70"/>
      <c r="FI46" s="70"/>
      <c r="FJ46" s="70"/>
      <c r="FK46" s="70"/>
      <c r="FL46" s="70"/>
      <c r="FM46" s="70"/>
      <c r="FN46" s="70"/>
      <c r="FO46" s="70"/>
      <c r="FP46" s="70"/>
      <c r="FQ46" s="70"/>
      <c r="FR46" s="70"/>
      <c r="FS46" s="70"/>
      <c r="FT46" s="70"/>
      <c r="FU46" s="70"/>
      <c r="FV46" s="70">
        <v>52.039678410489017</v>
      </c>
      <c r="FW46" s="70"/>
      <c r="FX46" s="75"/>
      <c r="FY46" s="70"/>
      <c r="FZ46" s="70"/>
      <c r="GA46" s="70"/>
      <c r="GB46" s="70"/>
      <c r="GC46" s="70"/>
      <c r="GD46" s="70"/>
      <c r="GE46" s="70"/>
      <c r="GF46" s="70"/>
      <c r="GG46" s="70"/>
      <c r="GH46" s="70"/>
    </row>
    <row r="47" spans="1:190" x14ac:dyDescent="0.2">
      <c r="A47" s="71" t="s">
        <v>260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>
        <v>614.11923094793826</v>
      </c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0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0"/>
      <c r="FQ47" s="70"/>
      <c r="FR47" s="70"/>
      <c r="FS47" s="70"/>
      <c r="FT47" s="70"/>
      <c r="FU47" s="70"/>
      <c r="FV47" s="70">
        <v>614.11923094793826</v>
      </c>
      <c r="FW47" s="70"/>
      <c r="FX47" s="75"/>
      <c r="FY47" s="70"/>
      <c r="FZ47" s="70"/>
      <c r="GA47" s="70"/>
      <c r="GB47" s="70"/>
      <c r="GC47" s="70"/>
      <c r="GD47" s="70"/>
      <c r="GE47" s="70"/>
      <c r="GF47" s="70"/>
      <c r="GG47" s="70"/>
      <c r="GH47" s="70"/>
    </row>
    <row r="48" spans="1:190" x14ac:dyDescent="0.2">
      <c r="A48" s="71" t="s">
        <v>261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>
        <v>63.477185602970664</v>
      </c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>
        <v>63.477185602970664</v>
      </c>
      <c r="FW48" s="70"/>
      <c r="FX48" s="75"/>
      <c r="FY48" s="70"/>
      <c r="FZ48" s="70"/>
      <c r="GA48" s="70"/>
      <c r="GB48" s="70"/>
      <c r="GC48" s="70"/>
      <c r="GD48" s="70"/>
      <c r="GE48" s="70"/>
      <c r="GF48" s="70"/>
      <c r="GG48" s="70"/>
      <c r="GH48" s="70"/>
    </row>
    <row r="49" spans="1:190" x14ac:dyDescent="0.2">
      <c r="A49" s="71" t="s">
        <v>262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>
        <v>561.8874636463986</v>
      </c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  <c r="FU49" s="70"/>
      <c r="FV49" s="70">
        <v>561.8874636463986</v>
      </c>
      <c r="FW49" s="70"/>
      <c r="FX49" s="75"/>
      <c r="FY49" s="70"/>
      <c r="FZ49" s="70"/>
      <c r="GA49" s="70"/>
      <c r="GB49" s="70"/>
      <c r="GC49" s="70"/>
      <c r="GD49" s="70"/>
      <c r="GE49" s="70"/>
      <c r="GF49" s="70"/>
      <c r="GG49" s="70"/>
      <c r="GH49" s="70"/>
    </row>
    <row r="50" spans="1:190" x14ac:dyDescent="0.2">
      <c r="A50" s="71" t="s">
        <v>263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>
        <v>206.28512323746992</v>
      </c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70"/>
      <c r="FM50" s="70"/>
      <c r="FN50" s="70"/>
      <c r="FO50" s="70"/>
      <c r="FP50" s="70"/>
      <c r="FQ50" s="70"/>
      <c r="FR50" s="70"/>
      <c r="FS50" s="70"/>
      <c r="FT50" s="70"/>
      <c r="FU50" s="70"/>
      <c r="FV50" s="70">
        <v>206.28512323746992</v>
      </c>
      <c r="FW50" s="70"/>
      <c r="FX50" s="75"/>
      <c r="FY50" s="70"/>
      <c r="FZ50" s="70"/>
      <c r="GA50" s="70"/>
      <c r="GB50" s="70"/>
      <c r="GC50" s="70"/>
      <c r="GD50" s="70"/>
      <c r="GE50" s="70"/>
      <c r="GF50" s="70"/>
      <c r="GG50" s="70"/>
      <c r="GH50" s="70"/>
    </row>
    <row r="51" spans="1:190" x14ac:dyDescent="0.2">
      <c r="A51" s="71" t="s">
        <v>264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>
        <v>246.70354894264602</v>
      </c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>
        <v>246.70354894264602</v>
      </c>
      <c r="FW51" s="70"/>
      <c r="FX51" s="75"/>
      <c r="FY51" s="70"/>
      <c r="FZ51" s="70"/>
      <c r="GA51" s="70"/>
      <c r="GB51" s="70"/>
      <c r="GC51" s="70"/>
      <c r="GD51" s="70"/>
      <c r="GE51" s="70"/>
      <c r="GF51" s="70"/>
      <c r="GG51" s="70"/>
      <c r="GH51" s="70"/>
    </row>
    <row r="52" spans="1:190" x14ac:dyDescent="0.2">
      <c r="A52" s="71" t="s">
        <v>265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>
        <v>88.054007147862222</v>
      </c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  <c r="FO52" s="70"/>
      <c r="FP52" s="70"/>
      <c r="FQ52" s="70"/>
      <c r="FR52" s="70"/>
      <c r="FS52" s="70"/>
      <c r="FT52" s="70"/>
      <c r="FU52" s="70"/>
      <c r="FV52" s="70">
        <v>88.054007147862222</v>
      </c>
      <c r="FW52" s="70"/>
      <c r="FX52" s="75"/>
      <c r="FY52" s="70"/>
      <c r="FZ52" s="70"/>
      <c r="GA52" s="70"/>
      <c r="GB52" s="70"/>
      <c r="GC52" s="70"/>
      <c r="GD52" s="70"/>
      <c r="GE52" s="70"/>
      <c r="GF52" s="70"/>
      <c r="GG52" s="70"/>
      <c r="GH52" s="70"/>
    </row>
    <row r="53" spans="1:190" x14ac:dyDescent="0.2">
      <c r="A53" s="71" t="s">
        <v>266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>
        <v>72.421451647364606</v>
      </c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  <c r="FO53" s="70"/>
      <c r="FP53" s="70"/>
      <c r="FQ53" s="70"/>
      <c r="FR53" s="70"/>
      <c r="FS53" s="70"/>
      <c r="FT53" s="70"/>
      <c r="FU53" s="70"/>
      <c r="FV53" s="70">
        <v>72.421451647364606</v>
      </c>
      <c r="FW53" s="70"/>
      <c r="FX53" s="75"/>
      <c r="FY53" s="70"/>
      <c r="FZ53" s="70"/>
      <c r="GA53" s="70"/>
      <c r="GB53" s="70"/>
      <c r="GC53" s="70"/>
      <c r="GD53" s="70"/>
      <c r="GE53" s="70"/>
      <c r="GF53" s="70"/>
      <c r="GG53" s="70"/>
      <c r="GH53" s="70"/>
    </row>
    <row r="54" spans="1:190" x14ac:dyDescent="0.2">
      <c r="A54" s="71" t="s">
        <v>267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>
        <v>11.321718642857554</v>
      </c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  <c r="FU54" s="70"/>
      <c r="FV54" s="70">
        <v>11.321718642857554</v>
      </c>
      <c r="FW54" s="70"/>
      <c r="FX54" s="75"/>
      <c r="FY54" s="70"/>
      <c r="FZ54" s="70"/>
      <c r="GA54" s="70"/>
      <c r="GB54" s="70"/>
      <c r="GC54" s="70"/>
      <c r="GD54" s="70"/>
      <c r="GE54" s="70"/>
      <c r="GF54" s="70"/>
      <c r="GG54" s="70"/>
      <c r="GH54" s="70"/>
    </row>
    <row r="55" spans="1:190" x14ac:dyDescent="0.2">
      <c r="A55" s="71" t="s">
        <v>268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>
        <v>72.720041773097051</v>
      </c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>
        <v>72.720041773097051</v>
      </c>
      <c r="FW55" s="70"/>
      <c r="FX55" s="75"/>
      <c r="FY55" s="70"/>
      <c r="FZ55" s="70"/>
      <c r="GA55" s="70"/>
      <c r="GB55" s="70"/>
      <c r="GC55" s="70"/>
      <c r="GD55" s="70"/>
      <c r="GE55" s="70"/>
      <c r="GF55" s="70"/>
      <c r="GG55" s="70"/>
      <c r="GH55" s="70"/>
    </row>
    <row r="56" spans="1:190" x14ac:dyDescent="0.2">
      <c r="A56" s="71" t="s">
        <v>269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>
        <v>241.05338229814984</v>
      </c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>
        <v>241.05338229814984</v>
      </c>
      <c r="FW56" s="70"/>
      <c r="FX56" s="75"/>
      <c r="FY56" s="70"/>
      <c r="FZ56" s="70"/>
      <c r="GA56" s="70"/>
      <c r="GB56" s="70"/>
      <c r="GC56" s="70"/>
      <c r="GD56" s="70"/>
      <c r="GE56" s="70"/>
      <c r="GF56" s="70"/>
      <c r="GG56" s="70"/>
      <c r="GH56" s="70"/>
    </row>
    <row r="57" spans="1:190" x14ac:dyDescent="0.2">
      <c r="A57" s="71" t="s">
        <v>270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>
        <v>55.771842541823226</v>
      </c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  <c r="FU57" s="70"/>
      <c r="FV57" s="70">
        <v>55.771842541823226</v>
      </c>
      <c r="FW57" s="70"/>
      <c r="FX57" s="75"/>
      <c r="FY57" s="70"/>
      <c r="FZ57" s="70"/>
      <c r="GA57" s="70"/>
      <c r="GB57" s="70"/>
      <c r="GC57" s="70"/>
      <c r="GD57" s="70"/>
      <c r="GE57" s="70"/>
      <c r="GF57" s="70"/>
      <c r="GG57" s="70"/>
      <c r="GH57" s="70"/>
    </row>
    <row r="58" spans="1:190" x14ac:dyDescent="0.2">
      <c r="A58" s="71" t="s">
        <v>271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>
        <v>598.49667640002269</v>
      </c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0"/>
      <c r="FQ58" s="70"/>
      <c r="FR58" s="70"/>
      <c r="FS58" s="70"/>
      <c r="FT58" s="70"/>
      <c r="FU58" s="70"/>
      <c r="FV58" s="70">
        <v>598.49667640002269</v>
      </c>
      <c r="FW58" s="70"/>
      <c r="FX58" s="75"/>
      <c r="FY58" s="70"/>
      <c r="FZ58" s="70"/>
      <c r="GA58" s="70"/>
      <c r="GB58" s="70"/>
      <c r="GC58" s="70"/>
      <c r="GD58" s="70"/>
      <c r="GE58" s="70"/>
      <c r="GF58" s="70"/>
      <c r="GG58" s="70"/>
      <c r="GH58" s="70"/>
    </row>
    <row r="59" spans="1:190" x14ac:dyDescent="0.2">
      <c r="A59" s="71" t="s">
        <v>272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>
        <v>680.53823044102467</v>
      </c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>
        <v>680.53823044102467</v>
      </c>
      <c r="FW59" s="70"/>
      <c r="FX59" s="75"/>
      <c r="FY59" s="70"/>
      <c r="FZ59" s="70"/>
      <c r="GA59" s="70"/>
      <c r="GB59" s="70"/>
      <c r="GC59" s="70"/>
      <c r="GD59" s="70"/>
      <c r="GE59" s="70"/>
      <c r="GF59" s="70"/>
      <c r="GG59" s="70"/>
      <c r="GH59" s="70"/>
    </row>
    <row r="60" spans="1:190" x14ac:dyDescent="0.2">
      <c r="A60" s="71" t="s">
        <v>273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>
        <v>490.12071741931913</v>
      </c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  <c r="FU60" s="70"/>
      <c r="FV60" s="70">
        <v>490.12071741931913</v>
      </c>
      <c r="FW60" s="70"/>
      <c r="FX60" s="75"/>
      <c r="FY60" s="70"/>
      <c r="FZ60" s="70"/>
      <c r="GA60" s="70"/>
      <c r="GB60" s="70"/>
      <c r="GC60" s="70"/>
      <c r="GD60" s="70"/>
      <c r="GE60" s="70"/>
      <c r="GF60" s="70"/>
      <c r="GG60" s="70"/>
      <c r="GH60" s="70"/>
    </row>
    <row r="61" spans="1:190" x14ac:dyDescent="0.2">
      <c r="A61" s="71" t="s">
        <v>274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>
        <v>150.01935870680936</v>
      </c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70"/>
      <c r="FM61" s="70"/>
      <c r="FN61" s="70"/>
      <c r="FO61" s="70"/>
      <c r="FP61" s="70"/>
      <c r="FQ61" s="70"/>
      <c r="FR61" s="70"/>
      <c r="FS61" s="70"/>
      <c r="FT61" s="70"/>
      <c r="FU61" s="70"/>
      <c r="FV61" s="70">
        <v>150.01935870680936</v>
      </c>
      <c r="FW61" s="70"/>
      <c r="FX61" s="75"/>
      <c r="FY61" s="70"/>
      <c r="FZ61" s="70"/>
      <c r="GA61" s="70"/>
      <c r="GB61" s="70"/>
      <c r="GC61" s="70"/>
      <c r="GD61" s="70"/>
      <c r="GE61" s="70"/>
      <c r="GF61" s="70"/>
      <c r="GG61" s="70"/>
      <c r="GH61" s="70"/>
    </row>
    <row r="62" spans="1:190" x14ac:dyDescent="0.2">
      <c r="A62" s="71" t="s">
        <v>275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>
        <v>217.28937083352977</v>
      </c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  <c r="FU62" s="70"/>
      <c r="FV62" s="70">
        <v>217.28937083352977</v>
      </c>
      <c r="FW62" s="70"/>
      <c r="FX62" s="75"/>
      <c r="FY62" s="70"/>
      <c r="FZ62" s="70"/>
      <c r="GA62" s="70"/>
      <c r="GB62" s="70"/>
      <c r="GC62" s="70"/>
      <c r="GD62" s="70"/>
      <c r="GE62" s="70"/>
      <c r="GF62" s="70"/>
      <c r="GG62" s="70"/>
      <c r="GH62" s="70"/>
    </row>
    <row r="63" spans="1:190" x14ac:dyDescent="0.2">
      <c r="A63" s="71" t="s">
        <v>276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>
        <v>166.65433548452398</v>
      </c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  <c r="FU63" s="70"/>
      <c r="FV63" s="70">
        <v>166.65433548452398</v>
      </c>
      <c r="FW63" s="70"/>
      <c r="FX63" s="75"/>
      <c r="FY63" s="70"/>
      <c r="FZ63" s="70"/>
      <c r="GA63" s="70"/>
      <c r="GB63" s="70"/>
      <c r="GC63" s="70"/>
      <c r="GD63" s="70"/>
      <c r="GE63" s="70"/>
      <c r="GF63" s="70"/>
      <c r="GG63" s="70"/>
      <c r="GH63" s="70"/>
    </row>
    <row r="64" spans="1:190" x14ac:dyDescent="0.2">
      <c r="A64" s="71" t="s">
        <v>277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>
        <v>131.56570357575524</v>
      </c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  <c r="FU64" s="70"/>
      <c r="FV64" s="70">
        <v>131.56570357575524</v>
      </c>
      <c r="FW64" s="70"/>
      <c r="FX64" s="75"/>
      <c r="FY64" s="70"/>
      <c r="FZ64" s="70"/>
      <c r="GA64" s="70"/>
      <c r="GB64" s="70"/>
      <c r="GC64" s="70"/>
      <c r="GD64" s="70"/>
      <c r="GE64" s="70"/>
      <c r="GF64" s="70"/>
      <c r="GG64" s="70"/>
      <c r="GH64" s="70"/>
    </row>
    <row r="65" spans="1:190" x14ac:dyDescent="0.2">
      <c r="A65" s="71" t="s">
        <v>278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>
        <v>513.40842146995442</v>
      </c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  <c r="FU65" s="70"/>
      <c r="FV65" s="70">
        <v>513.40842146995442</v>
      </c>
      <c r="FW65" s="70"/>
      <c r="FX65" s="75"/>
      <c r="FY65" s="70"/>
      <c r="FZ65" s="70"/>
      <c r="GA65" s="70"/>
      <c r="GB65" s="70"/>
      <c r="GC65" s="70"/>
      <c r="GD65" s="70"/>
      <c r="GE65" s="70"/>
      <c r="GF65" s="70"/>
      <c r="GG65" s="70"/>
      <c r="GH65" s="70"/>
    </row>
    <row r="66" spans="1:190" x14ac:dyDescent="0.2">
      <c r="A66" s="71" t="s">
        <v>279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>
        <v>351.27282159733244</v>
      </c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  <c r="FU66" s="70"/>
      <c r="FV66" s="70">
        <v>351.27282159733244</v>
      </c>
      <c r="FW66" s="70"/>
      <c r="FX66" s="75"/>
      <c r="FY66" s="70"/>
      <c r="FZ66" s="70"/>
      <c r="GA66" s="70"/>
      <c r="GB66" s="70"/>
      <c r="GC66" s="70"/>
      <c r="GD66" s="70"/>
      <c r="GE66" s="70"/>
      <c r="GF66" s="70"/>
      <c r="GG66" s="70"/>
      <c r="GH66" s="70"/>
    </row>
    <row r="67" spans="1:190" x14ac:dyDescent="0.2">
      <c r="A67" s="71" t="s">
        <v>280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>
        <v>222.19030018611812</v>
      </c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>
        <v>222.19030018611812</v>
      </c>
      <c r="FW67" s="70"/>
      <c r="FX67" s="75"/>
      <c r="FY67" s="70"/>
      <c r="FZ67" s="70"/>
      <c r="GA67" s="70"/>
      <c r="GB67" s="70"/>
      <c r="GC67" s="70"/>
      <c r="GD67" s="70"/>
      <c r="GE67" s="70"/>
      <c r="GF67" s="70"/>
      <c r="GG67" s="70"/>
      <c r="GH67" s="70"/>
    </row>
    <row r="68" spans="1:190" x14ac:dyDescent="0.2">
      <c r="A68" s="71" t="s">
        <v>281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>
        <v>238.43741446496603</v>
      </c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  <c r="FR68" s="70"/>
      <c r="FS68" s="70"/>
      <c r="FT68" s="70"/>
      <c r="FU68" s="70"/>
      <c r="FV68" s="70">
        <v>238.43741446496603</v>
      </c>
      <c r="FW68" s="70"/>
      <c r="FX68" s="75"/>
      <c r="FY68" s="70"/>
      <c r="FZ68" s="70"/>
      <c r="GA68" s="70"/>
      <c r="GB68" s="70"/>
      <c r="GC68" s="70"/>
      <c r="GD68" s="70"/>
      <c r="GE68" s="70"/>
      <c r="GF68" s="70"/>
      <c r="GG68" s="70"/>
      <c r="GH68" s="70"/>
    </row>
    <row r="69" spans="1:190" x14ac:dyDescent="0.2">
      <c r="A69" s="71" t="s">
        <v>282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>
        <v>196.04316161969422</v>
      </c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>
        <v>196.04316161969422</v>
      </c>
      <c r="FW69" s="70"/>
      <c r="FX69" s="75"/>
      <c r="FY69" s="70"/>
      <c r="FZ69" s="70"/>
      <c r="GA69" s="70"/>
      <c r="GB69" s="70"/>
      <c r="GC69" s="70"/>
      <c r="GD69" s="70"/>
      <c r="GE69" s="70"/>
      <c r="GF69" s="70"/>
      <c r="GG69" s="70"/>
      <c r="GH69" s="70"/>
    </row>
    <row r="70" spans="1:190" x14ac:dyDescent="0.2">
      <c r="A70" s="71" t="s">
        <v>283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>
        <v>163.17295045023261</v>
      </c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  <c r="FU70" s="70"/>
      <c r="FV70" s="70">
        <v>163.17295045023261</v>
      </c>
      <c r="FW70" s="70"/>
      <c r="FX70" s="75"/>
      <c r="FY70" s="70"/>
      <c r="FZ70" s="70"/>
      <c r="GA70" s="70"/>
      <c r="GB70" s="70"/>
      <c r="GC70" s="70"/>
      <c r="GD70" s="70"/>
      <c r="GE70" s="70"/>
      <c r="GF70" s="70"/>
      <c r="GG70" s="70"/>
      <c r="GH70" s="70"/>
    </row>
    <row r="71" spans="1:190" x14ac:dyDescent="0.2">
      <c r="A71" s="71" t="s">
        <v>390</v>
      </c>
      <c r="B71" s="76">
        <v>0.25309489334987928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>
        <v>1.6755008553462263</v>
      </c>
      <c r="Q71" s="76">
        <v>0.47849339149894299</v>
      </c>
      <c r="R71" s="76">
        <v>41.597162011865194</v>
      </c>
      <c r="S71" s="76">
        <v>7.4375975882798179E-2</v>
      </c>
      <c r="T71" s="76"/>
      <c r="U71" s="76"/>
      <c r="V71" s="76"/>
      <c r="W71" s="76"/>
      <c r="X71" s="76"/>
      <c r="Y71" s="76"/>
      <c r="Z71" s="76"/>
      <c r="AA71" s="70"/>
      <c r="AB71" s="70"/>
      <c r="AC71" s="70"/>
      <c r="AD71" s="70"/>
      <c r="AE71" s="70">
        <v>6.3421779339447202</v>
      </c>
      <c r="AF71" s="70"/>
      <c r="AG71" s="70"/>
      <c r="AH71" s="70"/>
      <c r="AI71" s="70"/>
      <c r="AJ71" s="70"/>
      <c r="AK71" s="70">
        <v>34.938074760673686</v>
      </c>
      <c r="AL71" s="70">
        <v>2.1799029440911823</v>
      </c>
      <c r="AM71" s="70">
        <v>0.29186726527457696</v>
      </c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7">
        <v>3.01922933357026E-2</v>
      </c>
      <c r="FD71" s="77">
        <v>4.8080902396465099E-2</v>
      </c>
      <c r="FE71" s="77">
        <v>2.1974906240409695E-2</v>
      </c>
      <c r="FF71" s="77">
        <v>5.0030341873721455E-2</v>
      </c>
      <c r="FG71" s="77">
        <v>3.4273453106119893E-2</v>
      </c>
      <c r="FH71" s="77">
        <v>1.5491441656897587E-3</v>
      </c>
      <c r="FI71" s="77">
        <v>5.3033099191808642E-3</v>
      </c>
      <c r="FJ71" s="77">
        <v>2.7951187551027738E-3</v>
      </c>
      <c r="FK71" s="77">
        <v>4.5441876442571709E-3</v>
      </c>
      <c r="FL71" s="77">
        <v>4.0060475560535581E-2</v>
      </c>
      <c r="FM71" s="70"/>
      <c r="FN71" s="70"/>
      <c r="FO71" s="70"/>
      <c r="FP71" s="70"/>
      <c r="FQ71" s="70"/>
      <c r="FR71" s="70"/>
      <c r="FS71" s="70"/>
      <c r="FT71" s="70">
        <v>1.5394578955497586</v>
      </c>
      <c r="FU71" s="70">
        <v>3.0560666671259583E-2</v>
      </c>
      <c r="FV71" s="70">
        <v>89.639472727145431</v>
      </c>
      <c r="FW71" s="70"/>
      <c r="FX71" s="75"/>
      <c r="FY71" s="70"/>
      <c r="FZ71" s="70"/>
      <c r="GA71" s="70"/>
      <c r="GB71" s="70"/>
      <c r="GC71" s="70"/>
      <c r="GD71" s="70"/>
      <c r="GE71" s="70"/>
      <c r="GF71" s="70"/>
      <c r="GG71" s="70"/>
      <c r="GH71" s="70"/>
    </row>
    <row r="72" spans="1:190" x14ac:dyDescent="0.2">
      <c r="A72" s="71" t="s">
        <v>391</v>
      </c>
      <c r="B72" s="76"/>
      <c r="C72" s="76">
        <v>6.2173105799365504E-2</v>
      </c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>
        <v>2.433480608232494</v>
      </c>
      <c r="Q72" s="76">
        <v>0.65703997370770995</v>
      </c>
      <c r="R72" s="76">
        <v>2.6539557436199339</v>
      </c>
      <c r="S72" s="76">
        <v>0.10030716926316004</v>
      </c>
      <c r="T72" s="76">
        <v>2.0055536833901471</v>
      </c>
      <c r="U72" s="76"/>
      <c r="V72" s="76"/>
      <c r="W72" s="76"/>
      <c r="X72" s="76"/>
      <c r="Y72" s="76"/>
      <c r="Z72" s="76"/>
      <c r="AA72" s="70"/>
      <c r="AB72" s="70"/>
      <c r="AC72" s="70"/>
      <c r="AD72" s="70"/>
      <c r="AE72" s="70"/>
      <c r="AF72" s="70">
        <v>0.69360005777437661</v>
      </c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7"/>
      <c r="FD72" s="77"/>
      <c r="FE72" s="77"/>
      <c r="FF72" s="77"/>
      <c r="FG72" s="77"/>
      <c r="FH72" s="77"/>
      <c r="FI72" s="77"/>
      <c r="FJ72" s="77"/>
      <c r="FK72" s="77"/>
      <c r="FL72" s="77"/>
      <c r="FM72" s="70"/>
      <c r="FN72" s="70"/>
      <c r="FO72" s="70"/>
      <c r="FP72" s="70"/>
      <c r="FQ72" s="70"/>
      <c r="FR72" s="70"/>
      <c r="FS72" s="70"/>
      <c r="FT72" s="70"/>
      <c r="FU72" s="70">
        <v>5.9737541506625236E-3</v>
      </c>
      <c r="FV72" s="70">
        <v>8.6120840959378491</v>
      </c>
      <c r="FW72" s="70"/>
      <c r="FX72" s="75"/>
      <c r="FY72" s="70"/>
      <c r="FZ72" s="70"/>
      <c r="GA72" s="70"/>
      <c r="GB72" s="70"/>
      <c r="GC72" s="70"/>
      <c r="GD72" s="70"/>
      <c r="GE72" s="70"/>
      <c r="GF72" s="70"/>
      <c r="GG72" s="70"/>
      <c r="GH72" s="70"/>
    </row>
    <row r="73" spans="1:190" x14ac:dyDescent="0.2">
      <c r="A73" s="71" t="s">
        <v>392</v>
      </c>
      <c r="B73" s="76"/>
      <c r="C73" s="76"/>
      <c r="D73" s="76">
        <v>0.17701255657709</v>
      </c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0"/>
      <c r="AB73" s="70">
        <v>10.299480084873009</v>
      </c>
      <c r="AC73" s="70"/>
      <c r="AD73" s="70"/>
      <c r="AE73" s="70"/>
      <c r="AF73" s="70"/>
      <c r="AG73" s="70">
        <v>5.5455475097563172</v>
      </c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7">
        <v>1.1930486978832651</v>
      </c>
      <c r="FD73" s="77">
        <v>1.5731294198989059</v>
      </c>
      <c r="FE73" s="77">
        <v>1.610538856065779</v>
      </c>
      <c r="FF73" s="77">
        <v>1.6816630318288475</v>
      </c>
      <c r="FG73" s="77">
        <v>1.3867809321039344</v>
      </c>
      <c r="FH73" s="77">
        <v>0.47500334686548445</v>
      </c>
      <c r="FI73" s="77">
        <v>0.6535813350160532</v>
      </c>
      <c r="FJ73" s="77">
        <v>0.87490646531246496</v>
      </c>
      <c r="FK73" s="77">
        <v>1.0819591181968147</v>
      </c>
      <c r="FL73" s="77">
        <v>1.7799073758661939</v>
      </c>
      <c r="FM73" s="70"/>
      <c r="FN73" s="70"/>
      <c r="FO73" s="70"/>
      <c r="FP73" s="70"/>
      <c r="FQ73" s="70"/>
      <c r="FR73" s="70"/>
      <c r="FS73" s="70"/>
      <c r="FT73" s="70"/>
      <c r="FU73" s="70">
        <v>1.1330664663786097E-6</v>
      </c>
      <c r="FV73" s="70">
        <v>28.332559863310625</v>
      </c>
      <c r="FW73" s="70"/>
      <c r="FX73" s="75"/>
      <c r="FY73" s="70"/>
      <c r="FZ73" s="70"/>
      <c r="GA73" s="70"/>
      <c r="GB73" s="70"/>
      <c r="GC73" s="70"/>
      <c r="GD73" s="70"/>
      <c r="GE73" s="70"/>
      <c r="GF73" s="70"/>
      <c r="GG73" s="70"/>
      <c r="GH73" s="70"/>
    </row>
    <row r="74" spans="1:190" x14ac:dyDescent="0.2">
      <c r="A74" s="71" t="s">
        <v>393</v>
      </c>
      <c r="B74" s="76"/>
      <c r="C74" s="76"/>
      <c r="D74" s="76"/>
      <c r="E74" s="76">
        <v>0.45444331013879563</v>
      </c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0"/>
      <c r="AB74" s="70"/>
      <c r="AC74" s="70"/>
      <c r="AD74" s="70"/>
      <c r="AE74" s="70"/>
      <c r="AF74" s="70"/>
      <c r="AG74" s="70"/>
      <c r="AH74" s="70">
        <v>14.828068822407849</v>
      </c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7">
        <v>2.7885595660100346</v>
      </c>
      <c r="FD74" s="77">
        <v>3.2502200894811866</v>
      </c>
      <c r="FE74" s="77">
        <v>3.7271155793235802</v>
      </c>
      <c r="FF74" s="77">
        <v>5.5864109454439701</v>
      </c>
      <c r="FG74" s="77">
        <v>4.9169378091695579</v>
      </c>
      <c r="FH74" s="77">
        <v>0.11903727124346998</v>
      </c>
      <c r="FI74" s="77">
        <v>0.40079459172891291</v>
      </c>
      <c r="FJ74" s="77">
        <v>0.14217736452409815</v>
      </c>
      <c r="FK74" s="77">
        <v>0.14743684880387772</v>
      </c>
      <c r="FL74" s="77">
        <v>0.23835219545784159</v>
      </c>
      <c r="FM74" s="70"/>
      <c r="FN74" s="70"/>
      <c r="FO74" s="70"/>
      <c r="FP74" s="70"/>
      <c r="FQ74" s="70"/>
      <c r="FR74" s="70"/>
      <c r="FS74" s="70"/>
      <c r="FT74" s="70">
        <v>2.8222033818699699</v>
      </c>
      <c r="FU74" s="70">
        <v>1.6073368514599858E-5</v>
      </c>
      <c r="FV74" s="70">
        <v>39.421773848971654</v>
      </c>
      <c r="FW74" s="70"/>
      <c r="FX74" s="75"/>
      <c r="FY74" s="70"/>
      <c r="FZ74" s="70"/>
      <c r="GA74" s="70"/>
      <c r="GB74" s="70"/>
      <c r="GC74" s="70"/>
      <c r="GD74" s="70"/>
      <c r="GE74" s="70"/>
      <c r="GF74" s="70"/>
      <c r="GG74" s="70"/>
      <c r="GH74" s="70"/>
    </row>
    <row r="75" spans="1:190" x14ac:dyDescent="0.2">
      <c r="A75" s="71" t="s">
        <v>394</v>
      </c>
      <c r="B75" s="76"/>
      <c r="C75" s="76"/>
      <c r="D75" s="76"/>
      <c r="E75" s="76"/>
      <c r="F75" s="76">
        <v>1.7314122403706438E-2</v>
      </c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>
        <v>4.9172641144809751E-2</v>
      </c>
      <c r="S75" s="76"/>
      <c r="T75" s="76"/>
      <c r="U75" s="76"/>
      <c r="V75" s="76"/>
      <c r="W75" s="76"/>
      <c r="X75" s="76"/>
      <c r="Y75" s="76"/>
      <c r="Z75" s="76"/>
      <c r="AA75" s="70"/>
      <c r="AB75" s="70"/>
      <c r="AC75" s="70"/>
      <c r="AD75" s="70"/>
      <c r="AE75" s="70"/>
      <c r="AF75" s="70"/>
      <c r="AG75" s="70"/>
      <c r="AH75" s="70"/>
      <c r="AI75" s="70">
        <v>0.34221721571058128</v>
      </c>
      <c r="AJ75" s="70"/>
      <c r="AK75" s="70"/>
      <c r="AL75" s="70">
        <v>1.1874431885429695</v>
      </c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7">
        <v>2.6018691642464099E-2</v>
      </c>
      <c r="FD75" s="77">
        <v>3.5883139894160476E-2</v>
      </c>
      <c r="FE75" s="77">
        <v>2.8533679459406554E-2</v>
      </c>
      <c r="FF75" s="77">
        <v>3.0236640276378759E-2</v>
      </c>
      <c r="FG75" s="77">
        <v>3.7186368221202942E-2</v>
      </c>
      <c r="FH75" s="77">
        <v>5.2635656667553944E-3</v>
      </c>
      <c r="FI75" s="77">
        <v>2.0445245561191466E-2</v>
      </c>
      <c r="FJ75" s="77">
        <v>1.5186680199432832E-2</v>
      </c>
      <c r="FK75" s="77">
        <v>1.6774026325408784E-2</v>
      </c>
      <c r="FL75" s="77">
        <v>6.5808399135152046E-2</v>
      </c>
      <c r="FM75" s="70"/>
      <c r="FN75" s="70"/>
      <c r="FO75" s="70"/>
      <c r="FP75" s="70"/>
      <c r="FQ75" s="70"/>
      <c r="FR75" s="70"/>
      <c r="FS75" s="70"/>
      <c r="FT75" s="70"/>
      <c r="FU75" s="70">
        <v>0.26727332358749628</v>
      </c>
      <c r="FV75" s="70">
        <v>2.1447569277711169</v>
      </c>
      <c r="FW75" s="70"/>
      <c r="FX75" s="75"/>
      <c r="FY75" s="70"/>
      <c r="FZ75" s="70"/>
      <c r="GA75" s="70"/>
      <c r="GB75" s="70"/>
      <c r="GC75" s="70"/>
      <c r="GD75" s="70"/>
      <c r="GE75" s="70"/>
      <c r="GF75" s="70"/>
      <c r="GG75" s="70"/>
      <c r="GH75" s="70"/>
    </row>
    <row r="76" spans="1:190" x14ac:dyDescent="0.2">
      <c r="A76" s="71" t="s">
        <v>395</v>
      </c>
      <c r="B76" s="76"/>
      <c r="C76" s="76"/>
      <c r="D76" s="76"/>
      <c r="E76" s="76"/>
      <c r="F76" s="76"/>
      <c r="G76" s="76">
        <v>0.20001898641890531</v>
      </c>
      <c r="H76" s="76"/>
      <c r="I76" s="76"/>
      <c r="J76" s="76"/>
      <c r="K76" s="76"/>
      <c r="L76" s="76"/>
      <c r="M76" s="76"/>
      <c r="N76" s="76"/>
      <c r="O76" s="76"/>
      <c r="P76" s="76">
        <v>0.13466547905351012</v>
      </c>
      <c r="Q76" s="76">
        <v>3.8373728805449328E-2</v>
      </c>
      <c r="R76" s="76">
        <v>0.59547406829875094</v>
      </c>
      <c r="S76" s="76">
        <v>5.9732033551241114E-3</v>
      </c>
      <c r="T76" s="76"/>
      <c r="U76" s="76"/>
      <c r="V76" s="76"/>
      <c r="W76" s="76"/>
      <c r="X76" s="76"/>
      <c r="Y76" s="76"/>
      <c r="Z76" s="76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>
        <v>2.9068988829582469</v>
      </c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  <c r="EY76" s="70"/>
      <c r="EZ76" s="70"/>
      <c r="FA76" s="70"/>
      <c r="FB76" s="70"/>
      <c r="FC76" s="77">
        <v>1.5750668988038805</v>
      </c>
      <c r="FD76" s="77">
        <v>1.5295495148467073</v>
      </c>
      <c r="FE76" s="77">
        <v>1.4025752290485525</v>
      </c>
      <c r="FF76" s="77">
        <v>1.4884224650229345</v>
      </c>
      <c r="FG76" s="77">
        <v>1.158080953333513</v>
      </c>
      <c r="FH76" s="77">
        <v>0.61241346368879179</v>
      </c>
      <c r="FI76" s="77">
        <v>0.70776537411212603</v>
      </c>
      <c r="FJ76" s="77">
        <v>0.86914513437037699</v>
      </c>
      <c r="FK76" s="77">
        <v>1.02901071381632</v>
      </c>
      <c r="FL76" s="77">
        <v>1.3645924845795663</v>
      </c>
      <c r="FM76" s="70"/>
      <c r="FN76" s="70"/>
      <c r="FO76" s="70"/>
      <c r="FP76" s="70"/>
      <c r="FQ76" s="70"/>
      <c r="FR76" s="70"/>
      <c r="FS76" s="70"/>
      <c r="FT76" s="70"/>
      <c r="FU76" s="70">
        <v>1.7658966617491652</v>
      </c>
      <c r="FV76" s="70">
        <v>17.383923242261922</v>
      </c>
      <c r="FW76" s="70"/>
      <c r="FX76" s="75"/>
      <c r="FY76" s="70"/>
      <c r="FZ76" s="70"/>
      <c r="GA76" s="70"/>
      <c r="GB76" s="70"/>
      <c r="GC76" s="70"/>
      <c r="GD76" s="70"/>
      <c r="GE76" s="70"/>
      <c r="GF76" s="70"/>
      <c r="GG76" s="70"/>
      <c r="GH76" s="70"/>
    </row>
    <row r="77" spans="1:190" x14ac:dyDescent="0.2">
      <c r="A77" s="71" t="s">
        <v>396</v>
      </c>
      <c r="B77" s="76"/>
      <c r="C77" s="76"/>
      <c r="D77" s="76"/>
      <c r="E77" s="76"/>
      <c r="F77" s="76"/>
      <c r="G77" s="76"/>
      <c r="H77" s="76">
        <v>0.17593731988530589</v>
      </c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0"/>
      <c r="AB77" s="70"/>
      <c r="AC77" s="70"/>
      <c r="AD77" s="70">
        <v>9.4148540493639903</v>
      </c>
      <c r="AE77" s="70"/>
      <c r="AF77" s="70"/>
      <c r="AG77" s="70"/>
      <c r="AH77" s="70"/>
      <c r="AI77" s="70"/>
      <c r="AJ77" s="70"/>
      <c r="AK77" s="70">
        <v>2.202858909514116</v>
      </c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7">
        <v>0.49390861188914975</v>
      </c>
      <c r="FD77" s="77">
        <v>0.78934652170783159</v>
      </c>
      <c r="FE77" s="77">
        <v>0.90304231323902584</v>
      </c>
      <c r="FF77" s="77">
        <v>1.1311492465682864</v>
      </c>
      <c r="FG77" s="77">
        <v>1.1765978283573164</v>
      </c>
      <c r="FH77" s="77">
        <v>0.19433011192645594</v>
      </c>
      <c r="FI77" s="77">
        <v>0.3345096723791614</v>
      </c>
      <c r="FJ77" s="77">
        <v>0.5108603966129307</v>
      </c>
      <c r="FK77" s="77">
        <v>0.77510328590238875</v>
      </c>
      <c r="FL77" s="77">
        <v>1.9011709327406154</v>
      </c>
      <c r="FM77" s="70"/>
      <c r="FN77" s="70"/>
      <c r="FO77" s="70"/>
      <c r="FP77" s="70"/>
      <c r="FQ77" s="70"/>
      <c r="FR77" s="70"/>
      <c r="FS77" s="70"/>
      <c r="FT77" s="70"/>
      <c r="FU77" s="70">
        <v>0.67759991318312718</v>
      </c>
      <c r="FV77" s="70">
        <v>20.6812691132697</v>
      </c>
      <c r="FW77" s="70"/>
      <c r="FX77" s="75"/>
      <c r="FY77" s="70"/>
      <c r="FZ77" s="70"/>
      <c r="GA77" s="70"/>
      <c r="GB77" s="70"/>
      <c r="GC77" s="70"/>
      <c r="GD77" s="70"/>
      <c r="GE77" s="70"/>
      <c r="GF77" s="70"/>
      <c r="GG77" s="70"/>
      <c r="GH77" s="70"/>
    </row>
    <row r="78" spans="1:190" x14ac:dyDescent="0.2">
      <c r="A78" s="71" t="s">
        <v>397</v>
      </c>
      <c r="B78" s="76"/>
      <c r="C78" s="76"/>
      <c r="D78" s="76"/>
      <c r="E78" s="76"/>
      <c r="F78" s="76"/>
      <c r="G78" s="76"/>
      <c r="H78" s="76"/>
      <c r="I78" s="76">
        <v>0.14816630322576427</v>
      </c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0"/>
      <c r="AB78" s="70">
        <v>3.3358003234035745</v>
      </c>
      <c r="AC78" s="70"/>
      <c r="AD78" s="70">
        <v>24.176207581981952</v>
      </c>
      <c r="AE78" s="70"/>
      <c r="AF78" s="70"/>
      <c r="AG78" s="70"/>
      <c r="AH78" s="70"/>
      <c r="AI78" s="70"/>
      <c r="AJ78" s="70"/>
      <c r="AK78" s="70">
        <v>8.6776601937225166</v>
      </c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  <c r="EY78" s="70"/>
      <c r="EZ78" s="70"/>
      <c r="FA78" s="70"/>
      <c r="FB78" s="70"/>
      <c r="FC78" s="77"/>
      <c r="FD78" s="77"/>
      <c r="FE78" s="77"/>
      <c r="FF78" s="77"/>
      <c r="FG78" s="77"/>
      <c r="FH78" s="77"/>
      <c r="FI78" s="77"/>
      <c r="FJ78" s="77"/>
      <c r="FK78" s="77"/>
      <c r="FL78" s="77"/>
      <c r="FM78" s="70"/>
      <c r="FN78" s="70"/>
      <c r="FO78" s="70"/>
      <c r="FP78" s="70"/>
      <c r="FQ78" s="70"/>
      <c r="FR78" s="70"/>
      <c r="FS78" s="70"/>
      <c r="FT78" s="70"/>
      <c r="FU78" s="70">
        <v>0.61816559510288838</v>
      </c>
      <c r="FV78" s="70">
        <v>36.955999997436699</v>
      </c>
      <c r="FW78" s="70"/>
      <c r="FX78" s="75"/>
      <c r="FY78" s="70"/>
      <c r="FZ78" s="70"/>
      <c r="GA78" s="70"/>
      <c r="GB78" s="70"/>
      <c r="GC78" s="70"/>
      <c r="GD78" s="70"/>
      <c r="GE78" s="70"/>
      <c r="GF78" s="70"/>
      <c r="GG78" s="70"/>
      <c r="GH78" s="70"/>
    </row>
    <row r="79" spans="1:190" x14ac:dyDescent="0.2">
      <c r="A79" s="71" t="s">
        <v>398</v>
      </c>
      <c r="B79" s="76"/>
      <c r="C79" s="76"/>
      <c r="D79" s="76"/>
      <c r="E79" s="76"/>
      <c r="F79" s="76"/>
      <c r="G79" s="76"/>
      <c r="H79" s="76"/>
      <c r="I79" s="76"/>
      <c r="J79" s="76">
        <v>1.6262414106176035</v>
      </c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0"/>
      <c r="AB79" s="70"/>
      <c r="AC79" s="70">
        <v>0.33933178033916328</v>
      </c>
      <c r="AD79" s="70"/>
      <c r="AE79" s="70"/>
      <c r="AF79" s="70"/>
      <c r="AG79" s="70"/>
      <c r="AH79" s="70"/>
      <c r="AI79" s="70"/>
      <c r="AJ79" s="70"/>
      <c r="AK79" s="70">
        <v>2.9549691477167612</v>
      </c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  <c r="EY79" s="70"/>
      <c r="EZ79" s="70"/>
      <c r="FA79" s="70"/>
      <c r="FB79" s="70"/>
      <c r="FC79" s="77">
        <v>2.7943892428702508</v>
      </c>
      <c r="FD79" s="77">
        <v>3.4282804404515836</v>
      </c>
      <c r="FE79" s="77">
        <v>3.501106659853491</v>
      </c>
      <c r="FF79" s="77">
        <v>3.7683020727655019</v>
      </c>
      <c r="FG79" s="77">
        <v>3.1777381468017283</v>
      </c>
      <c r="FH79" s="77">
        <v>1.2253188032707356</v>
      </c>
      <c r="FI79" s="77">
        <v>1.712182594392361</v>
      </c>
      <c r="FJ79" s="77">
        <v>2.1919465197273142</v>
      </c>
      <c r="FK79" s="77">
        <v>2.674034360232425</v>
      </c>
      <c r="FL79" s="77">
        <v>4.5705840476541661</v>
      </c>
      <c r="FM79" s="70"/>
      <c r="FN79" s="70"/>
      <c r="FO79" s="70"/>
      <c r="FP79" s="70"/>
      <c r="FQ79" s="70"/>
      <c r="FR79" s="70"/>
      <c r="FS79" s="70"/>
      <c r="FT79" s="70">
        <v>0.25373621156096576</v>
      </c>
      <c r="FU79" s="70">
        <v>4.9868833877959799</v>
      </c>
      <c r="FV79" s="70">
        <v>39.205044826050027</v>
      </c>
      <c r="FW79" s="70"/>
      <c r="FX79" s="75"/>
      <c r="FY79" s="70"/>
      <c r="FZ79" s="70"/>
      <c r="GA79" s="70"/>
      <c r="GB79" s="70"/>
      <c r="GC79" s="70"/>
      <c r="GD79" s="70"/>
      <c r="GE79" s="70"/>
      <c r="GF79" s="70"/>
      <c r="GG79" s="70"/>
      <c r="GH79" s="70"/>
    </row>
    <row r="80" spans="1:190" x14ac:dyDescent="0.2">
      <c r="A80" s="71" t="s">
        <v>399</v>
      </c>
      <c r="B80" s="76"/>
      <c r="C80" s="76"/>
      <c r="D80" s="76"/>
      <c r="E80" s="76"/>
      <c r="F80" s="76"/>
      <c r="G80" s="76"/>
      <c r="H80" s="76"/>
      <c r="I80" s="76"/>
      <c r="J80" s="76"/>
      <c r="K80" s="76">
        <v>3.0119991420350822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0"/>
      <c r="AB80" s="70"/>
      <c r="AC80" s="70">
        <v>11.284987753826249</v>
      </c>
      <c r="AD80" s="70"/>
      <c r="AE80" s="70"/>
      <c r="AF80" s="70"/>
      <c r="AG80" s="70"/>
      <c r="AH80" s="70"/>
      <c r="AI80" s="70"/>
      <c r="AJ80" s="70"/>
      <c r="AK80" s="70">
        <v>8.0439925319745509</v>
      </c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>
        <v>0.88263439538310184</v>
      </c>
      <c r="BJ80" s="70">
        <v>3.0904430648648291</v>
      </c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  <c r="EY80" s="70"/>
      <c r="EZ80" s="70"/>
      <c r="FA80" s="70"/>
      <c r="FB80" s="70"/>
      <c r="FC80" s="77">
        <v>10.997908968736873</v>
      </c>
      <c r="FD80" s="77">
        <v>13.740273575152971</v>
      </c>
      <c r="FE80" s="77">
        <v>14.288211606013089</v>
      </c>
      <c r="FF80" s="77">
        <v>16.289436405784461</v>
      </c>
      <c r="FG80" s="77">
        <v>14.778803035315017</v>
      </c>
      <c r="FH80" s="77">
        <v>4.7443828004036321</v>
      </c>
      <c r="FI80" s="77">
        <v>6.7059277905656982</v>
      </c>
      <c r="FJ80" s="77">
        <v>8.9398722142386386</v>
      </c>
      <c r="FK80" s="77">
        <v>11.551863848334536</v>
      </c>
      <c r="FL80" s="77">
        <v>20.842401447895714</v>
      </c>
      <c r="FM80" s="70"/>
      <c r="FN80" s="70"/>
      <c r="FO80" s="70"/>
      <c r="FP80" s="70"/>
      <c r="FQ80" s="70"/>
      <c r="FR80" s="70"/>
      <c r="FS80" s="70"/>
      <c r="FT80" s="70"/>
      <c r="FU80" s="70">
        <v>6.4752186103121332</v>
      </c>
      <c r="FV80" s="70">
        <v>155.66835719083659</v>
      </c>
      <c r="FW80" s="70"/>
      <c r="FX80" s="75"/>
      <c r="FY80" s="70"/>
      <c r="FZ80" s="70"/>
      <c r="GA80" s="70"/>
      <c r="GB80" s="70"/>
      <c r="GC80" s="70"/>
      <c r="GD80" s="70"/>
      <c r="GE80" s="70"/>
      <c r="GF80" s="70"/>
      <c r="GG80" s="70"/>
      <c r="GH80" s="70"/>
    </row>
    <row r="81" spans="1:190" x14ac:dyDescent="0.2">
      <c r="A81" s="71" t="s">
        <v>400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>
        <v>0.57117991458888417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0"/>
      <c r="AB81" s="70"/>
      <c r="AC81" s="70"/>
      <c r="AD81" s="70"/>
      <c r="AE81" s="70"/>
      <c r="AF81" s="70"/>
      <c r="AG81" s="70"/>
      <c r="AH81" s="70"/>
      <c r="AI81" s="70"/>
      <c r="AJ81" s="70">
        <v>35.640340622374424</v>
      </c>
      <c r="AK81" s="70">
        <v>1.8397516742088942</v>
      </c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  <c r="EY81" s="70"/>
      <c r="EZ81" s="70"/>
      <c r="FA81" s="70"/>
      <c r="FB81" s="70"/>
      <c r="FC81" s="77"/>
      <c r="FD81" s="77"/>
      <c r="FE81" s="77"/>
      <c r="FF81" s="77"/>
      <c r="FG81" s="77"/>
      <c r="FH81" s="77"/>
      <c r="FI81" s="77"/>
      <c r="FJ81" s="77"/>
      <c r="FK81" s="77"/>
      <c r="FL81" s="77"/>
      <c r="FM81" s="70"/>
      <c r="FN81" s="70"/>
      <c r="FO81" s="70"/>
      <c r="FP81" s="70"/>
      <c r="FQ81" s="70"/>
      <c r="FR81" s="70"/>
      <c r="FS81" s="70"/>
      <c r="FT81" s="70">
        <v>-0.36303506818910969</v>
      </c>
      <c r="FU81" s="70">
        <v>0.19493049354067374</v>
      </c>
      <c r="FV81" s="70">
        <v>37.883167636523758</v>
      </c>
      <c r="FW81" s="70"/>
      <c r="FX81" s="75"/>
      <c r="FY81" s="70"/>
      <c r="FZ81" s="70"/>
      <c r="GA81" s="70"/>
      <c r="GB81" s="70"/>
      <c r="GC81" s="70"/>
      <c r="GD81" s="70"/>
      <c r="GE81" s="70"/>
      <c r="GF81" s="70"/>
      <c r="GG81" s="70"/>
      <c r="GH81" s="70"/>
    </row>
    <row r="82" spans="1:190" x14ac:dyDescent="0.2">
      <c r="A82" s="71" t="s">
        <v>401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>
        <v>4.0171837997156823</v>
      </c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  <c r="EY82" s="70"/>
      <c r="EZ82" s="70"/>
      <c r="FA82" s="70"/>
      <c r="FB82" s="70"/>
      <c r="FC82" s="77"/>
      <c r="FD82" s="77"/>
      <c r="FE82" s="77"/>
      <c r="FF82" s="77"/>
      <c r="FG82" s="77"/>
      <c r="FH82" s="77"/>
      <c r="FI82" s="77"/>
      <c r="FJ82" s="77"/>
      <c r="FK82" s="77"/>
      <c r="FL82" s="77"/>
      <c r="FM82" s="70"/>
      <c r="FN82" s="70"/>
      <c r="FO82" s="70"/>
      <c r="FP82" s="70"/>
      <c r="FQ82" s="70"/>
      <c r="FR82" s="70"/>
      <c r="FS82" s="70"/>
      <c r="FT82" s="70">
        <v>0.6647737329338641</v>
      </c>
      <c r="FU82" s="70">
        <v>1.6212590699055199E-3</v>
      </c>
      <c r="FV82" s="70">
        <v>4.6835787917194516</v>
      </c>
      <c r="FW82" s="70"/>
      <c r="FX82" s="75"/>
      <c r="FY82" s="70"/>
      <c r="FZ82" s="70"/>
      <c r="GA82" s="70"/>
      <c r="GB82" s="70"/>
      <c r="GC82" s="70"/>
      <c r="GD82" s="70"/>
      <c r="GE82" s="70"/>
      <c r="GF82" s="70"/>
      <c r="GG82" s="70"/>
      <c r="GH82" s="70"/>
    </row>
    <row r="83" spans="1:190" x14ac:dyDescent="0.2">
      <c r="A83" s="71" t="s">
        <v>402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>
        <v>5.2140675299227031E-3</v>
      </c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0"/>
      <c r="AB83" s="70">
        <v>1.4364257690159909</v>
      </c>
      <c r="AC83" s="70"/>
      <c r="AD83" s="70"/>
      <c r="AE83" s="70"/>
      <c r="AF83" s="70"/>
      <c r="AG83" s="70"/>
      <c r="AH83" s="70"/>
      <c r="AI83" s="70"/>
      <c r="AJ83" s="70"/>
      <c r="AK83" s="70">
        <v>3.2963597309243555</v>
      </c>
      <c r="AL83" s="70"/>
      <c r="AM83" s="70"/>
      <c r="AN83" s="70"/>
      <c r="AO83" s="70">
        <v>6.3079786711688905</v>
      </c>
      <c r="AP83" s="70">
        <v>3.1132191705420706</v>
      </c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7"/>
      <c r="FD83" s="77"/>
      <c r="FE83" s="77"/>
      <c r="FF83" s="77"/>
      <c r="FG83" s="77"/>
      <c r="FH83" s="77"/>
      <c r="FI83" s="77"/>
      <c r="FJ83" s="77"/>
      <c r="FK83" s="77"/>
      <c r="FL83" s="77"/>
      <c r="FM83" s="70"/>
      <c r="FN83" s="70"/>
      <c r="FO83" s="70"/>
      <c r="FP83" s="70"/>
      <c r="FQ83" s="70"/>
      <c r="FR83" s="70"/>
      <c r="FS83" s="70"/>
      <c r="FT83" s="70"/>
      <c r="FU83" s="70">
        <v>2.5057998010049314</v>
      </c>
      <c r="FV83" s="70">
        <v>16.664997210186161</v>
      </c>
      <c r="FW83" s="70"/>
      <c r="FX83" s="75"/>
      <c r="FY83" s="70"/>
      <c r="FZ83" s="70"/>
      <c r="GA83" s="70"/>
      <c r="GB83" s="70"/>
      <c r="GC83" s="70"/>
      <c r="GD83" s="70"/>
      <c r="GE83" s="70"/>
      <c r="GF83" s="70"/>
      <c r="GG83" s="70"/>
      <c r="GH83" s="70"/>
    </row>
    <row r="84" spans="1:190" x14ac:dyDescent="0.2">
      <c r="A84" s="71" t="s">
        <v>403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>
        <v>0.29674158107909637</v>
      </c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0"/>
      <c r="AB84" s="70">
        <v>0.80817242364590891</v>
      </c>
      <c r="AC84" s="70">
        <v>6.1355611106772701</v>
      </c>
      <c r="AD84" s="70"/>
      <c r="AE84" s="70"/>
      <c r="AF84" s="70"/>
      <c r="AG84" s="70"/>
      <c r="AH84" s="70"/>
      <c r="AI84" s="70"/>
      <c r="AJ84" s="70"/>
      <c r="AK84" s="70">
        <v>13.426172820595083</v>
      </c>
      <c r="AL84" s="70"/>
      <c r="AM84" s="70">
        <v>6.5480903930111882</v>
      </c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>
        <v>0.87388219686480528</v>
      </c>
      <c r="BJ84" s="70">
        <v>3.0576163068293618</v>
      </c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7">
        <v>4.9964881778177475</v>
      </c>
      <c r="FD84" s="77">
        <v>7.9851565817704788</v>
      </c>
      <c r="FE84" s="77">
        <v>9.1359717417035107</v>
      </c>
      <c r="FF84" s="77">
        <v>11.445272604176507</v>
      </c>
      <c r="FG84" s="77">
        <v>11.9117438048384</v>
      </c>
      <c r="FH84" s="77">
        <v>1.966371293150057</v>
      </c>
      <c r="FI84" s="77">
        <v>3.3847857240077674</v>
      </c>
      <c r="FJ84" s="77">
        <v>5.1690556805726704</v>
      </c>
      <c r="FK84" s="77">
        <v>7.842790895870337</v>
      </c>
      <c r="FL84" s="77">
        <v>19.247856895991102</v>
      </c>
      <c r="FM84" s="70"/>
      <c r="FN84" s="70"/>
      <c r="FO84" s="70"/>
      <c r="FP84" s="70"/>
      <c r="FQ84" s="70"/>
      <c r="FR84" s="70"/>
      <c r="FS84" s="70"/>
      <c r="FT84" s="70">
        <v>3.892869022588365E-3</v>
      </c>
      <c r="FU84" s="70">
        <v>19.226284025269138</v>
      </c>
      <c r="FV84" s="70">
        <v>133.46190712689304</v>
      </c>
      <c r="FW84" s="70"/>
      <c r="FX84" s="75"/>
      <c r="FY84" s="70"/>
      <c r="FZ84" s="70"/>
      <c r="GA84" s="70"/>
      <c r="GB84" s="70"/>
      <c r="GC84" s="70"/>
      <c r="GD84" s="70"/>
      <c r="GE84" s="70"/>
      <c r="GF84" s="70"/>
      <c r="GG84" s="70"/>
      <c r="GH84" s="70"/>
    </row>
    <row r="85" spans="1:190" x14ac:dyDescent="0.2">
      <c r="A85" s="71" t="s">
        <v>404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>
        <v>2.2294663031852973</v>
      </c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  <c r="EY85" s="70"/>
      <c r="EZ85" s="70"/>
      <c r="FA85" s="70"/>
      <c r="FB85" s="70"/>
      <c r="FC85" s="77"/>
      <c r="FD85" s="77"/>
      <c r="FE85" s="77"/>
      <c r="FF85" s="77"/>
      <c r="FG85" s="77"/>
      <c r="FH85" s="77"/>
      <c r="FI85" s="77"/>
      <c r="FJ85" s="77"/>
      <c r="FK85" s="77"/>
      <c r="FL85" s="77"/>
      <c r="FM85" s="70"/>
      <c r="FN85" s="70"/>
      <c r="FO85" s="70"/>
      <c r="FP85" s="70"/>
      <c r="FQ85" s="70"/>
      <c r="FR85" s="70"/>
      <c r="FS85" s="70"/>
      <c r="FT85" s="70"/>
      <c r="FU85" s="70">
        <v>0.12998101681144403</v>
      </c>
      <c r="FV85" s="70">
        <v>2.3594473199967414</v>
      </c>
      <c r="FW85" s="70"/>
      <c r="FX85" s="75"/>
      <c r="FY85" s="70"/>
      <c r="FZ85" s="70"/>
      <c r="GA85" s="70"/>
      <c r="GB85" s="70"/>
      <c r="GC85" s="70"/>
      <c r="GD85" s="70"/>
      <c r="GE85" s="70"/>
      <c r="GF85" s="70"/>
      <c r="GG85" s="70"/>
      <c r="GH85" s="70"/>
    </row>
    <row r="86" spans="1:190" x14ac:dyDescent="0.2">
      <c r="A86" s="71" t="s">
        <v>405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/>
      <c r="FA86" s="70"/>
      <c r="FB86" s="70"/>
      <c r="FC86" s="77"/>
      <c r="FD86" s="77"/>
      <c r="FE86" s="77"/>
      <c r="FF86" s="77"/>
      <c r="FG86" s="77"/>
      <c r="FH86" s="77"/>
      <c r="FI86" s="77"/>
      <c r="FJ86" s="77"/>
      <c r="FK86" s="77"/>
      <c r="FL86" s="77"/>
      <c r="FM86" s="70"/>
      <c r="FN86" s="70"/>
      <c r="FO86" s="70"/>
      <c r="FP86" s="70"/>
      <c r="FQ86" s="70"/>
      <c r="FR86" s="70"/>
      <c r="FS86" s="70"/>
      <c r="FT86" s="70"/>
      <c r="FU86" s="70">
        <v>3.1904049722091405E-5</v>
      </c>
      <c r="FV86" s="70">
        <v>3.1904049722091405E-5</v>
      </c>
      <c r="FW86" s="70"/>
      <c r="FX86" s="75"/>
      <c r="FY86" s="70"/>
      <c r="FZ86" s="70"/>
      <c r="GA86" s="70"/>
      <c r="GB86" s="70"/>
      <c r="GC86" s="70"/>
      <c r="GD86" s="70"/>
      <c r="GE86" s="70"/>
      <c r="GF86" s="70"/>
      <c r="GG86" s="70"/>
      <c r="GH86" s="70"/>
    </row>
    <row r="87" spans="1:190" x14ac:dyDescent="0.2">
      <c r="A87" s="71" t="s">
        <v>406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>
        <v>1.156796534540209E-2</v>
      </c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0"/>
      <c r="AB87" s="70">
        <v>2.2063558051753271</v>
      </c>
      <c r="AC87" s="70"/>
      <c r="AD87" s="70"/>
      <c r="AE87" s="70"/>
      <c r="AF87" s="70"/>
      <c r="AG87" s="70"/>
      <c r="AH87" s="70"/>
      <c r="AI87" s="70"/>
      <c r="AJ87" s="70"/>
      <c r="AK87" s="70">
        <v>10.373397874446475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/>
      <c r="FA87" s="70"/>
      <c r="FB87" s="70"/>
      <c r="FC87" s="77"/>
      <c r="FD87" s="77"/>
      <c r="FE87" s="77"/>
      <c r="FF87" s="77"/>
      <c r="FG87" s="77"/>
      <c r="FH87" s="77"/>
      <c r="FI87" s="77"/>
      <c r="FJ87" s="77"/>
      <c r="FK87" s="77"/>
      <c r="FL87" s="77"/>
      <c r="FM87" s="70"/>
      <c r="FN87" s="70"/>
      <c r="FO87" s="70"/>
      <c r="FP87" s="70"/>
      <c r="FQ87" s="70"/>
      <c r="FR87" s="70"/>
      <c r="FS87" s="70"/>
      <c r="FT87" s="70"/>
      <c r="FU87" s="70">
        <v>4.1801115478737207</v>
      </c>
      <c r="FV87" s="70">
        <v>16.771433192840924</v>
      </c>
      <c r="FW87" s="70"/>
      <c r="FX87" s="75"/>
      <c r="FY87" s="70"/>
      <c r="FZ87" s="70"/>
      <c r="GA87" s="70"/>
      <c r="GB87" s="70"/>
      <c r="GC87" s="70"/>
      <c r="GD87" s="70"/>
      <c r="GE87" s="70"/>
      <c r="GF87" s="70"/>
      <c r="GG87" s="70"/>
      <c r="GH87" s="70"/>
    </row>
    <row r="88" spans="1:190" x14ac:dyDescent="0.2">
      <c r="A88" s="71" t="s">
        <v>407</v>
      </c>
      <c r="B88" s="76">
        <v>1.9038194251401279</v>
      </c>
      <c r="C88" s="76">
        <v>0.42863490952235689</v>
      </c>
      <c r="D88" s="76">
        <v>8.7644319761175385E-2</v>
      </c>
      <c r="E88" s="76">
        <v>0.88988016141504422</v>
      </c>
      <c r="F88" s="76">
        <v>2.5154667781357217E-2</v>
      </c>
      <c r="G88" s="76">
        <v>0.29809707975153082</v>
      </c>
      <c r="H88" s="76">
        <v>0.39245920039493531</v>
      </c>
      <c r="I88" s="76">
        <v>0.39248114948523338</v>
      </c>
      <c r="J88" s="76">
        <v>1.1323033664499127</v>
      </c>
      <c r="K88" s="76">
        <v>19.439944935886547</v>
      </c>
      <c r="L88" s="76">
        <v>0.12491974451276991</v>
      </c>
      <c r="M88" s="76">
        <v>7.2237016417194613E-2</v>
      </c>
      <c r="N88" s="76">
        <v>7.5901539879917532E-2</v>
      </c>
      <c r="O88" s="76">
        <v>1.3440586055476161E-2</v>
      </c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>
        <v>12.085718890521253</v>
      </c>
      <c r="AA88" s="70"/>
      <c r="AB88" s="70">
        <v>27.669880790494599</v>
      </c>
      <c r="AC88" s="70"/>
      <c r="AD88" s="70">
        <v>4.5675761886203574</v>
      </c>
      <c r="AE88" s="70"/>
      <c r="AF88" s="70"/>
      <c r="AG88" s="70"/>
      <c r="AH88" s="70"/>
      <c r="AI88" s="70"/>
      <c r="AJ88" s="70"/>
      <c r="AK88" s="70">
        <v>14.967572269632957</v>
      </c>
      <c r="AL88" s="70"/>
      <c r="AM88" s="70"/>
      <c r="AN88" s="70"/>
      <c r="AO88" s="70"/>
      <c r="AP88" s="70"/>
      <c r="AQ88" s="70"/>
      <c r="AR88" s="70">
        <v>7.6601135499596226E-2</v>
      </c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>
        <v>0.13365715913411363</v>
      </c>
      <c r="BJ88" s="70">
        <v>0.46845051354933093</v>
      </c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  <c r="EY88" s="70"/>
      <c r="EZ88" s="70"/>
      <c r="FA88" s="70"/>
      <c r="FB88" s="70"/>
      <c r="FC88" s="77">
        <v>3.8556074008616532</v>
      </c>
      <c r="FD88" s="77">
        <v>5.2966732462637847</v>
      </c>
      <c r="FE88" s="77">
        <v>5.9208041546042907</v>
      </c>
      <c r="FF88" s="77">
        <v>7.4908281821166991</v>
      </c>
      <c r="FG88" s="77">
        <v>8.9474049286529294</v>
      </c>
      <c r="FH88" s="77">
        <v>1.3010429759349034</v>
      </c>
      <c r="FI88" s="77">
        <v>1.956329854586293</v>
      </c>
      <c r="FJ88" s="77">
        <v>3.6884641251556909</v>
      </c>
      <c r="FK88" s="77">
        <v>5.6112188567016146</v>
      </c>
      <c r="FL88" s="77">
        <v>15.796473418925448</v>
      </c>
      <c r="FM88" s="70"/>
      <c r="FN88" s="70"/>
      <c r="FO88" s="70"/>
      <c r="FP88" s="70"/>
      <c r="FQ88" s="70"/>
      <c r="FR88" s="70"/>
      <c r="FS88" s="70">
        <v>13.545408581158547</v>
      </c>
      <c r="FT88" s="70">
        <v>0.23291150242562214</v>
      </c>
      <c r="FU88" s="70">
        <v>4.5406241136878238E-2</v>
      </c>
      <c r="FV88" s="70">
        <v>158.93494851843013</v>
      </c>
      <c r="FW88" s="70"/>
      <c r="FX88" s="75"/>
      <c r="FY88" s="70"/>
      <c r="FZ88" s="70"/>
      <c r="GA88" s="70"/>
      <c r="GB88" s="70"/>
      <c r="GC88" s="70"/>
      <c r="GD88" s="70"/>
      <c r="GE88" s="70"/>
      <c r="GF88" s="70"/>
      <c r="GG88" s="70"/>
      <c r="GH88" s="70"/>
    </row>
    <row r="89" spans="1:190" x14ac:dyDescent="0.2">
      <c r="A89" s="71" t="s">
        <v>408</v>
      </c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  <c r="EY89" s="70"/>
      <c r="EZ89" s="70"/>
      <c r="FA89" s="70"/>
      <c r="FB89" s="70"/>
      <c r="FC89" s="77">
        <v>2.2796651352488793</v>
      </c>
      <c r="FD89" s="77">
        <v>3.7609811279924918</v>
      </c>
      <c r="FE89" s="77">
        <v>4.3243767076838138</v>
      </c>
      <c r="FF89" s="77">
        <v>5.3967008706006148</v>
      </c>
      <c r="FG89" s="77">
        <v>5.2392730215213792</v>
      </c>
      <c r="FH89" s="77">
        <v>1.1817720558855944</v>
      </c>
      <c r="FI89" s="77">
        <v>2.3873100916164747</v>
      </c>
      <c r="FJ89" s="77">
        <v>3.6431227553946544</v>
      </c>
      <c r="FK89" s="77">
        <v>5.5426108845609452</v>
      </c>
      <c r="FL89" s="77">
        <v>10.121676596565205</v>
      </c>
      <c r="FM89" s="70"/>
      <c r="FN89" s="70"/>
      <c r="FO89" s="70"/>
      <c r="FP89" s="70"/>
      <c r="FQ89" s="70"/>
      <c r="FR89" s="70"/>
      <c r="FS89" s="70"/>
      <c r="FT89" s="70"/>
      <c r="FU89" s="70"/>
      <c r="FV89" s="70">
        <v>43.877489247070045</v>
      </c>
      <c r="FW89" s="70"/>
      <c r="FX89" s="75"/>
      <c r="FY89" s="70"/>
      <c r="FZ89" s="70"/>
      <c r="GA89" s="70"/>
      <c r="GB89" s="70"/>
      <c r="GC89" s="70"/>
      <c r="GD89" s="70"/>
      <c r="GE89" s="70"/>
      <c r="GF89" s="70"/>
      <c r="GG89" s="70"/>
      <c r="GH89" s="70"/>
    </row>
    <row r="90" spans="1:190" x14ac:dyDescent="0.2">
      <c r="A90" s="71" t="s">
        <v>409</v>
      </c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>
        <v>14.582775488170142</v>
      </c>
      <c r="S90" s="76"/>
      <c r="T90" s="76"/>
      <c r="U90" s="76"/>
      <c r="V90" s="76"/>
      <c r="W90" s="76"/>
      <c r="X90" s="76"/>
      <c r="Y90" s="76"/>
      <c r="Z90" s="76">
        <v>2.2955365464608963</v>
      </c>
      <c r="AA90" s="70"/>
      <c r="AB90" s="70"/>
      <c r="AC90" s="70"/>
      <c r="AD90" s="70">
        <v>0.59869321780746665</v>
      </c>
      <c r="AE90" s="70"/>
      <c r="AF90" s="70"/>
      <c r="AG90" s="70"/>
      <c r="AH90" s="70"/>
      <c r="AI90" s="70"/>
      <c r="AJ90" s="70"/>
      <c r="AK90" s="70">
        <v>1.9830125694132754</v>
      </c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>
        <v>0.16708518433162592</v>
      </c>
      <c r="BJ90" s="70">
        <v>0.58572832195624125</v>
      </c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  <c r="EY90" s="70"/>
      <c r="EZ90" s="70"/>
      <c r="FA90" s="70"/>
      <c r="FB90" s="70"/>
      <c r="FC90" s="77">
        <v>11.372899978911239</v>
      </c>
      <c r="FD90" s="77">
        <v>14.712468223487704</v>
      </c>
      <c r="FE90" s="77">
        <v>15.976660136927698</v>
      </c>
      <c r="FF90" s="77">
        <v>17.962044876418794</v>
      </c>
      <c r="FG90" s="77">
        <v>16.831371929129418</v>
      </c>
      <c r="FH90" s="77">
        <v>3.5039840209174766</v>
      </c>
      <c r="FI90" s="77">
        <v>5.3798949619849692</v>
      </c>
      <c r="FJ90" s="77">
        <v>7.7064711754151727</v>
      </c>
      <c r="FK90" s="77">
        <v>10.096337266122426</v>
      </c>
      <c r="FL90" s="77">
        <v>19.947284401351514</v>
      </c>
      <c r="FM90" s="70"/>
      <c r="FN90" s="70"/>
      <c r="FO90" s="70"/>
      <c r="FP90" s="70"/>
      <c r="FQ90" s="70"/>
      <c r="FR90" s="70"/>
      <c r="FS90" s="70">
        <v>5.0592211098143496</v>
      </c>
      <c r="FT90" s="70">
        <v>0.24432237849789432</v>
      </c>
      <c r="FU90" s="70">
        <v>2.9273566574543514E-2</v>
      </c>
      <c r="FV90" s="70">
        <v>149.03506535369286</v>
      </c>
      <c r="FW90" s="70"/>
      <c r="FX90" s="75"/>
      <c r="FY90" s="70"/>
      <c r="FZ90" s="70"/>
      <c r="GA90" s="70"/>
      <c r="GB90" s="70"/>
      <c r="GC90" s="70"/>
      <c r="GD90" s="70"/>
      <c r="GE90" s="70"/>
      <c r="GF90" s="70"/>
      <c r="GG90" s="70"/>
      <c r="GH90" s="70"/>
    </row>
    <row r="91" spans="1:190" x14ac:dyDescent="0.2">
      <c r="A91" s="71" t="s">
        <v>410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>
        <v>1.6778420345332983</v>
      </c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  <c r="EY91" s="70"/>
      <c r="EZ91" s="70"/>
      <c r="FA91" s="70"/>
      <c r="FB91" s="70"/>
      <c r="FC91" s="77">
        <v>0.30047852995133784</v>
      </c>
      <c r="FD91" s="77">
        <v>0.37086886729524432</v>
      </c>
      <c r="FE91" s="77">
        <v>0.57427401082428364</v>
      </c>
      <c r="FF91" s="77">
        <v>0.61023718786045966</v>
      </c>
      <c r="FG91" s="77">
        <v>0.54739132626070364</v>
      </c>
      <c r="FH91" s="77">
        <v>9.2627979313853567E-2</v>
      </c>
      <c r="FI91" s="77">
        <v>0.24923904314541948</v>
      </c>
      <c r="FJ91" s="77">
        <v>0.32774395085356806</v>
      </c>
      <c r="FK91" s="77">
        <v>0.27129228895939417</v>
      </c>
      <c r="FL91" s="77">
        <v>0.92906998821681708</v>
      </c>
      <c r="FM91" s="70"/>
      <c r="FN91" s="70"/>
      <c r="FO91" s="70"/>
      <c r="FP91" s="70"/>
      <c r="FQ91" s="70"/>
      <c r="FR91" s="70"/>
      <c r="FS91" s="70"/>
      <c r="FT91" s="70"/>
      <c r="FU91" s="70">
        <v>2.7003383458158122E-3</v>
      </c>
      <c r="FV91" s="70">
        <v>5.9537655455601959</v>
      </c>
      <c r="FW91" s="70"/>
      <c r="FX91" s="75"/>
      <c r="FY91" s="70"/>
      <c r="FZ91" s="70"/>
      <c r="GA91" s="70"/>
      <c r="GB91" s="70"/>
      <c r="GC91" s="70"/>
      <c r="GD91" s="70"/>
      <c r="GE91" s="70"/>
      <c r="GF91" s="70"/>
      <c r="GG91" s="70"/>
      <c r="GH91" s="70"/>
    </row>
    <row r="92" spans="1:190" x14ac:dyDescent="0.2">
      <c r="A92" s="71" t="s">
        <v>411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>
        <v>1.9628758508123996</v>
      </c>
      <c r="U92" s="70"/>
      <c r="V92" s="70"/>
      <c r="W92" s="70"/>
      <c r="X92" s="70"/>
      <c r="Y92" s="70"/>
      <c r="Z92" s="70">
        <v>0.56527916663075828</v>
      </c>
      <c r="AA92" s="70"/>
      <c r="AB92" s="70">
        <v>5.3564333379101186</v>
      </c>
      <c r="AC92" s="70"/>
      <c r="AD92" s="70">
        <v>3.6517076953601575</v>
      </c>
      <c r="AE92" s="70"/>
      <c r="AF92" s="70"/>
      <c r="AG92" s="70"/>
      <c r="AH92" s="70"/>
      <c r="AI92" s="70"/>
      <c r="AJ92" s="70"/>
      <c r="AK92" s="70">
        <v>6.6912631712287247</v>
      </c>
      <c r="AL92" s="70"/>
      <c r="AM92" s="70">
        <v>6.741242854480441E-3</v>
      </c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>
        <v>3.3394455888424164E-2</v>
      </c>
      <c r="BJ92" s="70">
        <v>0.11687094788398503</v>
      </c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7">
        <v>0.29356162518859219</v>
      </c>
      <c r="FD92" s="77">
        <v>0.36233155522725924</v>
      </c>
      <c r="FE92" s="77">
        <v>0.56105437455689655</v>
      </c>
      <c r="FF92" s="77">
        <v>0.59618952995160412</v>
      </c>
      <c r="FG92" s="77">
        <v>0.53479001739202991</v>
      </c>
      <c r="FH92" s="77">
        <v>9.0495681285600649E-2</v>
      </c>
      <c r="FI92" s="77">
        <v>0.24350157527985325</v>
      </c>
      <c r="FJ92" s="77">
        <v>0.32019930689294357</v>
      </c>
      <c r="FK92" s="77">
        <v>0.26504712659379898</v>
      </c>
      <c r="FL92" s="77">
        <v>0.9076820912115614</v>
      </c>
      <c r="FM92" s="70"/>
      <c r="FN92" s="70"/>
      <c r="FO92" s="70"/>
      <c r="FP92" s="70"/>
      <c r="FQ92" s="70"/>
      <c r="FR92" s="70"/>
      <c r="FS92" s="70">
        <v>1.8880118243892663</v>
      </c>
      <c r="FT92" s="70">
        <v>0.89476376278605385</v>
      </c>
      <c r="FU92" s="70">
        <v>0.52585377717107717</v>
      </c>
      <c r="FV92" s="70">
        <v>25.868048116495583</v>
      </c>
      <c r="FW92" s="70"/>
      <c r="FX92" s="75"/>
      <c r="FY92" s="70"/>
      <c r="FZ92" s="70"/>
      <c r="GA92" s="70"/>
      <c r="GB92" s="70"/>
      <c r="GC92" s="70"/>
      <c r="GD92" s="70"/>
      <c r="GE92" s="70"/>
      <c r="GF92" s="70"/>
      <c r="GG92" s="70"/>
      <c r="GH92" s="70"/>
    </row>
    <row r="93" spans="1:190" x14ac:dyDescent="0.2">
      <c r="A93" s="71" t="s">
        <v>412</v>
      </c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>
        <v>3.9768242950764048</v>
      </c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>
        <v>6.1178343754059616E-2</v>
      </c>
      <c r="AT93" s="70">
        <v>0.6772935475338201</v>
      </c>
      <c r="AU93" s="70">
        <v>1.6099220551646063</v>
      </c>
      <c r="AV93" s="70">
        <v>9.4237850046002408E-2</v>
      </c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7">
        <v>0.11058652282034924</v>
      </c>
      <c r="FD93" s="77">
        <v>0.10033159743599564</v>
      </c>
      <c r="FE93" s="77">
        <v>6.8504441937909555E-2</v>
      </c>
      <c r="FF93" s="77">
        <v>9.10221884607985E-2</v>
      </c>
      <c r="FG93" s="77">
        <v>7.1232824106286979E-2</v>
      </c>
      <c r="FH93" s="77">
        <v>1.4897482899284312E-2</v>
      </c>
      <c r="FI93" s="77">
        <v>1.7677857045941461E-2</v>
      </c>
      <c r="FJ93" s="77">
        <v>1.1824728720828346E-2</v>
      </c>
      <c r="FK93" s="77">
        <v>3.7943904336731352E-2</v>
      </c>
      <c r="FL93" s="77">
        <v>1.4634917499626752E-2</v>
      </c>
      <c r="FM93" s="70"/>
      <c r="FN93" s="70"/>
      <c r="FO93" s="70"/>
      <c r="FP93" s="70"/>
      <c r="FQ93" s="70"/>
      <c r="FR93" s="70"/>
      <c r="FS93" s="70"/>
      <c r="FT93" s="70">
        <v>-0.15329606756636507</v>
      </c>
      <c r="FU93" s="70">
        <v>4.145551087310715E-3</v>
      </c>
      <c r="FV93" s="70">
        <v>6.8089620403595905</v>
      </c>
      <c r="FW93" s="70"/>
      <c r="FX93" s="75"/>
      <c r="FY93" s="70"/>
      <c r="FZ93" s="70"/>
      <c r="GA93" s="70"/>
      <c r="GB93" s="70"/>
      <c r="GC93" s="70"/>
      <c r="GD93" s="70"/>
      <c r="GE93" s="70"/>
      <c r="GF93" s="70"/>
      <c r="GG93" s="70"/>
      <c r="GH93" s="70"/>
    </row>
    <row r="94" spans="1:190" x14ac:dyDescent="0.2">
      <c r="A94" s="71" t="s">
        <v>413</v>
      </c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>
        <v>1.4962018995304933</v>
      </c>
      <c r="W94" s="70"/>
      <c r="X94" s="70"/>
      <c r="Y94" s="70"/>
      <c r="Z94" s="70"/>
      <c r="AA94" s="70">
        <v>1.6879251573487974</v>
      </c>
      <c r="AB94" s="70"/>
      <c r="AC94" s="70"/>
      <c r="AD94" s="70">
        <v>0.17660376276176351</v>
      </c>
      <c r="AE94" s="70"/>
      <c r="AF94" s="70"/>
      <c r="AG94" s="70"/>
      <c r="AH94" s="70"/>
      <c r="AI94" s="70"/>
      <c r="AJ94" s="70"/>
      <c r="AK94" s="70">
        <v>0.58493665685654361</v>
      </c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7">
        <v>4.2646281413490685</v>
      </c>
      <c r="FD94" s="77">
        <v>7.0075783083201726</v>
      </c>
      <c r="FE94" s="77">
        <v>8.2962730146699979</v>
      </c>
      <c r="FF94" s="77">
        <v>9.3273726845261873</v>
      </c>
      <c r="FG94" s="77">
        <v>8.5675150399480398</v>
      </c>
      <c r="FH94" s="77">
        <v>1.8917365267483655</v>
      </c>
      <c r="FI94" s="77">
        <v>3.1964809833007686</v>
      </c>
      <c r="FJ94" s="77">
        <v>4.7805465623372037</v>
      </c>
      <c r="FK94" s="77">
        <v>6.8875636388413666</v>
      </c>
      <c r="FL94" s="77">
        <v>15.355193109734023</v>
      </c>
      <c r="FM94" s="70"/>
      <c r="FN94" s="70"/>
      <c r="FO94" s="70"/>
      <c r="FP94" s="70"/>
      <c r="FQ94" s="70"/>
      <c r="FR94" s="70"/>
      <c r="FS94" s="70"/>
      <c r="FT94" s="70">
        <v>5.1532283341158066E-4</v>
      </c>
      <c r="FU94" s="70">
        <v>0.26928118699492959</v>
      </c>
      <c r="FV94" s="70">
        <v>73.790351996101137</v>
      </c>
      <c r="FW94" s="70"/>
      <c r="FX94" s="75"/>
      <c r="FY94" s="70"/>
      <c r="FZ94" s="70"/>
      <c r="GA94" s="70"/>
      <c r="GB94" s="70"/>
      <c r="GC94" s="70"/>
      <c r="GD94" s="70"/>
      <c r="GE94" s="70"/>
      <c r="GF94" s="70"/>
      <c r="GG94" s="70"/>
      <c r="GH94" s="70"/>
    </row>
    <row r="95" spans="1:190" x14ac:dyDescent="0.2">
      <c r="A95" s="71" t="s">
        <v>414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>
        <v>1.2501948293371076E-2</v>
      </c>
      <c r="AT95" s="70">
        <v>0.11343743517424651</v>
      </c>
      <c r="AU95" s="70">
        <v>1.5155082146591701</v>
      </c>
      <c r="AV95" s="70">
        <v>0.12546367229801031</v>
      </c>
      <c r="AW95" s="70"/>
      <c r="AX95" s="70"/>
      <c r="AY95" s="70">
        <v>0.57562997414143457</v>
      </c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7"/>
      <c r="FD95" s="77"/>
      <c r="FE95" s="77"/>
      <c r="FF95" s="77"/>
      <c r="FG95" s="77"/>
      <c r="FH95" s="77"/>
      <c r="FI95" s="77"/>
      <c r="FJ95" s="77"/>
      <c r="FK95" s="77"/>
      <c r="FL95" s="77"/>
      <c r="FM95" s="70"/>
      <c r="FN95" s="70"/>
      <c r="FO95" s="70"/>
      <c r="FP95" s="70"/>
      <c r="FQ95" s="70"/>
      <c r="FR95" s="70"/>
      <c r="FS95" s="70"/>
      <c r="FT95" s="70"/>
      <c r="FU95" s="70">
        <v>0.40698095430877479</v>
      </c>
      <c r="FV95" s="70">
        <v>2.7495221988750069</v>
      </c>
      <c r="FW95" s="70"/>
      <c r="FX95" s="75"/>
      <c r="FY95" s="70"/>
      <c r="FZ95" s="70"/>
      <c r="GA95" s="70"/>
      <c r="GB95" s="70"/>
      <c r="GC95" s="70"/>
      <c r="GD95" s="70"/>
      <c r="GE95" s="70"/>
      <c r="GF95" s="70"/>
      <c r="GG95" s="70"/>
      <c r="GH95" s="70"/>
    </row>
    <row r="96" spans="1:190" x14ac:dyDescent="0.2">
      <c r="A96" s="71" t="s">
        <v>415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>
        <v>341.81316284338618</v>
      </c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  <c r="EY96" s="70"/>
      <c r="EZ96" s="70"/>
      <c r="FA96" s="70"/>
      <c r="FB96" s="70"/>
      <c r="FC96" s="77"/>
      <c r="FD96" s="77"/>
      <c r="FE96" s="77"/>
      <c r="FF96" s="77"/>
      <c r="FG96" s="77"/>
      <c r="FH96" s="77"/>
      <c r="FI96" s="77"/>
      <c r="FJ96" s="77"/>
      <c r="FK96" s="77"/>
      <c r="FL96" s="77"/>
      <c r="FM96" s="70"/>
      <c r="FN96" s="70"/>
      <c r="FO96" s="70"/>
      <c r="FP96" s="70"/>
      <c r="FQ96" s="70"/>
      <c r="FR96" s="70"/>
      <c r="FS96" s="70"/>
      <c r="FT96" s="70"/>
      <c r="FU96" s="70">
        <v>30.834001457480394</v>
      </c>
      <c r="FV96" s="70">
        <v>372.64716430086656</v>
      </c>
      <c r="FW96" s="70"/>
      <c r="FX96" s="75"/>
      <c r="FY96" s="70"/>
      <c r="FZ96" s="70"/>
      <c r="GA96" s="70"/>
      <c r="GB96" s="70"/>
      <c r="GC96" s="70"/>
      <c r="GD96" s="70"/>
      <c r="GE96" s="70"/>
      <c r="GF96" s="70"/>
      <c r="GG96" s="70"/>
      <c r="GH96" s="70"/>
    </row>
    <row r="97" spans="1:190" x14ac:dyDescent="0.2">
      <c r="A97" s="71" t="s">
        <v>416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>
        <v>11.405720303412515</v>
      </c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>
        <v>2.9492718728243578E-3</v>
      </c>
      <c r="AN97" s="70"/>
      <c r="AO97" s="70">
        <v>3.3169388021124964E-2</v>
      </c>
      <c r="AP97" s="70">
        <v>0.18184830242180025</v>
      </c>
      <c r="AQ97" s="70"/>
      <c r="AR97" s="70"/>
      <c r="AS97" s="70">
        <v>8.88007988247176E-2</v>
      </c>
      <c r="AT97" s="70">
        <v>0.80473197263468099</v>
      </c>
      <c r="AU97" s="70"/>
      <c r="AV97" s="70">
        <v>34.580707275216533</v>
      </c>
      <c r="AW97" s="70">
        <v>0.5099002332657564</v>
      </c>
      <c r="AX97" s="70"/>
      <c r="AY97" s="70">
        <v>0.50982858813864051</v>
      </c>
      <c r="AZ97" s="70"/>
      <c r="BA97" s="70"/>
      <c r="BB97" s="70">
        <v>9.068541710764863E-3</v>
      </c>
      <c r="BC97" s="70">
        <v>6.6418332809698902E-2</v>
      </c>
      <c r="BD97" s="70">
        <v>37.239979246931284</v>
      </c>
      <c r="BE97" s="70"/>
      <c r="BF97" s="70"/>
      <c r="BG97" s="70">
        <v>0.30460444346305671</v>
      </c>
      <c r="BH97" s="70"/>
      <c r="BI97" s="70"/>
      <c r="BJ97" s="70"/>
      <c r="BK97" s="70"/>
      <c r="BL97" s="70"/>
      <c r="BM97" s="70"/>
      <c r="BN97" s="70">
        <v>0.12793687907265236</v>
      </c>
      <c r="BO97" s="70"/>
      <c r="BP97" s="70"/>
      <c r="BQ97" s="70">
        <v>0.10163060814163762</v>
      </c>
      <c r="BR97" s="70">
        <v>0.15277067735654656</v>
      </c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7">
        <v>4.4472717077721278</v>
      </c>
      <c r="FD97" s="77">
        <v>5.7605604017613308</v>
      </c>
      <c r="FE97" s="77">
        <v>6.3451208276654887</v>
      </c>
      <c r="FF97" s="77">
        <v>7.5708775826559505</v>
      </c>
      <c r="FG97" s="77">
        <v>7.7712342208782221</v>
      </c>
      <c r="FH97" s="77">
        <v>2.4212484529398939</v>
      </c>
      <c r="FI97" s="77">
        <v>3.5114062926922567</v>
      </c>
      <c r="FJ97" s="77">
        <v>5.1102738125605454</v>
      </c>
      <c r="FK97" s="77">
        <v>7.3791413901417764</v>
      </c>
      <c r="FL97" s="77">
        <v>19.358970932605253</v>
      </c>
      <c r="FM97" s="70"/>
      <c r="FN97" s="70"/>
      <c r="FO97" s="70"/>
      <c r="FP97" s="70"/>
      <c r="FQ97" s="70"/>
      <c r="FR97" s="70"/>
      <c r="FS97" s="70"/>
      <c r="FT97" s="70"/>
      <c r="FU97" s="70">
        <v>22.133654098969942</v>
      </c>
      <c r="FV97" s="70">
        <v>177.92982458393701</v>
      </c>
      <c r="FW97" s="70"/>
      <c r="FX97" s="75"/>
      <c r="FY97" s="70"/>
      <c r="FZ97" s="70"/>
      <c r="GA97" s="70"/>
      <c r="GB97" s="70"/>
      <c r="GC97" s="70"/>
      <c r="GD97" s="70"/>
      <c r="GE97" s="70"/>
      <c r="GF97" s="70"/>
      <c r="GG97" s="70"/>
      <c r="GH97" s="70"/>
    </row>
    <row r="98" spans="1:190" x14ac:dyDescent="0.2">
      <c r="A98" s="71" t="s">
        <v>417</v>
      </c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>
        <v>7.6980646010119429</v>
      </c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>
        <v>2.736537064199449E-3</v>
      </c>
      <c r="AN98" s="70"/>
      <c r="AO98" s="70">
        <v>1.7501376720779602E-2</v>
      </c>
      <c r="AP98" s="70">
        <v>9.5895725553857086E-2</v>
      </c>
      <c r="AQ98" s="70"/>
      <c r="AR98" s="70">
        <v>7.4388382761428409E-3</v>
      </c>
      <c r="AS98" s="70">
        <v>7.1037936582327328E-3</v>
      </c>
      <c r="AT98" s="70">
        <v>6.4219463815371705E-2</v>
      </c>
      <c r="AU98" s="70"/>
      <c r="AV98" s="70"/>
      <c r="AW98" s="70">
        <v>55.568187045432225</v>
      </c>
      <c r="AX98" s="70">
        <v>0.32631424706054907</v>
      </c>
      <c r="AY98" s="70">
        <v>23.454344310006583</v>
      </c>
      <c r="AZ98" s="70"/>
      <c r="BA98" s="70">
        <v>0.1111076106807283</v>
      </c>
      <c r="BB98" s="70"/>
      <c r="BC98" s="70"/>
      <c r="BD98" s="70"/>
      <c r="BE98" s="70"/>
      <c r="BF98" s="70">
        <v>13.872655778107202</v>
      </c>
      <c r="BG98" s="70"/>
      <c r="BH98" s="70"/>
      <c r="BI98" s="70"/>
      <c r="BJ98" s="70"/>
      <c r="BK98" s="70"/>
      <c r="BL98" s="70"/>
      <c r="BM98" s="70"/>
      <c r="BN98" s="70"/>
      <c r="BO98" s="70">
        <v>2.7112728231171047E-2</v>
      </c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7"/>
      <c r="FD98" s="77"/>
      <c r="FE98" s="77"/>
      <c r="FF98" s="77"/>
      <c r="FG98" s="77"/>
      <c r="FH98" s="77"/>
      <c r="FI98" s="77"/>
      <c r="FJ98" s="77"/>
      <c r="FK98" s="77"/>
      <c r="FL98" s="77"/>
      <c r="FM98" s="70"/>
      <c r="FN98" s="70"/>
      <c r="FO98" s="70"/>
      <c r="FP98" s="70"/>
      <c r="FQ98" s="70"/>
      <c r="FR98" s="70"/>
      <c r="FS98" s="70"/>
      <c r="FT98" s="70"/>
      <c r="FU98" s="70">
        <v>35.89036899455526</v>
      </c>
      <c r="FV98" s="70">
        <v>137.14305105017428</v>
      </c>
      <c r="FW98" s="70"/>
      <c r="FX98" s="75"/>
      <c r="FY98" s="70"/>
      <c r="FZ98" s="70"/>
      <c r="GA98" s="70"/>
      <c r="GB98" s="70"/>
      <c r="GC98" s="70"/>
      <c r="GD98" s="70"/>
      <c r="GE98" s="70"/>
      <c r="GF98" s="70"/>
      <c r="GG98" s="70"/>
      <c r="GH98" s="70"/>
    </row>
    <row r="99" spans="1:190" x14ac:dyDescent="0.2">
      <c r="A99" s="71" t="s">
        <v>418</v>
      </c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>
        <v>0.1419101671905732</v>
      </c>
      <c r="AN99" s="70"/>
      <c r="AO99" s="70">
        <v>4.2321319607862805E-3</v>
      </c>
      <c r="AP99" s="70">
        <v>1.281415834444229E-2</v>
      </c>
      <c r="AQ99" s="70"/>
      <c r="AR99" s="70">
        <v>0.12752935322224698</v>
      </c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>
        <v>6.1620944332457173</v>
      </c>
      <c r="BJ99" s="70">
        <v>20.447697070240647</v>
      </c>
      <c r="BK99" s="70"/>
      <c r="BL99" s="70"/>
      <c r="BM99" s="70"/>
      <c r="BN99" s="70"/>
      <c r="BO99" s="70">
        <v>0.21446547393575299</v>
      </c>
      <c r="BP99" s="70">
        <v>0.19182439363421708</v>
      </c>
      <c r="BQ99" s="70">
        <v>2.3900985714207987</v>
      </c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7">
        <v>1.2565801553837412</v>
      </c>
      <c r="FD99" s="77">
        <v>1.635917602629942</v>
      </c>
      <c r="FE99" s="77">
        <v>2.0776866496046908</v>
      </c>
      <c r="FF99" s="77">
        <v>2.5934389684070589</v>
      </c>
      <c r="FG99" s="77">
        <v>2.8699539964081446</v>
      </c>
      <c r="FH99" s="77">
        <v>1.7088933640829655</v>
      </c>
      <c r="FI99" s="77">
        <v>2.7386296443703659</v>
      </c>
      <c r="FJ99" s="77">
        <v>4.4109257190776781</v>
      </c>
      <c r="FK99" s="77">
        <v>6.8490782126259555</v>
      </c>
      <c r="FL99" s="77">
        <v>16.955919935950494</v>
      </c>
      <c r="FM99" s="70"/>
      <c r="FN99" s="70"/>
      <c r="FO99" s="70"/>
      <c r="FP99" s="70"/>
      <c r="FQ99" s="70"/>
      <c r="FR99" s="70"/>
      <c r="FS99" s="70"/>
      <c r="FT99" s="70">
        <v>6.266060232529122E-2</v>
      </c>
      <c r="FU99" s="70">
        <v>0.41465574102481711</v>
      </c>
      <c r="FV99" s="70">
        <v>73.267006345086315</v>
      </c>
      <c r="FW99" s="70"/>
      <c r="FX99" s="75"/>
      <c r="FY99" s="70"/>
      <c r="FZ99" s="70"/>
      <c r="GA99" s="70"/>
      <c r="GB99" s="70"/>
      <c r="GC99" s="70"/>
      <c r="GD99" s="70"/>
      <c r="GE99" s="70"/>
      <c r="GF99" s="70"/>
      <c r="GG99" s="70"/>
      <c r="GH99" s="70"/>
    </row>
    <row r="100" spans="1:190" x14ac:dyDescent="0.2">
      <c r="A100" s="71" t="s">
        <v>419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>
        <v>4.1548761702434005</v>
      </c>
      <c r="BJ100" s="70">
        <v>9.3902291122530244</v>
      </c>
      <c r="BK100" s="70"/>
      <c r="BL100" s="70"/>
      <c r="BM100" s="70"/>
      <c r="BN100" s="70"/>
      <c r="BO100" s="70">
        <v>0.15295138343884671</v>
      </c>
      <c r="BP100" s="70">
        <v>0.13681928717077929</v>
      </c>
      <c r="BQ100" s="70">
        <v>1.6749238795978638</v>
      </c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7">
        <v>0.4235660036912598</v>
      </c>
      <c r="FD100" s="77">
        <v>0.68267551967705642</v>
      </c>
      <c r="FE100" s="77">
        <v>0.86566754194939699</v>
      </c>
      <c r="FF100" s="77">
        <v>1.010757336863811</v>
      </c>
      <c r="FG100" s="77">
        <v>0.96441625209013071</v>
      </c>
      <c r="FH100" s="77">
        <v>0.22027990865053504</v>
      </c>
      <c r="FI100" s="77">
        <v>0.40232279050737979</v>
      </c>
      <c r="FJ100" s="77">
        <v>0.61354710112759159</v>
      </c>
      <c r="FK100" s="77">
        <v>1.0974358119685657</v>
      </c>
      <c r="FL100" s="77">
        <v>2.8269399613870783</v>
      </c>
      <c r="FM100" s="70"/>
      <c r="FN100" s="70"/>
      <c r="FO100" s="70"/>
      <c r="FP100" s="70"/>
      <c r="FQ100" s="70"/>
      <c r="FR100" s="70"/>
      <c r="FS100" s="70"/>
      <c r="FT100" s="70">
        <v>1.2621907843091692E-2</v>
      </c>
      <c r="FU100" s="70">
        <v>0.39928124704694801</v>
      </c>
      <c r="FV100" s="70">
        <v>25.029311215506759</v>
      </c>
      <c r="FW100" s="70"/>
      <c r="FX100" s="75"/>
      <c r="FY100" s="70"/>
      <c r="FZ100" s="70"/>
      <c r="GA100" s="70"/>
      <c r="GB100" s="70"/>
      <c r="GC100" s="70"/>
      <c r="GD100" s="70"/>
      <c r="GE100" s="70"/>
      <c r="GF100" s="70"/>
      <c r="GG100" s="70"/>
      <c r="GH100" s="70"/>
    </row>
    <row r="101" spans="1:190" x14ac:dyDescent="0.2">
      <c r="A101" s="71" t="s">
        <v>420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>
        <v>6.1384078344829909E-2</v>
      </c>
      <c r="AC101" s="70"/>
      <c r="AD101" s="70">
        <v>6.1072456316521848E-2</v>
      </c>
      <c r="AE101" s="70"/>
      <c r="AF101" s="70"/>
      <c r="AG101" s="70"/>
      <c r="AH101" s="70"/>
      <c r="AI101" s="70"/>
      <c r="AJ101" s="70"/>
      <c r="AK101" s="70">
        <v>0.20236431912850572</v>
      </c>
      <c r="AL101" s="70"/>
      <c r="AM101" s="70">
        <v>6.2477148926958125E-2</v>
      </c>
      <c r="AN101" s="70"/>
      <c r="AO101" s="70"/>
      <c r="AP101" s="70">
        <v>1.0214247106473678E-2</v>
      </c>
      <c r="AQ101" s="70"/>
      <c r="AR101" s="70">
        <v>0.10166286238069036</v>
      </c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>
        <v>1.1603252033358991</v>
      </c>
      <c r="BJ101" s="70">
        <v>4.0604541604774278</v>
      </c>
      <c r="BK101" s="70"/>
      <c r="BL101" s="70"/>
      <c r="BM101" s="70"/>
      <c r="BN101" s="70"/>
      <c r="BO101" s="70"/>
      <c r="BP101" s="70"/>
      <c r="BQ101" s="70">
        <v>0.1265081363384242</v>
      </c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7">
        <v>6.012592337943337</v>
      </c>
      <c r="FD101" s="77">
        <v>7.9118804229836384</v>
      </c>
      <c r="FE101" s="77">
        <v>8.9840864026665752</v>
      </c>
      <c r="FF101" s="77">
        <v>10.471292678191839</v>
      </c>
      <c r="FG101" s="77">
        <v>10.277713775957038</v>
      </c>
      <c r="FH101" s="77">
        <v>3.4368427737354801</v>
      </c>
      <c r="FI101" s="77">
        <v>4.9582064141348061</v>
      </c>
      <c r="FJ101" s="77">
        <v>7.6060550759999606</v>
      </c>
      <c r="FK101" s="77">
        <v>11.156464799144622</v>
      </c>
      <c r="FL101" s="77">
        <v>30.284460980545774</v>
      </c>
      <c r="FM101" s="70"/>
      <c r="FN101" s="70"/>
      <c r="FO101" s="70"/>
      <c r="FP101" s="70"/>
      <c r="FQ101" s="70"/>
      <c r="FR101" s="70"/>
      <c r="FS101" s="70"/>
      <c r="FT101" s="70">
        <v>2.4144931899563762E-2</v>
      </c>
      <c r="FU101" s="70">
        <v>4.8915650570777345</v>
      </c>
      <c r="FV101" s="70">
        <v>111.8617682626361</v>
      </c>
      <c r="FW101" s="70"/>
      <c r="FX101" s="75"/>
      <c r="FY101" s="70"/>
      <c r="FZ101" s="70"/>
      <c r="GA101" s="70"/>
      <c r="GB101" s="70"/>
      <c r="GC101" s="70"/>
      <c r="GD101" s="70"/>
      <c r="GE101" s="70"/>
      <c r="GF101" s="70"/>
      <c r="GG101" s="70"/>
      <c r="GH101" s="70"/>
    </row>
    <row r="102" spans="1:190" x14ac:dyDescent="0.2">
      <c r="A102" s="71" t="s">
        <v>421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>
        <v>4.2756285082054415</v>
      </c>
      <c r="BJ102" s="70">
        <v>12.072785011341704</v>
      </c>
      <c r="BK102" s="70"/>
      <c r="BL102" s="70"/>
      <c r="BM102" s="70"/>
      <c r="BN102" s="70"/>
      <c r="BO102" s="70">
        <v>0.15306686883827283</v>
      </c>
      <c r="BP102" s="70">
        <v>0.13691161173608349</v>
      </c>
      <c r="BQ102" s="70">
        <v>1.6899452096010721</v>
      </c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/>
      <c r="FA102" s="70"/>
      <c r="FB102" s="70"/>
      <c r="FC102" s="77">
        <v>0.41888835980744044</v>
      </c>
      <c r="FD102" s="77">
        <v>0.62889497877472411</v>
      </c>
      <c r="FE102" s="77">
        <v>0.87105200888746559</v>
      </c>
      <c r="FF102" s="77">
        <v>1.0896609907059247</v>
      </c>
      <c r="FG102" s="77">
        <v>1.1353983095511357</v>
      </c>
      <c r="FH102" s="77">
        <v>0.23847396733399814</v>
      </c>
      <c r="FI102" s="77">
        <v>0.43481432049614743</v>
      </c>
      <c r="FJ102" s="77">
        <v>0.7007137960370442</v>
      </c>
      <c r="FK102" s="77">
        <v>1.0015876748998243</v>
      </c>
      <c r="FL102" s="77">
        <v>2.8497133728907307</v>
      </c>
      <c r="FM102" s="70"/>
      <c r="FN102" s="70"/>
      <c r="FO102" s="70"/>
      <c r="FP102" s="70"/>
      <c r="FQ102" s="70"/>
      <c r="FR102" s="70"/>
      <c r="FS102" s="70"/>
      <c r="FT102" s="70">
        <v>1.5470786301774804</v>
      </c>
      <c r="FU102" s="70">
        <v>10.786925630259798</v>
      </c>
      <c r="FV102" s="70">
        <v>40.031539249544281</v>
      </c>
      <c r="FW102" s="70"/>
      <c r="FX102" s="75"/>
      <c r="FY102" s="70"/>
      <c r="FZ102" s="70"/>
      <c r="GA102" s="70"/>
      <c r="GB102" s="70"/>
      <c r="GC102" s="70"/>
      <c r="GD102" s="70"/>
      <c r="GE102" s="70"/>
      <c r="GF102" s="70"/>
      <c r="GG102" s="70"/>
      <c r="GH102" s="70"/>
    </row>
    <row r="103" spans="1:190" x14ac:dyDescent="0.2">
      <c r="A103" s="71" t="s">
        <v>422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>
        <v>1.0377348443917744E-2</v>
      </c>
      <c r="AQ103" s="70"/>
      <c r="AR103" s="70">
        <v>0.10327945310313591</v>
      </c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>
        <v>2.6793722794871151</v>
      </c>
      <c r="BJ103" s="70">
        <v>9.2985358503423612</v>
      </c>
      <c r="BK103" s="70"/>
      <c r="BL103" s="70"/>
      <c r="BM103" s="70"/>
      <c r="BN103" s="70"/>
      <c r="BO103" s="70">
        <v>9.1975317193065703E-2</v>
      </c>
      <c r="BP103" s="70">
        <v>8.2250454720891417E-2</v>
      </c>
      <c r="BQ103" s="70">
        <v>1.030120849184033</v>
      </c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/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/>
      <c r="FA103" s="70"/>
      <c r="FB103" s="70"/>
      <c r="FC103" s="77">
        <v>6.5408028386891131</v>
      </c>
      <c r="FD103" s="77">
        <v>8.0819655766889031</v>
      </c>
      <c r="FE103" s="77">
        <v>8.1537361276121292</v>
      </c>
      <c r="FF103" s="77">
        <v>9.0207911239401142</v>
      </c>
      <c r="FG103" s="77">
        <v>8.0750181965228638</v>
      </c>
      <c r="FH103" s="77">
        <v>2.7112115296741139</v>
      </c>
      <c r="FI103" s="77">
        <v>3.6050196058678976</v>
      </c>
      <c r="FJ103" s="77">
        <v>4.7096341956066468</v>
      </c>
      <c r="FK103" s="77">
        <v>5.9954998139613629</v>
      </c>
      <c r="FL103" s="77">
        <v>10.069277007642787</v>
      </c>
      <c r="FM103" s="70"/>
      <c r="FN103" s="70"/>
      <c r="FO103" s="70"/>
      <c r="FP103" s="70"/>
      <c r="FQ103" s="70"/>
      <c r="FR103" s="70"/>
      <c r="FS103" s="70"/>
      <c r="FT103" s="70">
        <v>1.3282953879607937</v>
      </c>
      <c r="FU103" s="70">
        <v>3.4272203101665477</v>
      </c>
      <c r="FV103" s="70">
        <v>85.014383266807783</v>
      </c>
      <c r="FW103" s="70"/>
      <c r="FX103" s="75"/>
      <c r="FY103" s="70"/>
      <c r="FZ103" s="70"/>
      <c r="GA103" s="70"/>
      <c r="GB103" s="70"/>
      <c r="GC103" s="70"/>
      <c r="GD103" s="70"/>
      <c r="GE103" s="70"/>
      <c r="GF103" s="70"/>
      <c r="GG103" s="70"/>
      <c r="GH103" s="70"/>
    </row>
    <row r="104" spans="1:190" x14ac:dyDescent="0.2">
      <c r="A104" s="71" t="s">
        <v>423</v>
      </c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>
        <v>2.3321658438999342</v>
      </c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>
        <v>1.1391917493237943E-2</v>
      </c>
      <c r="AN104" s="70"/>
      <c r="AO104" s="70"/>
      <c r="AP104" s="70"/>
      <c r="AQ104" s="70"/>
      <c r="AR104" s="70">
        <v>7.1628260464609763E-3</v>
      </c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7">
        <v>1.0294203267614692</v>
      </c>
      <c r="FD104" s="77">
        <v>1.0326539109922621</v>
      </c>
      <c r="FE104" s="77">
        <v>0.93678706712863835</v>
      </c>
      <c r="FF104" s="77">
        <v>0.87063384804404498</v>
      </c>
      <c r="FG104" s="77">
        <v>0.62601192314056697</v>
      </c>
      <c r="FH104" s="77">
        <v>0.18351154194934227</v>
      </c>
      <c r="FI104" s="77">
        <v>0.26599384118499003</v>
      </c>
      <c r="FJ104" s="77">
        <v>0.31397080077286732</v>
      </c>
      <c r="FK104" s="77">
        <v>0.29242200086091041</v>
      </c>
      <c r="FL104" s="77">
        <v>0.41013845766915497</v>
      </c>
      <c r="FM104" s="70"/>
      <c r="FN104" s="70"/>
      <c r="FO104" s="70"/>
      <c r="FP104" s="70"/>
      <c r="FQ104" s="70"/>
      <c r="FR104" s="70"/>
      <c r="FS104" s="70"/>
      <c r="FT104" s="70"/>
      <c r="FU104" s="70">
        <v>3.2730694121744619E-2</v>
      </c>
      <c r="FV104" s="70">
        <v>8.344995000065623</v>
      </c>
      <c r="FW104" s="70"/>
      <c r="FX104" s="75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</row>
    <row r="105" spans="1:190" x14ac:dyDescent="0.2">
      <c r="A105" s="71" t="s">
        <v>424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>
        <v>0.24055600357385906</v>
      </c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7">
        <v>0.11327181788024715</v>
      </c>
      <c r="FD105" s="77">
        <v>0.11362443000707652</v>
      </c>
      <c r="FE105" s="77">
        <v>0.10307461192576386</v>
      </c>
      <c r="FF105" s="77">
        <v>9.579422470400728E-2</v>
      </c>
      <c r="FG105" s="77">
        <v>6.8877257959842689E-2</v>
      </c>
      <c r="FH105" s="77">
        <v>2.019190662620883E-2</v>
      </c>
      <c r="FI105" s="77">
        <v>2.9267368154016773E-2</v>
      </c>
      <c r="FJ105" s="77">
        <v>3.4546208384564826E-2</v>
      </c>
      <c r="FK105" s="77">
        <v>3.2175088726926683E-2</v>
      </c>
      <c r="FL105" s="77">
        <v>4.5126534465907808E-2</v>
      </c>
      <c r="FM105" s="70"/>
      <c r="FN105" s="70"/>
      <c r="FO105" s="70"/>
      <c r="FP105" s="70"/>
      <c r="FQ105" s="70"/>
      <c r="FR105" s="70"/>
      <c r="FS105" s="70"/>
      <c r="FT105" s="70"/>
      <c r="FU105" s="70"/>
      <c r="FV105" s="70">
        <v>0.89650545240842128</v>
      </c>
      <c r="FW105" s="70"/>
      <c r="FX105" s="75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</row>
    <row r="106" spans="1:190" x14ac:dyDescent="0.2">
      <c r="A106" s="71" t="s">
        <v>425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>
        <v>1.5487433213145125</v>
      </c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>
        <v>7.248854923988246E-3</v>
      </c>
      <c r="AN106" s="70"/>
      <c r="AO106" s="70"/>
      <c r="AP106" s="70"/>
      <c r="AQ106" s="70"/>
      <c r="AR106" s="70">
        <v>4.5576050360216537E-3</v>
      </c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  <c r="DS106" s="70"/>
      <c r="DT106" s="70"/>
      <c r="DU106" s="70"/>
      <c r="DV106" s="70"/>
      <c r="DW106" s="70"/>
      <c r="DX106" s="70"/>
      <c r="DY106" s="70"/>
      <c r="DZ106" s="70"/>
      <c r="EA106" s="70"/>
      <c r="EB106" s="70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70"/>
      <c r="ER106" s="70"/>
      <c r="ES106" s="70"/>
      <c r="ET106" s="70"/>
      <c r="EU106" s="70"/>
      <c r="EV106" s="70"/>
      <c r="EW106" s="70"/>
      <c r="EX106" s="70"/>
      <c r="EY106" s="70"/>
      <c r="EZ106" s="70"/>
      <c r="FA106" s="70"/>
      <c r="FB106" s="70"/>
      <c r="FC106" s="77">
        <v>1.4856288760654848</v>
      </c>
      <c r="FD106" s="77">
        <v>1.4903163482461015</v>
      </c>
      <c r="FE106" s="77">
        <v>1.3519716856083603</v>
      </c>
      <c r="FF106" s="77">
        <v>1.2565094653532354</v>
      </c>
      <c r="FG106" s="77">
        <v>0.90347901362773142</v>
      </c>
      <c r="FH106" s="77">
        <v>0.26484302477437677</v>
      </c>
      <c r="FI106" s="77">
        <v>0.38388192150182948</v>
      </c>
      <c r="FJ106" s="77">
        <v>0.45312269890635998</v>
      </c>
      <c r="FK106" s="77">
        <v>0.42202415484619671</v>
      </c>
      <c r="FL106" s="77">
        <v>0.5919184157965548</v>
      </c>
      <c r="FM106" s="70"/>
      <c r="FN106" s="70"/>
      <c r="FO106" s="70"/>
      <c r="FP106" s="70"/>
      <c r="FQ106" s="70"/>
      <c r="FR106" s="70"/>
      <c r="FS106" s="70"/>
      <c r="FT106" s="70"/>
      <c r="FU106" s="70">
        <v>8.1181862812207948E-4</v>
      </c>
      <c r="FV106" s="70">
        <v>10.165057204628877</v>
      </c>
      <c r="FW106" s="70"/>
      <c r="FX106" s="75"/>
      <c r="FY106" s="70"/>
      <c r="FZ106" s="70"/>
      <c r="GA106" s="70"/>
      <c r="GB106" s="70"/>
      <c r="GC106" s="70"/>
      <c r="GD106" s="70"/>
      <c r="GE106" s="70"/>
      <c r="GF106" s="70"/>
      <c r="GG106" s="70"/>
      <c r="GH106" s="70"/>
    </row>
    <row r="107" spans="1:190" x14ac:dyDescent="0.2">
      <c r="A107" s="71" t="s">
        <v>426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>
        <v>3.3676195847795021</v>
      </c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>
        <v>1.6073322964288594E-2</v>
      </c>
      <c r="AN107" s="70"/>
      <c r="AO107" s="70"/>
      <c r="AP107" s="70"/>
      <c r="AQ107" s="70"/>
      <c r="AR107" s="70">
        <v>1.0105787352734303E-2</v>
      </c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>
        <v>3.6211266744613807E-2</v>
      </c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/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/>
      <c r="FA107" s="70"/>
      <c r="FB107" s="70"/>
      <c r="FC107" s="77">
        <v>1.914605889068427</v>
      </c>
      <c r="FD107" s="77">
        <v>1.9206721521291119</v>
      </c>
      <c r="FE107" s="77">
        <v>1.7423894287524444</v>
      </c>
      <c r="FF107" s="77">
        <v>1.6193722539598125</v>
      </c>
      <c r="FG107" s="77">
        <v>1.1644046545528235</v>
      </c>
      <c r="FH107" s="77">
        <v>0.3413223354886224</v>
      </c>
      <c r="FI107" s="77">
        <v>0.49473734951802928</v>
      </c>
      <c r="FJ107" s="77">
        <v>0.5839737246487372</v>
      </c>
      <c r="FK107" s="77">
        <v>0.5438954951305135</v>
      </c>
      <c r="FL107" s="77">
        <v>0.7628582624593141</v>
      </c>
      <c r="FM107" s="70"/>
      <c r="FN107" s="70"/>
      <c r="FO107" s="70"/>
      <c r="FP107" s="70"/>
      <c r="FQ107" s="70"/>
      <c r="FR107" s="70"/>
      <c r="FS107" s="70"/>
      <c r="FT107" s="70"/>
      <c r="FU107" s="70">
        <v>3.5073688252761936</v>
      </c>
      <c r="FV107" s="70">
        <v>18.02561033282517</v>
      </c>
      <c r="FW107" s="70"/>
      <c r="FX107" s="75"/>
      <c r="FY107" s="70"/>
      <c r="FZ107" s="70"/>
      <c r="GA107" s="70"/>
      <c r="GB107" s="70"/>
      <c r="GC107" s="70"/>
      <c r="GD107" s="70"/>
      <c r="GE107" s="70"/>
      <c r="GF107" s="70"/>
      <c r="GG107" s="70"/>
      <c r="GH107" s="70"/>
    </row>
    <row r="108" spans="1:190" x14ac:dyDescent="0.2">
      <c r="A108" s="71" t="s">
        <v>427</v>
      </c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>
        <v>3.3326657548372947E-2</v>
      </c>
      <c r="AC108" s="70"/>
      <c r="AD108" s="70"/>
      <c r="AE108" s="70"/>
      <c r="AF108" s="70"/>
      <c r="AG108" s="70"/>
      <c r="AH108" s="70"/>
      <c r="AI108" s="70"/>
      <c r="AJ108" s="70"/>
      <c r="AK108" s="70">
        <v>8.9060499580702981</v>
      </c>
      <c r="AL108" s="70"/>
      <c r="AM108" s="70"/>
      <c r="AN108" s="70"/>
      <c r="AO108" s="70"/>
      <c r="AP108" s="70">
        <v>1.0461110727517885E-2</v>
      </c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/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/>
      <c r="FA108" s="70"/>
      <c r="FB108" s="70"/>
      <c r="FC108" s="77">
        <v>4.3654190636519636E-3</v>
      </c>
      <c r="FD108" s="77">
        <v>4.3789938636110423E-3</v>
      </c>
      <c r="FE108" s="77">
        <v>3.9724057520551161E-3</v>
      </c>
      <c r="FF108" s="77">
        <v>3.6918188546900912E-3</v>
      </c>
      <c r="FG108" s="77">
        <v>2.6544567505847284E-3</v>
      </c>
      <c r="FH108" s="77">
        <v>7.781791568185532E-4</v>
      </c>
      <c r="FI108" s="77">
        <v>1.1279392643616726E-3</v>
      </c>
      <c r="FJ108" s="77">
        <v>1.3313808884067556E-3</v>
      </c>
      <c r="FK108" s="77">
        <v>1.2399995131330123E-3</v>
      </c>
      <c r="FL108" s="77">
        <v>1.7391328847747409E-3</v>
      </c>
      <c r="FM108" s="70"/>
      <c r="FN108" s="70"/>
      <c r="FO108" s="70"/>
      <c r="FP108" s="70"/>
      <c r="FQ108" s="70"/>
      <c r="FR108" s="70"/>
      <c r="FS108" s="70"/>
      <c r="FT108" s="70"/>
      <c r="FU108" s="70">
        <v>2.1435778852779516E-2</v>
      </c>
      <c r="FV108" s="70">
        <v>8.9965532311910561</v>
      </c>
      <c r="FW108" s="70"/>
      <c r="FX108" s="75"/>
      <c r="FY108" s="70"/>
      <c r="FZ108" s="70"/>
      <c r="GA108" s="70"/>
      <c r="GB108" s="70"/>
      <c r="GC108" s="70"/>
      <c r="GD108" s="70"/>
      <c r="GE108" s="70"/>
      <c r="GF108" s="70"/>
      <c r="GG108" s="70"/>
      <c r="GH108" s="70"/>
    </row>
    <row r="109" spans="1:190" x14ac:dyDescent="0.2">
      <c r="A109" s="71" t="s">
        <v>428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7">
        <v>7.0059951891905126</v>
      </c>
      <c r="FD109" s="77">
        <v>7.5731387292840786</v>
      </c>
      <c r="FE109" s="77">
        <v>7.2200126075128823</v>
      </c>
      <c r="FF109" s="77">
        <v>7.6957645764637244</v>
      </c>
      <c r="FG109" s="77">
        <v>6.525726679406552</v>
      </c>
      <c r="FH109" s="77">
        <v>2.2834250730435035</v>
      </c>
      <c r="FI109" s="77">
        <v>2.8301043758954538</v>
      </c>
      <c r="FJ109" s="77">
        <v>3.6766676265955565</v>
      </c>
      <c r="FK109" s="77">
        <v>4.4544789581168382</v>
      </c>
      <c r="FL109" s="77">
        <v>6.791459638949279</v>
      </c>
      <c r="FM109" s="70"/>
      <c r="FN109" s="70"/>
      <c r="FO109" s="70"/>
      <c r="FP109" s="70"/>
      <c r="FQ109" s="70"/>
      <c r="FR109" s="70"/>
      <c r="FS109" s="70"/>
      <c r="FT109" s="70"/>
      <c r="FU109" s="70">
        <v>2.6066594192162555</v>
      </c>
      <c r="FV109" s="70">
        <v>58.663432873674637</v>
      </c>
      <c r="FW109" s="70"/>
      <c r="FX109" s="75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</row>
    <row r="110" spans="1:190" x14ac:dyDescent="0.2">
      <c r="A110" s="71" t="s">
        <v>429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>
        <v>2.2902081542995788E-2</v>
      </c>
      <c r="AC110" s="70">
        <v>1.3597204124112534E-2</v>
      </c>
      <c r="AD110" s="70">
        <v>3.6185186751893514E-2</v>
      </c>
      <c r="AE110" s="70"/>
      <c r="AF110" s="70"/>
      <c r="AG110" s="70"/>
      <c r="AH110" s="70"/>
      <c r="AI110" s="70"/>
      <c r="AJ110" s="70">
        <v>4.6064927432430042E-2</v>
      </c>
      <c r="AK110" s="70">
        <v>0.11990637941431376</v>
      </c>
      <c r="AL110" s="70"/>
      <c r="AM110" s="70">
        <v>6.4190718968412372E-2</v>
      </c>
      <c r="AN110" s="70"/>
      <c r="AO110" s="70"/>
      <c r="AP110" s="70"/>
      <c r="AQ110" s="70"/>
      <c r="AR110" s="70">
        <v>4.0347585975681721E-2</v>
      </c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>
        <v>0.14457404496816298</v>
      </c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7">
        <v>13.629838284405013</v>
      </c>
      <c r="FD110" s="77">
        <v>16.844829590729613</v>
      </c>
      <c r="FE110" s="77">
        <v>18.034004020626284</v>
      </c>
      <c r="FF110" s="77">
        <v>19.967502542342835</v>
      </c>
      <c r="FG110" s="77">
        <v>17.986498978270685</v>
      </c>
      <c r="FH110" s="77">
        <v>7.4509970534166579</v>
      </c>
      <c r="FI110" s="77">
        <v>10.191182034932073</v>
      </c>
      <c r="FJ110" s="77">
        <v>13.974753862020481</v>
      </c>
      <c r="FK110" s="77">
        <v>18.398224620275116</v>
      </c>
      <c r="FL110" s="77">
        <v>41.602793055247915</v>
      </c>
      <c r="FM110" s="70"/>
      <c r="FN110" s="70"/>
      <c r="FO110" s="70"/>
      <c r="FP110" s="70"/>
      <c r="FQ110" s="70"/>
      <c r="FR110" s="70"/>
      <c r="FS110" s="70"/>
      <c r="FT110" s="70">
        <v>8.1358278886315555E-2</v>
      </c>
      <c r="FU110" s="70">
        <v>12.51684082770776</v>
      </c>
      <c r="FV110" s="70">
        <v>191.16659127803874</v>
      </c>
      <c r="FW110" s="70"/>
      <c r="FX110" s="75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</row>
    <row r="111" spans="1:190" x14ac:dyDescent="0.2">
      <c r="A111" s="71" t="s">
        <v>430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>
        <v>3.7726797692968659</v>
      </c>
      <c r="Q111" s="70">
        <v>2.1082506443684115</v>
      </c>
      <c r="R111" s="70">
        <v>15.21009836385549</v>
      </c>
      <c r="S111" s="70">
        <v>0.39964352219929322</v>
      </c>
      <c r="T111" s="70"/>
      <c r="U111" s="70"/>
      <c r="V111" s="70">
        <v>2.834686622291589</v>
      </c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7"/>
      <c r="FD111" s="77"/>
      <c r="FE111" s="77"/>
      <c r="FF111" s="77"/>
      <c r="FG111" s="77"/>
      <c r="FH111" s="77"/>
      <c r="FI111" s="77"/>
      <c r="FJ111" s="77"/>
      <c r="FK111" s="77"/>
      <c r="FL111" s="77"/>
      <c r="FM111" s="70"/>
      <c r="FN111" s="70"/>
      <c r="FO111" s="70"/>
      <c r="FP111" s="70"/>
      <c r="FQ111" s="70"/>
      <c r="FR111" s="70"/>
      <c r="FS111" s="70"/>
      <c r="FT111" s="70">
        <v>0.4401657596614893</v>
      </c>
      <c r="FU111" s="70">
        <v>0.27089421234739691</v>
      </c>
      <c r="FV111" s="70">
        <v>25.036418894020539</v>
      </c>
      <c r="FW111" s="70"/>
      <c r="FX111" s="75"/>
      <c r="FY111" s="70"/>
      <c r="FZ111" s="70"/>
      <c r="GA111" s="70"/>
      <c r="GB111" s="70"/>
      <c r="GC111" s="70"/>
      <c r="GD111" s="70"/>
      <c r="GE111" s="70"/>
      <c r="GF111" s="70"/>
      <c r="GG111" s="70"/>
      <c r="GH111" s="70"/>
    </row>
    <row r="112" spans="1:190" x14ac:dyDescent="0.2">
      <c r="A112" s="71" t="s">
        <v>431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>
        <v>0.1223018743271075</v>
      </c>
      <c r="AN112" s="70"/>
      <c r="AO112" s="70">
        <v>3.651949757332758E-3</v>
      </c>
      <c r="AP112" s="70">
        <v>2.0009024725593006E-2</v>
      </c>
      <c r="AQ112" s="70"/>
      <c r="AR112" s="70">
        <v>0.19886119703587812</v>
      </c>
      <c r="AS112" s="70">
        <v>2.0402043676849735E-3</v>
      </c>
      <c r="AT112" s="70">
        <v>1.8441628637728035E-2</v>
      </c>
      <c r="AU112" s="70"/>
      <c r="AV112" s="70"/>
      <c r="AW112" s="70"/>
      <c r="AX112" s="70">
        <v>2.5131714255451073E-2</v>
      </c>
      <c r="AY112" s="70"/>
      <c r="AZ112" s="70">
        <v>1.4899615334768666E-2</v>
      </c>
      <c r="BA112" s="70"/>
      <c r="BB112" s="70"/>
      <c r="BC112" s="70">
        <v>1.1044856311956057E-2</v>
      </c>
      <c r="BD112" s="70"/>
      <c r="BE112" s="70"/>
      <c r="BF112" s="70"/>
      <c r="BG112" s="70"/>
      <c r="BH112" s="70"/>
      <c r="BI112" s="70">
        <v>2.291309915980519</v>
      </c>
      <c r="BJ112" s="70">
        <v>7.2107022225268809</v>
      </c>
      <c r="BK112" s="70"/>
      <c r="BL112" s="70"/>
      <c r="BM112" s="70"/>
      <c r="BN112" s="70"/>
      <c r="BO112" s="70"/>
      <c r="BP112" s="70"/>
      <c r="BQ112" s="70">
        <v>0.27300564713876418</v>
      </c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T112" s="70"/>
      <c r="CU112" s="70"/>
      <c r="CV112" s="70"/>
      <c r="CW112" s="70"/>
      <c r="CX112" s="70"/>
      <c r="CY112" s="70"/>
      <c r="CZ112" s="70"/>
      <c r="DA112" s="70"/>
      <c r="DB112" s="70"/>
      <c r="DC112" s="70"/>
      <c r="DD112" s="70"/>
      <c r="DE112" s="70"/>
      <c r="DF112" s="70"/>
      <c r="DG112" s="70"/>
      <c r="DH112" s="70"/>
      <c r="DI112" s="70"/>
      <c r="DJ112" s="70"/>
      <c r="DK112" s="70"/>
      <c r="DL112" s="70"/>
      <c r="DM112" s="70"/>
      <c r="DN112" s="70"/>
      <c r="DO112" s="70"/>
      <c r="DP112" s="70"/>
      <c r="DQ112" s="70"/>
      <c r="DR112" s="70"/>
      <c r="DS112" s="70"/>
      <c r="DT112" s="70"/>
      <c r="DU112" s="70"/>
      <c r="DV112" s="70"/>
      <c r="DW112" s="70"/>
      <c r="DX112" s="70"/>
      <c r="DY112" s="70"/>
      <c r="DZ112" s="70"/>
      <c r="EA112" s="70"/>
      <c r="EB112" s="70"/>
      <c r="EC112" s="70"/>
      <c r="ED112" s="70"/>
      <c r="EE112" s="70"/>
      <c r="EF112" s="70"/>
      <c r="EG112" s="70"/>
      <c r="EH112" s="70"/>
      <c r="EI112" s="70"/>
      <c r="EJ112" s="70"/>
      <c r="EK112" s="70"/>
      <c r="EL112" s="70"/>
      <c r="EM112" s="70"/>
      <c r="EN112" s="70"/>
      <c r="EO112" s="70"/>
      <c r="EP112" s="70"/>
      <c r="EQ112" s="70"/>
      <c r="ER112" s="70"/>
      <c r="ES112" s="70"/>
      <c r="ET112" s="70"/>
      <c r="EU112" s="70"/>
      <c r="EV112" s="70"/>
      <c r="EW112" s="70"/>
      <c r="EX112" s="70"/>
      <c r="EY112" s="70"/>
      <c r="EZ112" s="70"/>
      <c r="FA112" s="70"/>
      <c r="FB112" s="70"/>
      <c r="FC112" s="77">
        <v>0.40862417196005713</v>
      </c>
      <c r="FD112" s="77">
        <v>0.6559619609713393</v>
      </c>
      <c r="FE112" s="77">
        <v>0.85292490437739155</v>
      </c>
      <c r="FF112" s="77">
        <v>1.0890710875797249</v>
      </c>
      <c r="FG112" s="77">
        <v>1.377316938513935</v>
      </c>
      <c r="FH112" s="77">
        <v>0.21489839013795517</v>
      </c>
      <c r="FI112" s="77">
        <v>0.41321136608017794</v>
      </c>
      <c r="FJ112" s="77">
        <v>0.72397167229602177</v>
      </c>
      <c r="FK112" s="77">
        <v>1.1037324271093589</v>
      </c>
      <c r="FL112" s="77">
        <v>4.110702098901589</v>
      </c>
      <c r="FM112" s="70"/>
      <c r="FN112" s="70"/>
      <c r="FO112" s="70"/>
      <c r="FP112" s="70"/>
      <c r="FQ112" s="70"/>
      <c r="FR112" s="70"/>
      <c r="FS112" s="70"/>
      <c r="FT112" s="70">
        <v>0.11142753869027353</v>
      </c>
      <c r="FU112" s="70">
        <v>0.53007761500396366</v>
      </c>
      <c r="FV112" s="70">
        <v>21.783320022021453</v>
      </c>
      <c r="FW112" s="70"/>
      <c r="FX112" s="75"/>
      <c r="FY112" s="70"/>
      <c r="FZ112" s="70"/>
      <c r="GA112" s="70"/>
      <c r="GB112" s="70"/>
      <c r="GC112" s="70"/>
      <c r="GD112" s="70"/>
      <c r="GE112" s="70"/>
      <c r="GF112" s="70"/>
      <c r="GG112" s="70"/>
      <c r="GH112" s="70"/>
    </row>
    <row r="113" spans="1:190" x14ac:dyDescent="0.2">
      <c r="A113" s="71" t="s">
        <v>432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>
        <v>15.487527747346284</v>
      </c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7">
        <v>7.7693020891184998</v>
      </c>
      <c r="FD113" s="77">
        <v>12.50250432464011</v>
      </c>
      <c r="FE113" s="77">
        <v>14.370570209927262</v>
      </c>
      <c r="FF113" s="77">
        <v>16.352145884172199</v>
      </c>
      <c r="FG113" s="77">
        <v>15.868170232147989</v>
      </c>
      <c r="FH113" s="77">
        <v>4.4196992879794665</v>
      </c>
      <c r="FI113" s="77">
        <v>7.165402968543706</v>
      </c>
      <c r="FJ113" s="77">
        <v>10.354217234074801</v>
      </c>
      <c r="FK113" s="77">
        <v>13.569035951678993</v>
      </c>
      <c r="FL113" s="77">
        <v>24.834787849641785</v>
      </c>
      <c r="FM113" s="70"/>
      <c r="FN113" s="70"/>
      <c r="FO113" s="70"/>
      <c r="FP113" s="70"/>
      <c r="FQ113" s="70"/>
      <c r="FR113" s="70"/>
      <c r="FS113" s="70"/>
      <c r="FT113" s="70">
        <v>4.0974494503718449E-2</v>
      </c>
      <c r="FU113" s="70">
        <v>1.4708158377844758</v>
      </c>
      <c r="FV113" s="70">
        <v>144.2051541115593</v>
      </c>
      <c r="FW113" s="70"/>
      <c r="FX113" s="75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</row>
    <row r="114" spans="1:190" x14ac:dyDescent="0.2">
      <c r="A114" s="71" t="s">
        <v>433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>
        <v>17.759909329655091</v>
      </c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7"/>
      <c r="FD114" s="77"/>
      <c r="FE114" s="77"/>
      <c r="FF114" s="77"/>
      <c r="FG114" s="77"/>
      <c r="FH114" s="77"/>
      <c r="FI114" s="77"/>
      <c r="FJ114" s="77"/>
      <c r="FK114" s="77"/>
      <c r="FL114" s="77"/>
      <c r="FM114" s="70"/>
      <c r="FN114" s="70"/>
      <c r="FO114" s="70"/>
      <c r="FP114" s="70"/>
      <c r="FQ114" s="70"/>
      <c r="FR114" s="70"/>
      <c r="FS114" s="70"/>
      <c r="FT114" s="70">
        <v>0.44925037105172227</v>
      </c>
      <c r="FU114" s="70"/>
      <c r="FV114" s="70">
        <v>18.209159700706813</v>
      </c>
      <c r="FW114" s="70"/>
      <c r="FX114" s="75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</row>
    <row r="115" spans="1:190" x14ac:dyDescent="0.2">
      <c r="A115" s="71" t="s">
        <v>434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>
        <v>0.62331789437297158</v>
      </c>
      <c r="AA115" s="70">
        <v>8.0168776893690452E-2</v>
      </c>
      <c r="AB115" s="70"/>
      <c r="AC115" s="70">
        <v>2.019067575482195</v>
      </c>
      <c r="AD115" s="70">
        <v>2.8891052911691482</v>
      </c>
      <c r="AE115" s="70"/>
      <c r="AF115" s="70"/>
      <c r="AG115" s="70"/>
      <c r="AH115" s="70"/>
      <c r="AI115" s="70"/>
      <c r="AJ115" s="70">
        <v>0.75008649628166679</v>
      </c>
      <c r="AK115" s="70"/>
      <c r="AL115" s="70"/>
      <c r="AM115" s="70">
        <v>2.0450551149757317E-3</v>
      </c>
      <c r="AN115" s="70"/>
      <c r="AO115" s="70"/>
      <c r="AP115" s="70">
        <v>12.496242284113869</v>
      </c>
      <c r="AQ115" s="70">
        <v>71.732298794658945</v>
      </c>
      <c r="AR115" s="70">
        <v>8.5866872809852363E-2</v>
      </c>
      <c r="AS115" s="70">
        <v>5.3282455650290744E-2</v>
      </c>
      <c r="AT115" s="70">
        <v>0.48331453158369131</v>
      </c>
      <c r="AU115" s="70">
        <v>0.2009458290097362</v>
      </c>
      <c r="AV115" s="70">
        <v>1.0036304844974877</v>
      </c>
      <c r="AW115" s="70">
        <v>2.0927327768279307</v>
      </c>
      <c r="AX115" s="70">
        <v>1.0119087616007107</v>
      </c>
      <c r="AY115" s="70">
        <v>4.1493417587749985E-2</v>
      </c>
      <c r="AZ115" s="70">
        <v>1.9527917808231838E-2</v>
      </c>
      <c r="BA115" s="70">
        <v>2.059235069032991E-2</v>
      </c>
      <c r="BB115" s="70">
        <v>5.4941403983133054E-2</v>
      </c>
      <c r="BC115" s="70">
        <v>1.3576845057261688</v>
      </c>
      <c r="BD115" s="70"/>
      <c r="BE115" s="70"/>
      <c r="BF115" s="70"/>
      <c r="BG115" s="70"/>
      <c r="BH115" s="70"/>
      <c r="BI115" s="70">
        <v>0.66300020323956621</v>
      </c>
      <c r="BJ115" s="70">
        <v>2.1690030849709663</v>
      </c>
      <c r="BK115" s="70"/>
      <c r="BL115" s="70"/>
      <c r="BM115" s="70"/>
      <c r="BN115" s="70">
        <v>0.83333698363065045</v>
      </c>
      <c r="BO115" s="70">
        <v>0.13213639566780155</v>
      </c>
      <c r="BP115" s="70">
        <v>5.915507239092499E-2</v>
      </c>
      <c r="BQ115" s="70">
        <v>1.0130156638067498</v>
      </c>
      <c r="BR115" s="70">
        <v>5.4993796475072951E-2</v>
      </c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T115" s="70"/>
      <c r="CU115" s="70"/>
      <c r="CV115" s="70"/>
      <c r="CW115" s="70"/>
      <c r="CX115" s="70"/>
      <c r="CY115" s="70"/>
      <c r="CZ115" s="70"/>
      <c r="DA115" s="70"/>
      <c r="DB115" s="70"/>
      <c r="DC115" s="70"/>
      <c r="DD115" s="70"/>
      <c r="DE115" s="70"/>
      <c r="DF115" s="70"/>
      <c r="DG115" s="70"/>
      <c r="DH115" s="70"/>
      <c r="DI115" s="70"/>
      <c r="DJ115" s="70"/>
      <c r="DK115" s="70"/>
      <c r="DL115" s="70"/>
      <c r="DM115" s="70"/>
      <c r="DN115" s="70"/>
      <c r="DO115" s="70"/>
      <c r="DP115" s="70"/>
      <c r="DQ115" s="70"/>
      <c r="DR115" s="70"/>
      <c r="DS115" s="70"/>
      <c r="DT115" s="70"/>
      <c r="DU115" s="70"/>
      <c r="DV115" s="70"/>
      <c r="DW115" s="70"/>
      <c r="DX115" s="70"/>
      <c r="DY115" s="70"/>
      <c r="DZ115" s="70"/>
      <c r="EA115" s="70"/>
      <c r="EB115" s="70"/>
      <c r="EC115" s="70"/>
      <c r="ED115" s="70"/>
      <c r="EE115" s="70"/>
      <c r="EF115" s="70"/>
      <c r="EG115" s="70"/>
      <c r="EH115" s="70"/>
      <c r="EI115" s="70"/>
      <c r="EJ115" s="70"/>
      <c r="EK115" s="70"/>
      <c r="EL115" s="70"/>
      <c r="EM115" s="70"/>
      <c r="EN115" s="70"/>
      <c r="EO115" s="70"/>
      <c r="EP115" s="70"/>
      <c r="EQ115" s="70"/>
      <c r="ER115" s="70"/>
      <c r="ES115" s="70"/>
      <c r="ET115" s="70"/>
      <c r="EU115" s="70"/>
      <c r="EV115" s="70"/>
      <c r="EW115" s="70"/>
      <c r="EX115" s="70"/>
      <c r="EY115" s="70"/>
      <c r="EZ115" s="70"/>
      <c r="FA115" s="70"/>
      <c r="FB115" s="70"/>
      <c r="FC115" s="77">
        <v>1.2150986718859198</v>
      </c>
      <c r="FD115" s="77">
        <v>2.0209711025507273</v>
      </c>
      <c r="FE115" s="77">
        <v>2.6742741298638069</v>
      </c>
      <c r="FF115" s="77">
        <v>3.6481575409272473</v>
      </c>
      <c r="FG115" s="77">
        <v>5.1799395529298202</v>
      </c>
      <c r="FH115" s="77">
        <v>0.21995032872197551</v>
      </c>
      <c r="FI115" s="77">
        <v>0.43093155700904429</v>
      </c>
      <c r="FJ115" s="77">
        <v>0.68528637869950437</v>
      </c>
      <c r="FK115" s="77">
        <v>1.31656939983762</v>
      </c>
      <c r="FL115" s="77">
        <v>3.7615741036173107</v>
      </c>
      <c r="FM115" s="70"/>
      <c r="FN115" s="70"/>
      <c r="FO115" s="70"/>
      <c r="FP115" s="70"/>
      <c r="FQ115" s="70"/>
      <c r="FR115" s="70"/>
      <c r="FS115" s="70"/>
      <c r="FT115" s="70">
        <v>0.2001312093879693</v>
      </c>
      <c r="FU115" s="70">
        <v>26.933493501730794</v>
      </c>
      <c r="FV115" s="70">
        <v>150.22927215320627</v>
      </c>
      <c r="FW115" s="70"/>
      <c r="FX115" s="75"/>
      <c r="FY115" s="70"/>
      <c r="FZ115" s="70"/>
      <c r="GA115" s="70"/>
      <c r="GB115" s="70"/>
      <c r="GC115" s="70"/>
      <c r="GD115" s="70"/>
      <c r="GE115" s="70"/>
      <c r="GF115" s="70"/>
      <c r="GG115" s="70"/>
      <c r="GH115" s="70"/>
    </row>
    <row r="116" spans="1:190" x14ac:dyDescent="0.2">
      <c r="A116" s="71" t="s">
        <v>435</v>
      </c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>
        <v>0.19878139092371333</v>
      </c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>
        <v>2.4783327007232153E-2</v>
      </c>
      <c r="AP116" s="70">
        <v>0.13581351767782238</v>
      </c>
      <c r="AQ116" s="70">
        <v>2.5472349945477375</v>
      </c>
      <c r="AR116" s="70">
        <v>4.0202915031899598E-3</v>
      </c>
      <c r="AS116" s="70">
        <v>6.3293646042369284E-3</v>
      </c>
      <c r="AT116" s="70">
        <v>5.7223906440951114E-2</v>
      </c>
      <c r="AU116" s="70"/>
      <c r="AV116" s="70"/>
      <c r="AW116" s="70"/>
      <c r="AX116" s="70">
        <v>0.11206802087121631</v>
      </c>
      <c r="AY116" s="70">
        <v>0.20945184547460924</v>
      </c>
      <c r="AZ116" s="70">
        <v>3.7546813366302403E-2</v>
      </c>
      <c r="BA116" s="70">
        <v>4.7088206058595615E-2</v>
      </c>
      <c r="BB116" s="70">
        <v>6.4596092493292411E-3</v>
      </c>
      <c r="BC116" s="70">
        <v>5.173389665207094E-2</v>
      </c>
      <c r="BD116" s="70"/>
      <c r="BE116" s="70"/>
      <c r="BF116" s="70"/>
      <c r="BG116" s="70"/>
      <c r="BH116" s="70"/>
      <c r="BI116" s="70">
        <v>4.3992372557169632E-2</v>
      </c>
      <c r="BJ116" s="70">
        <v>0.15424520774067166</v>
      </c>
      <c r="BK116" s="70"/>
      <c r="BL116" s="70"/>
      <c r="BM116" s="70"/>
      <c r="BN116" s="70">
        <v>0.12267815254559902</v>
      </c>
      <c r="BO116" s="70">
        <v>0.19811824103622327</v>
      </c>
      <c r="BP116" s="70">
        <v>8.5667716929456642E-2</v>
      </c>
      <c r="BQ116" s="70">
        <v>0.3203325797010263</v>
      </c>
      <c r="BR116" s="70">
        <v>0.18166872350274205</v>
      </c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7">
        <v>9.1880555091557081</v>
      </c>
      <c r="FD116" s="77">
        <v>14.383049412215513</v>
      </c>
      <c r="FE116" s="77">
        <v>16.837208213565326</v>
      </c>
      <c r="FF116" s="77">
        <v>19.439915891876712</v>
      </c>
      <c r="FG116" s="77">
        <v>18.853000445444394</v>
      </c>
      <c r="FH116" s="77">
        <v>4.2666880037953367</v>
      </c>
      <c r="FI116" s="77">
        <v>6.8322639892711985</v>
      </c>
      <c r="FJ116" s="77">
        <v>10.229744218993222</v>
      </c>
      <c r="FK116" s="77">
        <v>14.393877257526281</v>
      </c>
      <c r="FL116" s="77">
        <v>34.79252170217368</v>
      </c>
      <c r="FM116" s="70"/>
      <c r="FN116" s="70"/>
      <c r="FO116" s="70"/>
      <c r="FP116" s="70"/>
      <c r="FQ116" s="70"/>
      <c r="FR116" s="70"/>
      <c r="FS116" s="70"/>
      <c r="FT116" s="70">
        <v>1.9545498451546208</v>
      </c>
      <c r="FU116" s="70">
        <v>20.766845927659769</v>
      </c>
      <c r="FV116" s="70">
        <v>176.48295859522165</v>
      </c>
      <c r="FW116" s="70"/>
      <c r="FX116" s="75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</row>
    <row r="117" spans="1:190" x14ac:dyDescent="0.2">
      <c r="A117" s="71" t="s">
        <v>436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>
        <v>5.1383580439507519E-3</v>
      </c>
      <c r="AP117" s="70">
        <v>2.8152164534413403E-2</v>
      </c>
      <c r="AQ117" s="70">
        <v>0.34565638856621522</v>
      </c>
      <c r="AR117" s="70">
        <v>1.0730579897674288</v>
      </c>
      <c r="AS117" s="70">
        <v>5.7873764481230156E-3</v>
      </c>
      <c r="AT117" s="70">
        <v>5.2299456804813266E-2</v>
      </c>
      <c r="AU117" s="70"/>
      <c r="AV117" s="70"/>
      <c r="AW117" s="70"/>
      <c r="AX117" s="70">
        <v>2.1652391434009474E-2</v>
      </c>
      <c r="AY117" s="70"/>
      <c r="AZ117" s="70"/>
      <c r="BA117" s="70">
        <v>9.0006750276436908E-3</v>
      </c>
      <c r="BB117" s="70"/>
      <c r="BC117" s="70">
        <v>2.9282506944795283E-2</v>
      </c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0"/>
      <c r="CY117" s="70"/>
      <c r="CZ117" s="70"/>
      <c r="DA117" s="70"/>
      <c r="DB117" s="70"/>
      <c r="DC117" s="70"/>
      <c r="DD117" s="70"/>
      <c r="DE117" s="70"/>
      <c r="DF117" s="70"/>
      <c r="DG117" s="70"/>
      <c r="DH117" s="70"/>
      <c r="DI117" s="70"/>
      <c r="DJ117" s="70"/>
      <c r="DK117" s="70"/>
      <c r="DL117" s="70"/>
      <c r="DM117" s="70"/>
      <c r="DN117" s="70"/>
      <c r="DO117" s="70"/>
      <c r="DP117" s="70"/>
      <c r="DQ117" s="70"/>
      <c r="DR117" s="70"/>
      <c r="DS117" s="70"/>
      <c r="DT117" s="70"/>
      <c r="DU117" s="70"/>
      <c r="DV117" s="70"/>
      <c r="DW117" s="70"/>
      <c r="DX117" s="70"/>
      <c r="DY117" s="70"/>
      <c r="DZ117" s="70"/>
      <c r="EA117" s="70"/>
      <c r="EB117" s="70"/>
      <c r="EC117" s="70"/>
      <c r="ED117" s="70"/>
      <c r="EE117" s="70"/>
      <c r="EF117" s="70"/>
      <c r="EG117" s="70"/>
      <c r="EH117" s="70"/>
      <c r="EI117" s="70"/>
      <c r="EJ117" s="70"/>
      <c r="EK117" s="70"/>
      <c r="EL117" s="70"/>
      <c r="EM117" s="70"/>
      <c r="EN117" s="70"/>
      <c r="EO117" s="70"/>
      <c r="EP117" s="70"/>
      <c r="EQ117" s="70"/>
      <c r="ER117" s="70"/>
      <c r="ES117" s="70"/>
      <c r="ET117" s="70"/>
      <c r="EU117" s="70"/>
      <c r="EV117" s="70"/>
      <c r="EW117" s="70"/>
      <c r="EX117" s="70"/>
      <c r="EY117" s="70"/>
      <c r="EZ117" s="70"/>
      <c r="FA117" s="70"/>
      <c r="FB117" s="70"/>
      <c r="FC117" s="77">
        <v>0.82138046227882622</v>
      </c>
      <c r="FD117" s="77">
        <v>1.2569865520272274</v>
      </c>
      <c r="FE117" s="77">
        <v>1.4436168093472785</v>
      </c>
      <c r="FF117" s="77">
        <v>1.6230564380243429</v>
      </c>
      <c r="FG117" s="77">
        <v>1.5064017454292067</v>
      </c>
      <c r="FH117" s="77">
        <v>0.35727030008482819</v>
      </c>
      <c r="FI117" s="77">
        <v>0.63085033211274955</v>
      </c>
      <c r="FJ117" s="77">
        <v>0.93888928160172236</v>
      </c>
      <c r="FK117" s="77">
        <v>1.3003828717996126</v>
      </c>
      <c r="FL117" s="77">
        <v>3.1796047442804425</v>
      </c>
      <c r="FM117" s="70"/>
      <c r="FN117" s="70"/>
      <c r="FO117" s="70"/>
      <c r="FP117" s="70"/>
      <c r="FQ117" s="70"/>
      <c r="FR117" s="70"/>
      <c r="FS117" s="70"/>
      <c r="FT117" s="70">
        <v>2.0957448725931527E-2</v>
      </c>
      <c r="FU117" s="70">
        <v>1.2605675589437477</v>
      </c>
      <c r="FV117" s="70">
        <v>15.909991852227311</v>
      </c>
      <c r="FW117" s="70"/>
      <c r="FX117" s="75"/>
      <c r="FY117" s="70"/>
      <c r="FZ117" s="70"/>
      <c r="GA117" s="70"/>
      <c r="GB117" s="70"/>
      <c r="GC117" s="70"/>
      <c r="GD117" s="70"/>
      <c r="GE117" s="70"/>
      <c r="GF117" s="70"/>
      <c r="GG117" s="70"/>
      <c r="GH117" s="70"/>
    </row>
    <row r="118" spans="1:190" x14ac:dyDescent="0.2">
      <c r="A118" s="71" t="s">
        <v>437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>
        <v>3.6236517554046194E-2</v>
      </c>
      <c r="X118" s="70">
        <v>7.7191707087455985E-2</v>
      </c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>
        <v>1.4897477665818748</v>
      </c>
      <c r="AT118" s="70">
        <v>13.536395899814949</v>
      </c>
      <c r="AU118" s="70"/>
      <c r="AV118" s="70"/>
      <c r="AW118" s="70"/>
      <c r="AX118" s="70">
        <v>0.1807627098711892</v>
      </c>
      <c r="AY118" s="70">
        <v>0.35970765752129141</v>
      </c>
      <c r="AZ118" s="70">
        <v>7.2456701149995931E-2</v>
      </c>
      <c r="BA118" s="70">
        <v>0.10518194528373048</v>
      </c>
      <c r="BB118" s="70">
        <v>9.433975958082836E-3</v>
      </c>
      <c r="BC118" s="70">
        <v>11.532109115783275</v>
      </c>
      <c r="BD118" s="70"/>
      <c r="BE118" s="70"/>
      <c r="BF118" s="70">
        <v>5.5059813615760662</v>
      </c>
      <c r="BG118" s="70"/>
      <c r="BH118" s="70"/>
      <c r="BI118" s="70"/>
      <c r="BJ118" s="70"/>
      <c r="BK118" s="70"/>
      <c r="BL118" s="70"/>
      <c r="BM118" s="70"/>
      <c r="BN118" s="70"/>
      <c r="BO118" s="70">
        <v>5.9495642720441909E-2</v>
      </c>
      <c r="BP118" s="70">
        <v>5.4611871232479826E-2</v>
      </c>
      <c r="BQ118" s="70">
        <v>0.1229303087789449</v>
      </c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0"/>
      <c r="CY118" s="70"/>
      <c r="CZ118" s="70"/>
      <c r="DA118" s="70"/>
      <c r="DB118" s="70"/>
      <c r="DC118" s="70"/>
      <c r="DD118" s="70"/>
      <c r="DE118" s="70"/>
      <c r="DF118" s="70"/>
      <c r="DG118" s="70"/>
      <c r="DH118" s="70"/>
      <c r="DI118" s="70"/>
      <c r="DJ118" s="70"/>
      <c r="DK118" s="70"/>
      <c r="DL118" s="70"/>
      <c r="DM118" s="70"/>
      <c r="DN118" s="70"/>
      <c r="DO118" s="70"/>
      <c r="DP118" s="70"/>
      <c r="DQ118" s="70"/>
      <c r="DR118" s="70"/>
      <c r="DS118" s="70"/>
      <c r="DT118" s="70"/>
      <c r="DU118" s="70"/>
      <c r="DV118" s="70"/>
      <c r="DW118" s="70"/>
      <c r="DX118" s="70"/>
      <c r="DY118" s="70"/>
      <c r="DZ118" s="70"/>
      <c r="EA118" s="70"/>
      <c r="EB118" s="70"/>
      <c r="EC118" s="70"/>
      <c r="ED118" s="70"/>
      <c r="EE118" s="70"/>
      <c r="EF118" s="70"/>
      <c r="EG118" s="70"/>
      <c r="EH118" s="70"/>
      <c r="EI118" s="70"/>
      <c r="EJ118" s="70"/>
      <c r="EK118" s="70"/>
      <c r="EL118" s="70"/>
      <c r="EM118" s="70"/>
      <c r="EN118" s="70"/>
      <c r="EO118" s="70"/>
      <c r="EP118" s="70"/>
      <c r="EQ118" s="70"/>
      <c r="ER118" s="70"/>
      <c r="ES118" s="70"/>
      <c r="ET118" s="70"/>
      <c r="EU118" s="70"/>
      <c r="EV118" s="70"/>
      <c r="EW118" s="70"/>
      <c r="EX118" s="70"/>
      <c r="EY118" s="70"/>
      <c r="EZ118" s="70"/>
      <c r="FA118" s="70"/>
      <c r="FB118" s="70"/>
      <c r="FC118" s="77">
        <v>3.1819940862324962E-4</v>
      </c>
      <c r="FD118" s="77">
        <v>1.2041824239312877E-3</v>
      </c>
      <c r="FE118" s="77">
        <v>3.4283375630493097E-5</v>
      </c>
      <c r="FF118" s="77">
        <v>5.5876217969769485E-4</v>
      </c>
      <c r="FG118" s="77">
        <v>6.0907048760623205E-4</v>
      </c>
      <c r="FH118" s="77"/>
      <c r="FI118" s="77"/>
      <c r="FJ118" s="77"/>
      <c r="FK118" s="77">
        <v>5.8124986989373444E-5</v>
      </c>
      <c r="FL118" s="77">
        <v>8.5532720044097417E-4</v>
      </c>
      <c r="FM118" s="70"/>
      <c r="FN118" s="70"/>
      <c r="FO118" s="70"/>
      <c r="FP118" s="70"/>
      <c r="FQ118" s="70"/>
      <c r="FR118" s="70"/>
      <c r="FS118" s="70"/>
      <c r="FT118" s="70">
        <v>9.4130290123243629E-2</v>
      </c>
      <c r="FU118" s="70">
        <v>0.44833157460238576</v>
      </c>
      <c r="FV118" s="70">
        <v>33.688342995702392</v>
      </c>
      <c r="FW118" s="70"/>
      <c r="FX118" s="75"/>
      <c r="FY118" s="70"/>
      <c r="FZ118" s="70"/>
      <c r="GA118" s="70"/>
      <c r="GB118" s="70"/>
      <c r="GC118" s="70"/>
      <c r="GD118" s="70"/>
      <c r="GE118" s="70"/>
      <c r="GF118" s="70"/>
      <c r="GG118" s="70"/>
      <c r="GH118" s="70"/>
    </row>
    <row r="119" spans="1:190" x14ac:dyDescent="0.2">
      <c r="A119" s="71" t="s">
        <v>438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>
        <v>2.6797582632810072E-2</v>
      </c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>
        <v>3.0432830105739508E-2</v>
      </c>
      <c r="AN119" s="70">
        <v>9.1871223305425853E-2</v>
      </c>
      <c r="AO119" s="70">
        <v>0.13466075112492493</v>
      </c>
      <c r="AP119" s="70">
        <v>5.0422382647505821E-2</v>
      </c>
      <c r="AQ119" s="70">
        <v>9.0522813926325593E-2</v>
      </c>
      <c r="AR119" s="70">
        <v>3.918550384449525E-3</v>
      </c>
      <c r="AS119" s="70">
        <v>3.5931224833887125E-3</v>
      </c>
      <c r="AT119" s="70"/>
      <c r="AU119" s="70"/>
      <c r="AV119" s="70"/>
      <c r="AW119" s="70">
        <v>0.5408914023338065</v>
      </c>
      <c r="AX119" s="70">
        <v>0.10672868052315668</v>
      </c>
      <c r="AY119" s="70">
        <v>0.11207145788417165</v>
      </c>
      <c r="AZ119" s="70">
        <v>4.5009102362414698E-2</v>
      </c>
      <c r="BA119" s="70">
        <v>3.0921035795897375E-2</v>
      </c>
      <c r="BB119" s="70"/>
      <c r="BC119" s="70">
        <v>2.4858598158691538E-2</v>
      </c>
      <c r="BD119" s="70">
        <v>0.10061880333350179</v>
      </c>
      <c r="BE119" s="70">
        <v>0.1293857338126885</v>
      </c>
      <c r="BF119" s="70">
        <v>0.74418066425279839</v>
      </c>
      <c r="BG119" s="70">
        <v>0.14429978715559061</v>
      </c>
      <c r="BH119" s="70">
        <v>0.64375924010449725</v>
      </c>
      <c r="BI119" s="70">
        <v>2.1508505395222284</v>
      </c>
      <c r="BJ119" s="70"/>
      <c r="BK119" s="70">
        <v>5.1844834777018374</v>
      </c>
      <c r="BL119" s="70"/>
      <c r="BM119" s="70">
        <v>1.6825575321064448</v>
      </c>
      <c r="BN119" s="70">
        <v>3.5745614286106071</v>
      </c>
      <c r="BO119" s="70">
        <v>0.24163108947870438</v>
      </c>
      <c r="BP119" s="70">
        <v>1.5917525412049327</v>
      </c>
      <c r="BQ119" s="70">
        <v>2.173654236621327</v>
      </c>
      <c r="BR119" s="70">
        <v>0.88795515013463244</v>
      </c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T119" s="70"/>
      <c r="CU119" s="70"/>
      <c r="CV119" s="70"/>
      <c r="CW119" s="70"/>
      <c r="CX119" s="70"/>
      <c r="CY119" s="70"/>
      <c r="CZ119" s="70"/>
      <c r="DA119" s="70"/>
      <c r="DB119" s="70"/>
      <c r="DC119" s="70"/>
      <c r="DD119" s="70"/>
      <c r="DE119" s="70"/>
      <c r="DF119" s="70"/>
      <c r="DG119" s="70"/>
      <c r="DH119" s="70"/>
      <c r="DI119" s="70"/>
      <c r="DJ119" s="70"/>
      <c r="DK119" s="70"/>
      <c r="DL119" s="70"/>
      <c r="DM119" s="70"/>
      <c r="DN119" s="70"/>
      <c r="DO119" s="70"/>
      <c r="DP119" s="70"/>
      <c r="DQ119" s="70"/>
      <c r="DR119" s="70"/>
      <c r="DS119" s="70"/>
      <c r="DT119" s="70"/>
      <c r="DU119" s="70"/>
      <c r="DV119" s="70"/>
      <c r="DW119" s="70"/>
      <c r="DX119" s="70"/>
      <c r="DY119" s="70"/>
      <c r="DZ119" s="70"/>
      <c r="EA119" s="70"/>
      <c r="EB119" s="70"/>
      <c r="EC119" s="70"/>
      <c r="ED119" s="70"/>
      <c r="EE119" s="70"/>
      <c r="EF119" s="70"/>
      <c r="EG119" s="70"/>
      <c r="EH119" s="70"/>
      <c r="EI119" s="70"/>
      <c r="EJ119" s="70"/>
      <c r="EK119" s="70"/>
      <c r="EL119" s="70"/>
      <c r="EM119" s="70"/>
      <c r="EN119" s="70"/>
      <c r="EO119" s="70"/>
      <c r="EP119" s="70"/>
      <c r="EQ119" s="70"/>
      <c r="ER119" s="70"/>
      <c r="ES119" s="70"/>
      <c r="ET119" s="70"/>
      <c r="EU119" s="70"/>
      <c r="EV119" s="70"/>
      <c r="EW119" s="70"/>
      <c r="EX119" s="70"/>
      <c r="EY119" s="70"/>
      <c r="EZ119" s="70"/>
      <c r="FA119" s="70"/>
      <c r="FB119" s="70"/>
      <c r="FC119" s="77">
        <v>3.9899881980601442</v>
      </c>
      <c r="FD119" s="77">
        <v>5.8832287948401669</v>
      </c>
      <c r="FE119" s="77">
        <v>6.7264404345427122</v>
      </c>
      <c r="FF119" s="77">
        <v>6.9607562015174933</v>
      </c>
      <c r="FG119" s="77">
        <v>5.7987354397751547</v>
      </c>
      <c r="FH119" s="77">
        <v>2.2136990890569965</v>
      </c>
      <c r="FI119" s="77">
        <v>3.3019014477770594</v>
      </c>
      <c r="FJ119" s="77">
        <v>4.8071705765593977</v>
      </c>
      <c r="FK119" s="77">
        <v>6.0256143019484609</v>
      </c>
      <c r="FL119" s="77">
        <v>12.268366210912665</v>
      </c>
      <c r="FM119" s="70"/>
      <c r="FN119" s="70"/>
      <c r="FO119" s="70"/>
      <c r="FP119" s="70"/>
      <c r="FQ119" s="70"/>
      <c r="FR119" s="70"/>
      <c r="FS119" s="70"/>
      <c r="FT119" s="70">
        <v>1.2888062808932308</v>
      </c>
      <c r="FU119" s="70">
        <v>8.5948387283759846</v>
      </c>
      <c r="FV119" s="70">
        <v>88.401935461967966</v>
      </c>
      <c r="FW119" s="70"/>
      <c r="FX119" s="75"/>
      <c r="FY119" s="70"/>
      <c r="FZ119" s="70"/>
      <c r="GA119" s="70"/>
      <c r="GB119" s="70"/>
      <c r="GC119" s="70"/>
      <c r="GD119" s="70"/>
      <c r="GE119" s="70"/>
      <c r="GF119" s="70"/>
      <c r="GG119" s="70"/>
      <c r="GH119" s="70"/>
    </row>
    <row r="120" spans="1:190" x14ac:dyDescent="0.2">
      <c r="A120" s="71" t="s">
        <v>439</v>
      </c>
      <c r="B120" s="70">
        <v>1.0266322948767461</v>
      </c>
      <c r="C120" s="70">
        <v>0.32352150917860828</v>
      </c>
      <c r="D120" s="70">
        <v>1.043411541478616</v>
      </c>
      <c r="E120" s="70">
        <v>1.2224266437064533</v>
      </c>
      <c r="F120" s="70">
        <v>1.9647762532824228E-2</v>
      </c>
      <c r="G120" s="70">
        <v>0.46398227973581663</v>
      </c>
      <c r="H120" s="70">
        <v>0.33012680080097834</v>
      </c>
      <c r="I120" s="70">
        <v>0.61670347219612953</v>
      </c>
      <c r="J120" s="70">
        <v>0.41723835949512433</v>
      </c>
      <c r="K120" s="70">
        <v>7.2138114129479805</v>
      </c>
      <c r="L120" s="70">
        <v>1.8862944095241903</v>
      </c>
      <c r="M120" s="70">
        <v>3.3647007985388104E-2</v>
      </c>
      <c r="N120" s="70">
        <v>7.8255635026741883</v>
      </c>
      <c r="O120" s="70">
        <v>3.1644667057449644E-2</v>
      </c>
      <c r="P120" s="70"/>
      <c r="Q120" s="70"/>
      <c r="R120" s="70"/>
      <c r="S120" s="70"/>
      <c r="T120" s="70"/>
      <c r="U120" s="70">
        <v>6.5075237828635821E-2</v>
      </c>
      <c r="V120" s="70">
        <v>9.5685918195188275</v>
      </c>
      <c r="W120" s="70">
        <v>4.3981072281272251</v>
      </c>
      <c r="X120" s="70">
        <v>4.4112009776646124</v>
      </c>
      <c r="Y120" s="70">
        <v>3.7351005373713133</v>
      </c>
      <c r="Z120" s="70">
        <v>0.31036628780750108</v>
      </c>
      <c r="AA120" s="70">
        <v>1.4948613892383904E-2</v>
      </c>
      <c r="AB120" s="70">
        <v>2.7452192683977086</v>
      </c>
      <c r="AC120" s="70">
        <v>0.38365382530793307</v>
      </c>
      <c r="AD120" s="70">
        <v>0.86382212586924534</v>
      </c>
      <c r="AE120" s="70">
        <v>0.28246501724304673</v>
      </c>
      <c r="AF120" s="70">
        <v>3.0006077314951432E-2</v>
      </c>
      <c r="AG120" s="70">
        <v>0.25290992640442461</v>
      </c>
      <c r="AH120" s="70">
        <v>0.45631840371188936</v>
      </c>
      <c r="AI120" s="70">
        <v>3.1639574440097268E-2</v>
      </c>
      <c r="AJ120" s="70">
        <v>5.2226386562270637</v>
      </c>
      <c r="AK120" s="70">
        <v>9.1041614254076215</v>
      </c>
      <c r="AL120" s="70">
        <v>0.24045051729271913</v>
      </c>
      <c r="AM120" s="70">
        <v>0.19733225081558262</v>
      </c>
      <c r="AN120" s="70">
        <v>1.056543323114294</v>
      </c>
      <c r="AO120" s="70">
        <v>0.71222659830520196</v>
      </c>
      <c r="AP120" s="70">
        <v>1.4413351666326251</v>
      </c>
      <c r="AQ120" s="70">
        <v>1.0945956510269637</v>
      </c>
      <c r="AR120" s="70">
        <v>2.052549223238467E-2</v>
      </c>
      <c r="AS120" s="70">
        <v>5.0353728106038893E-2</v>
      </c>
      <c r="AT120" s="70">
        <v>1.2981634970009117</v>
      </c>
      <c r="AU120" s="70">
        <v>7.5357239233544266</v>
      </c>
      <c r="AV120" s="70">
        <v>7.2205729318056591</v>
      </c>
      <c r="AW120" s="70">
        <v>18.627424607147287</v>
      </c>
      <c r="AX120" s="70">
        <v>12.616847010649495</v>
      </c>
      <c r="AY120" s="70">
        <v>18.97229292362023</v>
      </c>
      <c r="AZ120" s="70">
        <v>0.4364918423703853</v>
      </c>
      <c r="BA120" s="70">
        <v>0.26513336716478042</v>
      </c>
      <c r="BB120" s="70">
        <v>2.1541634155844275E-2</v>
      </c>
      <c r="BC120" s="70">
        <v>0.29190409956511415</v>
      </c>
      <c r="BD120" s="70">
        <v>76.811944266606531</v>
      </c>
      <c r="BE120" s="70">
        <v>13.776047456468493</v>
      </c>
      <c r="BF120" s="70">
        <v>4.5830829494987055</v>
      </c>
      <c r="BG120" s="70">
        <v>5.1930999251476759</v>
      </c>
      <c r="BH120" s="70">
        <v>68.705815435668143</v>
      </c>
      <c r="BI120" s="70">
        <v>6.284771708044123</v>
      </c>
      <c r="BJ120" s="70">
        <v>8.8323020142926278</v>
      </c>
      <c r="BK120" s="70">
        <v>1.463063108908317</v>
      </c>
      <c r="BL120" s="70">
        <v>0.20272042787192326</v>
      </c>
      <c r="BM120" s="70">
        <v>1.7992003375963128</v>
      </c>
      <c r="BN120" s="70">
        <v>5.8938975269243414</v>
      </c>
      <c r="BO120" s="70">
        <v>2.7081233776681284</v>
      </c>
      <c r="BP120" s="70">
        <v>0.76363428826573077</v>
      </c>
      <c r="BQ120" s="70">
        <v>1.7831033565173557</v>
      </c>
      <c r="BR120" s="70">
        <v>3.546813538580099</v>
      </c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7">
        <v>24.098538799559549</v>
      </c>
      <c r="FD120" s="77">
        <v>29.961328234865903</v>
      </c>
      <c r="FE120" s="77">
        <v>32.283116691433428</v>
      </c>
      <c r="FF120" s="77">
        <v>39.514974511384722</v>
      </c>
      <c r="FG120" s="77">
        <v>45.214817702000737</v>
      </c>
      <c r="FH120" s="77">
        <v>7.4090276359821088</v>
      </c>
      <c r="FI120" s="77">
        <v>9.5634742871074447</v>
      </c>
      <c r="FJ120" s="77">
        <v>12.383686870097115</v>
      </c>
      <c r="FK120" s="77">
        <v>17.47358485720499</v>
      </c>
      <c r="FL120" s="77">
        <v>85.215546844166838</v>
      </c>
      <c r="FM120" s="70"/>
      <c r="FN120" s="70"/>
      <c r="FO120" s="70"/>
      <c r="FP120" s="70"/>
      <c r="FQ120" s="70"/>
      <c r="FR120" s="70"/>
      <c r="FS120" s="70"/>
      <c r="FT120" s="70">
        <v>2.7099003114459865</v>
      </c>
      <c r="FU120" s="70">
        <v>78.502218436318145</v>
      </c>
      <c r="FV120" s="70">
        <v>723.10817013071016</v>
      </c>
      <c r="FW120" s="70"/>
      <c r="FX120" s="75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</row>
    <row r="121" spans="1:190" x14ac:dyDescent="0.2">
      <c r="A121" s="71" t="s">
        <v>440</v>
      </c>
      <c r="B121" s="70">
        <v>1.3837236579026175</v>
      </c>
      <c r="C121" s="70">
        <v>0.30555700016894993</v>
      </c>
      <c r="D121" s="70">
        <v>1.0796022615700214</v>
      </c>
      <c r="E121" s="70">
        <v>2.0713611304358643</v>
      </c>
      <c r="F121" s="70">
        <v>2.1147941675710626E-2</v>
      </c>
      <c r="G121" s="70">
        <v>0.91041095122894156</v>
      </c>
      <c r="H121" s="70">
        <v>0.3162759059802086</v>
      </c>
      <c r="I121" s="70">
        <v>0.58757111826486752</v>
      </c>
      <c r="J121" s="70">
        <v>1.4609813338131914</v>
      </c>
      <c r="K121" s="70">
        <v>15.017597809721217</v>
      </c>
      <c r="L121" s="70">
        <v>4.6186504746759178</v>
      </c>
      <c r="M121" s="70">
        <v>5.5437297906422343E-2</v>
      </c>
      <c r="N121" s="70">
        <v>0.22800110883351368</v>
      </c>
      <c r="O121" s="70">
        <v>2.1422252203105265E-2</v>
      </c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>
        <v>23.285516338954888</v>
      </c>
      <c r="AX121" s="70"/>
      <c r="AY121" s="70"/>
      <c r="AZ121" s="70"/>
      <c r="BA121" s="70"/>
      <c r="BB121" s="70">
        <v>5.3030576016992174E-2</v>
      </c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7"/>
      <c r="FD121" s="77"/>
      <c r="FE121" s="77"/>
      <c r="FF121" s="77"/>
      <c r="FG121" s="77"/>
      <c r="FH121" s="77"/>
      <c r="FI121" s="77"/>
      <c r="FJ121" s="77"/>
      <c r="FK121" s="77"/>
      <c r="FL121" s="77"/>
      <c r="FM121" s="70"/>
      <c r="FN121" s="70"/>
      <c r="FO121" s="70"/>
      <c r="FP121" s="70"/>
      <c r="FQ121" s="70"/>
      <c r="FR121" s="70"/>
      <c r="FS121" s="70"/>
      <c r="FT121" s="70"/>
      <c r="FU121" s="70">
        <v>21.318495970006271</v>
      </c>
      <c r="FV121" s="70">
        <v>72.734783129358703</v>
      </c>
      <c r="FW121" s="70"/>
      <c r="FX121" s="75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</row>
    <row r="122" spans="1:190" x14ac:dyDescent="0.2">
      <c r="A122" s="71" t="s">
        <v>441</v>
      </c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>
        <v>0.22534712086299377</v>
      </c>
      <c r="S122" s="70"/>
      <c r="T122" s="70"/>
      <c r="U122" s="70">
        <v>4.4825961587251981E-2</v>
      </c>
      <c r="V122" s="70"/>
      <c r="W122" s="70">
        <v>0.23117351735730163</v>
      </c>
      <c r="X122" s="70">
        <v>0.27980023695349687</v>
      </c>
      <c r="Y122" s="70">
        <v>1.5735106007136113</v>
      </c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>
        <v>0.96411018707411089</v>
      </c>
      <c r="AN122" s="70">
        <v>12.98740989634037</v>
      </c>
      <c r="AO122" s="70">
        <v>1.1702268988548277</v>
      </c>
      <c r="AP122" s="70">
        <v>10.153288948084169</v>
      </c>
      <c r="AQ122" s="70">
        <v>1.8544488977924174</v>
      </c>
      <c r="AR122" s="70">
        <v>0.58562395335030826</v>
      </c>
      <c r="AS122" s="70">
        <v>1.824798444385463</v>
      </c>
      <c r="AT122" s="70">
        <v>16.783260620706063</v>
      </c>
      <c r="AU122" s="70">
        <v>23.760309111734067</v>
      </c>
      <c r="AV122" s="70">
        <v>2.066807042689788</v>
      </c>
      <c r="AW122" s="70">
        <v>172.50121155972971</v>
      </c>
      <c r="AX122" s="70">
        <v>88.498291933352661</v>
      </c>
      <c r="AY122" s="70">
        <v>4.4005558437470986</v>
      </c>
      <c r="AZ122" s="70">
        <v>2.0130198892370119</v>
      </c>
      <c r="BA122" s="70">
        <v>4.1568534754744322</v>
      </c>
      <c r="BB122" s="70">
        <v>0.24073467830685169</v>
      </c>
      <c r="BC122" s="70">
        <v>1.3549273577100658</v>
      </c>
      <c r="BD122" s="70"/>
      <c r="BE122" s="70">
        <v>8.3475749125611724E-3</v>
      </c>
      <c r="BF122" s="70"/>
      <c r="BG122" s="70">
        <v>9.1970332304697186E-2</v>
      </c>
      <c r="BH122" s="70"/>
      <c r="BI122" s="70">
        <v>0.47444676204843156</v>
      </c>
      <c r="BJ122" s="70">
        <v>1.6643555613651251</v>
      </c>
      <c r="BK122" s="70"/>
      <c r="BL122" s="70"/>
      <c r="BM122" s="70">
        <v>1.1954983227168394</v>
      </c>
      <c r="BN122" s="70">
        <v>0.72460053584202433</v>
      </c>
      <c r="BO122" s="70">
        <v>2.2585926390861619</v>
      </c>
      <c r="BP122" s="70">
        <v>1.836421370920577</v>
      </c>
      <c r="BQ122" s="70">
        <v>33.798335227340011</v>
      </c>
      <c r="BR122" s="70">
        <v>2.2373253809456335</v>
      </c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70"/>
      <c r="DF122" s="70"/>
      <c r="DG122" s="70"/>
      <c r="DH122" s="70"/>
      <c r="DI122" s="70"/>
      <c r="DJ122" s="70"/>
      <c r="DK122" s="70"/>
      <c r="DL122" s="70"/>
      <c r="DM122" s="70"/>
      <c r="DN122" s="70"/>
      <c r="DO122" s="70"/>
      <c r="DP122" s="70"/>
      <c r="DQ122" s="70"/>
      <c r="DR122" s="70"/>
      <c r="DS122" s="70"/>
      <c r="DT122" s="70"/>
      <c r="DU122" s="70"/>
      <c r="DV122" s="70"/>
      <c r="DW122" s="70"/>
      <c r="DX122" s="70"/>
      <c r="DY122" s="70"/>
      <c r="DZ122" s="70"/>
      <c r="EA122" s="70"/>
      <c r="EB122" s="70"/>
      <c r="EC122" s="70"/>
      <c r="ED122" s="70"/>
      <c r="EE122" s="70"/>
      <c r="EF122" s="70"/>
      <c r="EG122" s="70"/>
      <c r="EH122" s="70"/>
      <c r="EI122" s="70"/>
      <c r="EJ122" s="70"/>
      <c r="EK122" s="70"/>
      <c r="EL122" s="70"/>
      <c r="EM122" s="70"/>
      <c r="EN122" s="70"/>
      <c r="EO122" s="70"/>
      <c r="EP122" s="70"/>
      <c r="EQ122" s="70"/>
      <c r="ER122" s="70"/>
      <c r="ES122" s="70"/>
      <c r="ET122" s="70"/>
      <c r="EU122" s="70"/>
      <c r="EV122" s="70"/>
      <c r="EW122" s="70"/>
      <c r="EX122" s="70"/>
      <c r="EY122" s="70"/>
      <c r="EZ122" s="70"/>
      <c r="FA122" s="70"/>
      <c r="FB122" s="70"/>
      <c r="FC122" s="77">
        <v>20.366679241430759</v>
      </c>
      <c r="FD122" s="77">
        <v>28.176259386763562</v>
      </c>
      <c r="FE122" s="77">
        <v>33.969314030075225</v>
      </c>
      <c r="FF122" s="77">
        <v>43.275176074229087</v>
      </c>
      <c r="FG122" s="77">
        <v>54.838456677075278</v>
      </c>
      <c r="FH122" s="77">
        <v>9.7134443844544087</v>
      </c>
      <c r="FI122" s="77">
        <v>15.816417509381548</v>
      </c>
      <c r="FJ122" s="77">
        <v>23.360291495233902</v>
      </c>
      <c r="FK122" s="77">
        <v>35.980145373722422</v>
      </c>
      <c r="FL122" s="77">
        <v>97.9389186819743</v>
      </c>
      <c r="FM122" s="70"/>
      <c r="FN122" s="70"/>
      <c r="FO122" s="70"/>
      <c r="FP122" s="70"/>
      <c r="FQ122" s="70"/>
      <c r="FR122" s="70"/>
      <c r="FS122" s="70"/>
      <c r="FT122" s="70">
        <v>2.1187215598310436</v>
      </c>
      <c r="FU122" s="70">
        <v>68.854706133631595</v>
      </c>
      <c r="FV122" s="70">
        <v>826.36896043132913</v>
      </c>
      <c r="FW122" s="70"/>
      <c r="FX122" s="75"/>
      <c r="FY122" s="70"/>
      <c r="FZ122" s="70"/>
      <c r="GA122" s="70"/>
      <c r="GB122" s="70"/>
      <c r="GC122" s="70"/>
      <c r="GD122" s="70"/>
      <c r="GE122" s="70"/>
      <c r="GF122" s="70"/>
      <c r="GG122" s="70"/>
      <c r="GH122" s="70"/>
    </row>
    <row r="123" spans="1:190" x14ac:dyDescent="0.2">
      <c r="A123" s="71" t="s">
        <v>442</v>
      </c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>
        <v>3.2009754788583256E-2</v>
      </c>
      <c r="V123" s="70"/>
      <c r="W123" s="70">
        <v>0.11320070236382355</v>
      </c>
      <c r="X123" s="70">
        <v>0.11137388786141134</v>
      </c>
      <c r="Y123" s="70">
        <v>4.3123383430257558</v>
      </c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>
        <v>3.7730460742615761E-2</v>
      </c>
      <c r="AN123" s="70"/>
      <c r="AO123" s="70">
        <v>0.15854108948507248</v>
      </c>
      <c r="AP123" s="70">
        <v>7.2804337429776629</v>
      </c>
      <c r="AQ123" s="70">
        <v>2.4889599155372917</v>
      </c>
      <c r="AR123" s="70">
        <v>7.7251465844649592E-2</v>
      </c>
      <c r="AS123" s="70">
        <v>0.10863174601185789</v>
      </c>
      <c r="AT123" s="70">
        <v>0.98323419152984759</v>
      </c>
      <c r="AU123" s="70">
        <v>1.9418067324758781</v>
      </c>
      <c r="AV123" s="70">
        <v>0.16855472862501328</v>
      </c>
      <c r="AW123" s="70">
        <v>22.313630721130888</v>
      </c>
      <c r="AX123" s="70">
        <v>6.6214228039521439</v>
      </c>
      <c r="AY123" s="70">
        <v>19.342821644270675</v>
      </c>
      <c r="AZ123" s="70">
        <v>2.0575335606088716</v>
      </c>
      <c r="BA123" s="70">
        <v>3.2363322241871701</v>
      </c>
      <c r="BB123" s="70">
        <v>0.31557388398730668</v>
      </c>
      <c r="BC123" s="70">
        <v>0.6677807763837631</v>
      </c>
      <c r="BD123" s="70"/>
      <c r="BE123" s="70">
        <v>0.1046320785905871</v>
      </c>
      <c r="BF123" s="70">
        <v>122.86539025814234</v>
      </c>
      <c r="BG123" s="70">
        <v>5.1273621103050617</v>
      </c>
      <c r="BH123" s="70">
        <v>0.30067729144653532</v>
      </c>
      <c r="BI123" s="70">
        <v>0.38922892812029386</v>
      </c>
      <c r="BJ123" s="70">
        <v>1.3654604084660995</v>
      </c>
      <c r="BK123" s="70">
        <v>0.16923938733437971</v>
      </c>
      <c r="BL123" s="70"/>
      <c r="BM123" s="70">
        <v>9.1179425978727835</v>
      </c>
      <c r="BN123" s="70">
        <v>1.8270751745441469</v>
      </c>
      <c r="BO123" s="70">
        <v>1.0409966285346559</v>
      </c>
      <c r="BP123" s="70">
        <v>0.46791576385095252</v>
      </c>
      <c r="BQ123" s="70">
        <v>4.5439952014251714</v>
      </c>
      <c r="BR123" s="70">
        <v>1.323604573861028</v>
      </c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7">
        <v>0.24365272598040327</v>
      </c>
      <c r="FD123" s="77">
        <v>0.3630440686113201</v>
      </c>
      <c r="FE123" s="77">
        <v>0.44867719202129697</v>
      </c>
      <c r="FF123" s="77">
        <v>0.50799694110721716</v>
      </c>
      <c r="FG123" s="77">
        <v>0.679078010219339</v>
      </c>
      <c r="FH123" s="77">
        <v>6.1089201308611667E-2</v>
      </c>
      <c r="FI123" s="77">
        <v>9.9265027259437144E-2</v>
      </c>
      <c r="FJ123" s="77">
        <v>0.18853716208871132</v>
      </c>
      <c r="FK123" s="77">
        <v>0.26865049351489279</v>
      </c>
      <c r="FL123" s="77">
        <v>0.79478070552404612</v>
      </c>
      <c r="FM123" s="70"/>
      <c r="FN123" s="70"/>
      <c r="FO123" s="70"/>
      <c r="FP123" s="70"/>
      <c r="FQ123" s="70"/>
      <c r="FR123" s="70"/>
      <c r="FS123" s="70"/>
      <c r="FT123" s="70">
        <v>1.73728093601345</v>
      </c>
      <c r="FU123" s="70">
        <v>19.541356645799912</v>
      </c>
      <c r="FV123" s="70">
        <v>245.94609188773299</v>
      </c>
      <c r="FW123" s="70"/>
      <c r="FX123" s="75"/>
      <c r="FY123" s="70"/>
      <c r="FZ123" s="70"/>
      <c r="GA123" s="70"/>
      <c r="GB123" s="70"/>
      <c r="GC123" s="70"/>
      <c r="GD123" s="70"/>
      <c r="GE123" s="70"/>
      <c r="GF123" s="70"/>
      <c r="GG123" s="70"/>
      <c r="GH123" s="70"/>
    </row>
    <row r="124" spans="1:190" x14ac:dyDescent="0.2">
      <c r="A124" s="71" t="s">
        <v>443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>
        <v>1.0598168441078575</v>
      </c>
      <c r="X124" s="70">
        <v>0.82063293805330884</v>
      </c>
      <c r="Y124" s="70">
        <v>3.8819097811405379</v>
      </c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>
        <v>3.3824376217013945E-2</v>
      </c>
      <c r="AN124" s="70">
        <v>0.8098086551853293</v>
      </c>
      <c r="AO124" s="70">
        <v>0.13804241572536019</v>
      </c>
      <c r="AP124" s="70">
        <v>0.75687893568655917</v>
      </c>
      <c r="AQ124" s="70">
        <v>0.19387306363886156</v>
      </c>
      <c r="AR124" s="70">
        <v>6.188055496567163E-2</v>
      </c>
      <c r="AS124" s="70">
        <v>0.28979216226475712</v>
      </c>
      <c r="AT124" s="70">
        <v>2.627915006030781</v>
      </c>
      <c r="AU124" s="70">
        <v>8.6893323869672709</v>
      </c>
      <c r="AV124" s="70">
        <v>0.75408709534635654</v>
      </c>
      <c r="AW124" s="70">
        <v>7.9521110665900734</v>
      </c>
      <c r="AX124" s="70">
        <v>12.375551381858417</v>
      </c>
      <c r="AY124" s="70">
        <v>63.688683625517122</v>
      </c>
      <c r="AZ124" s="70">
        <v>42.632706902091208</v>
      </c>
      <c r="BA124" s="70">
        <v>36.946943103146893</v>
      </c>
      <c r="BB124" s="70">
        <v>4.3370729708581512</v>
      </c>
      <c r="BC124" s="70">
        <v>9.0319390244769409</v>
      </c>
      <c r="BD124" s="70"/>
      <c r="BE124" s="70"/>
      <c r="BF124" s="70">
        <v>78.194849938781886</v>
      </c>
      <c r="BG124" s="70">
        <v>3.6520711732202567</v>
      </c>
      <c r="BH124" s="70">
        <v>0.300491867205881</v>
      </c>
      <c r="BI124" s="70">
        <v>0.18665994902337721</v>
      </c>
      <c r="BJ124" s="70">
        <v>0.65465443804065915</v>
      </c>
      <c r="BK124" s="70">
        <v>0.52109235772356377</v>
      </c>
      <c r="BL124" s="70">
        <v>0.13553772839727654</v>
      </c>
      <c r="BM124" s="70">
        <v>2.1063800570977333</v>
      </c>
      <c r="BN124" s="70">
        <v>16.573529137074466</v>
      </c>
      <c r="BO124" s="70">
        <v>1.1506524435592036</v>
      </c>
      <c r="BP124" s="70">
        <v>0.93414179669053832</v>
      </c>
      <c r="BQ124" s="70">
        <v>2.5670768599955358</v>
      </c>
      <c r="BR124" s="70">
        <v>3.4246598687431828</v>
      </c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7">
        <v>0.6182374978222539</v>
      </c>
      <c r="FD124" s="77">
        <v>0.87567856645749453</v>
      </c>
      <c r="FE124" s="77">
        <v>1.0148847309403628</v>
      </c>
      <c r="FF124" s="77">
        <v>1.2200224271571085</v>
      </c>
      <c r="FG124" s="77">
        <v>1.1807359872406846</v>
      </c>
      <c r="FH124" s="77">
        <v>0.31718080143282573</v>
      </c>
      <c r="FI124" s="77">
        <v>0.51694975760656925</v>
      </c>
      <c r="FJ124" s="77">
        <v>0.79596803132906069</v>
      </c>
      <c r="FK124" s="77">
        <v>1.1482498325705657</v>
      </c>
      <c r="FL124" s="77">
        <v>2.7505518271396325</v>
      </c>
      <c r="FM124" s="70"/>
      <c r="FN124" s="70"/>
      <c r="FO124" s="70"/>
      <c r="FP124" s="70"/>
      <c r="FQ124" s="70"/>
      <c r="FR124" s="70"/>
      <c r="FS124" s="70">
        <v>41.937814133479677</v>
      </c>
      <c r="FT124" s="70">
        <v>0.51737200418214002</v>
      </c>
      <c r="FU124" s="70">
        <v>26.112207162222354</v>
      </c>
      <c r="FV124" s="70">
        <v>386.49045266500269</v>
      </c>
      <c r="FW124" s="70"/>
      <c r="FX124" s="75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</row>
    <row r="125" spans="1:190" x14ac:dyDescent="0.2">
      <c r="A125" s="71" t="s">
        <v>444</v>
      </c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>
        <v>4.8502197159713107</v>
      </c>
      <c r="X125" s="70">
        <v>0.33137567043406252</v>
      </c>
      <c r="Y125" s="70">
        <v>3.8471657825707335</v>
      </c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>
        <v>7.3033450891951276E-2</v>
      </c>
      <c r="AN125" s="70">
        <v>1.2277848273837071</v>
      </c>
      <c r="AO125" s="70">
        <v>0.33547792132265447</v>
      </c>
      <c r="AP125" s="70">
        <v>0.89258686377695795</v>
      </c>
      <c r="AQ125" s="70">
        <v>1.3432912163410751</v>
      </c>
      <c r="AR125" s="70">
        <v>2.0809981084843318E-2</v>
      </c>
      <c r="AS125" s="70">
        <v>5.1944039836491526E-2</v>
      </c>
      <c r="AT125" s="70">
        <v>0.46973005990842293</v>
      </c>
      <c r="AU125" s="70">
        <v>0.9712737546206498</v>
      </c>
      <c r="AV125" s="70">
        <v>8.4365933282549682E-2</v>
      </c>
      <c r="AW125" s="70">
        <v>5.1928592974958159</v>
      </c>
      <c r="AX125" s="70">
        <v>1.2780365243190004</v>
      </c>
      <c r="AY125" s="70">
        <v>2.7495224728976129</v>
      </c>
      <c r="AZ125" s="70">
        <v>1.6186538165501905</v>
      </c>
      <c r="BA125" s="70">
        <v>1.2724334902133267</v>
      </c>
      <c r="BB125" s="70">
        <v>0.12336099805337403</v>
      </c>
      <c r="BC125" s="70">
        <v>1.0384242202595915</v>
      </c>
      <c r="BD125" s="70">
        <v>6.5667559664732114</v>
      </c>
      <c r="BE125" s="70">
        <v>1.2379435238757872</v>
      </c>
      <c r="BF125" s="70">
        <v>31.956286778515686</v>
      </c>
      <c r="BG125" s="70">
        <v>6.6689304696966725E-2</v>
      </c>
      <c r="BH125" s="70">
        <v>15.204248253632944</v>
      </c>
      <c r="BI125" s="70">
        <v>7.3624778803481954</v>
      </c>
      <c r="BJ125" s="70">
        <v>25.717087360925692</v>
      </c>
      <c r="BK125" s="70">
        <v>3.8335865820924186E-2</v>
      </c>
      <c r="BL125" s="70"/>
      <c r="BM125" s="70">
        <v>0.61523968543602503</v>
      </c>
      <c r="BN125" s="70">
        <v>0.20112189868966068</v>
      </c>
      <c r="BO125" s="70">
        <v>1.9890061524765339</v>
      </c>
      <c r="BP125" s="70">
        <v>0.30898236148646308</v>
      </c>
      <c r="BQ125" s="70">
        <v>1.9523051410776986</v>
      </c>
      <c r="BR125" s="70">
        <v>0.82251526592439184</v>
      </c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7">
        <v>1.9375071492351754E-3</v>
      </c>
      <c r="FD125" s="77">
        <v>7.0558222795470372E-3</v>
      </c>
      <c r="FE125" s="77">
        <v>2.2859021567845942E-3</v>
      </c>
      <c r="FF125" s="77">
        <v>3.7266052581419913E-2</v>
      </c>
      <c r="FG125" s="77">
        <v>1.7985213231677458E-2</v>
      </c>
      <c r="FH125" s="77">
        <v>8.997971773253749E-4</v>
      </c>
      <c r="FI125" s="77">
        <v>2.8021828082690279E-4</v>
      </c>
      <c r="FJ125" s="77">
        <v>8.8491501771609353E-3</v>
      </c>
      <c r="FK125" s="77">
        <v>9.6777476924793104E-3</v>
      </c>
      <c r="FL125" s="77">
        <v>3.4304849772289897E-2</v>
      </c>
      <c r="FM125" s="70"/>
      <c r="FN125" s="70"/>
      <c r="FO125" s="70"/>
      <c r="FP125" s="70"/>
      <c r="FQ125" s="70"/>
      <c r="FR125" s="70"/>
      <c r="FS125" s="70">
        <v>69.884441973491633</v>
      </c>
      <c r="FT125" s="70">
        <v>1.4419634844615716</v>
      </c>
      <c r="FU125" s="70">
        <v>1.4093819072605551</v>
      </c>
      <c r="FV125" s="70">
        <v>194.66767510230699</v>
      </c>
      <c r="FW125" s="70"/>
      <c r="FX125" s="75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</row>
    <row r="126" spans="1:190" x14ac:dyDescent="0.2">
      <c r="A126" s="71" t="s">
        <v>445</v>
      </c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>
        <v>0.13866454100379302</v>
      </c>
      <c r="X126" s="70"/>
      <c r="Y126" s="70">
        <v>0.38856929983454647</v>
      </c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>
        <v>0.18378582078250469</v>
      </c>
      <c r="AV126" s="70">
        <v>1.595483351766205E-2</v>
      </c>
      <c r="AW126" s="70">
        <v>0.11053727279899676</v>
      </c>
      <c r="AX126" s="70">
        <v>0.10778089154626595</v>
      </c>
      <c r="AY126" s="70">
        <v>7.7970801000729437E-2</v>
      </c>
      <c r="AZ126" s="70">
        <v>1.6088096278695234</v>
      </c>
      <c r="BA126" s="70">
        <v>7.6879615863438406</v>
      </c>
      <c r="BB126" s="70">
        <v>6.666028709730093E-2</v>
      </c>
      <c r="BC126" s="70">
        <v>0.15505266680419716</v>
      </c>
      <c r="BD126" s="70"/>
      <c r="BE126" s="70"/>
      <c r="BF126" s="70"/>
      <c r="BG126" s="70"/>
      <c r="BH126" s="70"/>
      <c r="BI126" s="70"/>
      <c r="BJ126" s="70">
        <v>2.7761017708966825E-2</v>
      </c>
      <c r="BK126" s="70">
        <v>7.7627068029737539E-2</v>
      </c>
      <c r="BL126" s="70"/>
      <c r="BM126" s="70"/>
      <c r="BN126" s="70">
        <v>1.0876255667637142</v>
      </c>
      <c r="BO126" s="70">
        <v>0.46567358194239544</v>
      </c>
      <c r="BP126" s="70">
        <v>0.13927725879153327</v>
      </c>
      <c r="BQ126" s="70">
        <v>1.35063624533288</v>
      </c>
      <c r="BR126" s="70">
        <v>1.9698634848397254</v>
      </c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7">
        <v>2.7133249425716515</v>
      </c>
      <c r="FD126" s="77">
        <v>4.5850074666976628</v>
      </c>
      <c r="FE126" s="77">
        <v>5.6758488054119915</v>
      </c>
      <c r="FF126" s="77">
        <v>7.8830273425809558</v>
      </c>
      <c r="FG126" s="77">
        <v>10.591641905004396</v>
      </c>
      <c r="FH126" s="77">
        <v>0.78589747179254943</v>
      </c>
      <c r="FI126" s="77">
        <v>1.6763613839130802</v>
      </c>
      <c r="FJ126" s="77">
        <v>2.5990509866359193</v>
      </c>
      <c r="FK126" s="77">
        <v>3.9538948344460558</v>
      </c>
      <c r="FL126" s="77">
        <v>13.892389801355227</v>
      </c>
      <c r="FM126" s="70"/>
      <c r="FN126" s="70"/>
      <c r="FO126" s="70"/>
      <c r="FP126" s="70"/>
      <c r="FQ126" s="70"/>
      <c r="FR126" s="70"/>
      <c r="FS126" s="70">
        <v>107.1659309334551</v>
      </c>
      <c r="FT126" s="70">
        <v>0.69109417561822706</v>
      </c>
      <c r="FU126" s="70">
        <v>32.331061006736391</v>
      </c>
      <c r="FV126" s="70">
        <v>210.2047429082275</v>
      </c>
      <c r="FW126" s="70"/>
      <c r="FX126" s="75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</row>
    <row r="127" spans="1:190" x14ac:dyDescent="0.2">
      <c r="A127" s="71" t="s">
        <v>446</v>
      </c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>
        <v>0.17726032176138887</v>
      </c>
      <c r="X127" s="70"/>
      <c r="Y127" s="70">
        <v>0.1852308756059006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>
        <v>6.0136240705553528E-3</v>
      </c>
      <c r="AP127" s="70">
        <v>3.295587269478064E-2</v>
      </c>
      <c r="AQ127" s="70"/>
      <c r="AR127" s="70">
        <v>1.1273836803145441E-3</v>
      </c>
      <c r="AS127" s="70">
        <v>1.1457723739769353E-2</v>
      </c>
      <c r="AT127" s="70">
        <v>0.10359899854362616</v>
      </c>
      <c r="AU127" s="70">
        <v>0.16524429037934132</v>
      </c>
      <c r="AV127" s="70">
        <v>1.4344579064761956E-2</v>
      </c>
      <c r="AW127" s="70"/>
      <c r="AX127" s="70">
        <v>0.1400250457500849</v>
      </c>
      <c r="AY127" s="70">
        <v>0.13790989502135648</v>
      </c>
      <c r="AZ127" s="70">
        <v>0.20226208131370491</v>
      </c>
      <c r="BA127" s="70">
        <v>2.9379412499958329E-2</v>
      </c>
      <c r="BB127" s="70">
        <v>3.089895540043166</v>
      </c>
      <c r="BC127" s="70">
        <v>0.79913682814797926</v>
      </c>
      <c r="BD127" s="70"/>
      <c r="BE127" s="70"/>
      <c r="BF127" s="70"/>
      <c r="BG127" s="70">
        <v>8.6596734663394515E-2</v>
      </c>
      <c r="BH127" s="70">
        <v>0.44456030711564692</v>
      </c>
      <c r="BI127" s="70"/>
      <c r="BJ127" s="70">
        <v>8.49642684915905E-2</v>
      </c>
      <c r="BK127" s="70"/>
      <c r="BL127" s="70"/>
      <c r="BM127" s="70"/>
      <c r="BN127" s="70"/>
      <c r="BO127" s="70"/>
      <c r="BP127" s="70"/>
      <c r="BQ127" s="70">
        <v>4.8926399147547053E-2</v>
      </c>
      <c r="BR127" s="70">
        <v>0.34460811481693365</v>
      </c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7">
        <v>1.3197960759330656E-2</v>
      </c>
      <c r="FD127" s="77">
        <v>4.170150527045708E-2</v>
      </c>
      <c r="FE127" s="77">
        <v>4.7926624099336609E-2</v>
      </c>
      <c r="FF127" s="77">
        <v>7.0913205556540806E-2</v>
      </c>
      <c r="FG127" s="77">
        <v>0.26423492728204073</v>
      </c>
      <c r="FH127" s="77">
        <v>5.8460511079350304E-3</v>
      </c>
      <c r="FI127" s="77">
        <v>1.3700016063990388E-2</v>
      </c>
      <c r="FJ127" s="77">
        <v>3.5086781177983646E-2</v>
      </c>
      <c r="FK127" s="77">
        <v>8.5914755080668828E-2</v>
      </c>
      <c r="FL127" s="77">
        <v>0.65394390337057595</v>
      </c>
      <c r="FM127" s="70"/>
      <c r="FN127" s="70"/>
      <c r="FO127" s="70"/>
      <c r="FP127" s="70"/>
      <c r="FQ127" s="70"/>
      <c r="FR127" s="70"/>
      <c r="FS127" s="70">
        <v>107.322878691832</v>
      </c>
      <c r="FT127" s="70">
        <v>-0.31010111543290853</v>
      </c>
      <c r="FU127" s="70">
        <v>1.2270030629120938</v>
      </c>
      <c r="FV127" s="70">
        <v>115.57774466563184</v>
      </c>
      <c r="FW127" s="70"/>
      <c r="FX127" s="75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</row>
    <row r="128" spans="1:190" x14ac:dyDescent="0.2">
      <c r="A128" s="71" t="s">
        <v>447</v>
      </c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>
        <v>1.5018884681861314E-3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>
        <v>3.202586934199511E-3</v>
      </c>
      <c r="AN128" s="70"/>
      <c r="AO128" s="70">
        <v>1.9345058149794842E-2</v>
      </c>
      <c r="AP128" s="70">
        <v>0.1059831364288925</v>
      </c>
      <c r="AQ128" s="70">
        <v>1.7947539361341341E-2</v>
      </c>
      <c r="AR128" s="70">
        <v>5.3630321543459121E-3</v>
      </c>
      <c r="AS128" s="70">
        <v>1.4514290870029908E-2</v>
      </c>
      <c r="AT128" s="70">
        <v>0.13117923730981865</v>
      </c>
      <c r="AU128" s="70"/>
      <c r="AV128" s="70"/>
      <c r="AW128" s="70"/>
      <c r="AX128" s="70">
        <v>6.2250699671972082E-2</v>
      </c>
      <c r="AY128" s="70">
        <v>11.10970460712524</v>
      </c>
      <c r="AZ128" s="70">
        <v>5.9520260257017741</v>
      </c>
      <c r="BA128" s="70">
        <v>4.5501760886175434E-2</v>
      </c>
      <c r="BB128" s="70">
        <v>2.5000197058511089E-3</v>
      </c>
      <c r="BC128" s="70">
        <v>0.28632535114756702</v>
      </c>
      <c r="BD128" s="70"/>
      <c r="BE128" s="70"/>
      <c r="BF128" s="70"/>
      <c r="BG128" s="70">
        <v>0.69432861452900907</v>
      </c>
      <c r="BH128" s="70"/>
      <c r="BI128" s="70">
        <v>0.24467833695007987</v>
      </c>
      <c r="BJ128" s="70">
        <v>0.85606026182352835</v>
      </c>
      <c r="BK128" s="70"/>
      <c r="BL128" s="70">
        <v>0.61967210968900743</v>
      </c>
      <c r="BM128" s="70"/>
      <c r="BN128" s="70"/>
      <c r="BO128" s="70">
        <v>6.9833240153355861E-2</v>
      </c>
      <c r="BP128" s="70"/>
      <c r="BQ128" s="70">
        <v>6.1291485911864861E-2</v>
      </c>
      <c r="BR128" s="70">
        <v>5.0441788422259166E-2</v>
      </c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70"/>
      <c r="CN128" s="70"/>
      <c r="CO128" s="70"/>
      <c r="CP128" s="70"/>
      <c r="CQ128" s="70"/>
      <c r="CR128" s="70"/>
      <c r="CS128" s="70"/>
      <c r="CT128" s="70"/>
      <c r="CU128" s="70"/>
      <c r="CV128" s="70"/>
      <c r="CW128" s="70"/>
      <c r="CX128" s="70"/>
      <c r="CY128" s="70"/>
      <c r="CZ128" s="70"/>
      <c r="DA128" s="70"/>
      <c r="DB128" s="70"/>
      <c r="DC128" s="70"/>
      <c r="DD128" s="70"/>
      <c r="DE128" s="70"/>
      <c r="DF128" s="70"/>
      <c r="DG128" s="70"/>
      <c r="DH128" s="70"/>
      <c r="DI128" s="70"/>
      <c r="DJ128" s="70"/>
      <c r="DK128" s="70"/>
      <c r="DL128" s="70"/>
      <c r="DM128" s="70"/>
      <c r="DN128" s="70"/>
      <c r="DO128" s="70"/>
      <c r="DP128" s="70"/>
      <c r="DQ128" s="70"/>
      <c r="DR128" s="70"/>
      <c r="DS128" s="70"/>
      <c r="DT128" s="70"/>
      <c r="DU128" s="70"/>
      <c r="DV128" s="70"/>
      <c r="DW128" s="70"/>
      <c r="DX128" s="70"/>
      <c r="DY128" s="70"/>
      <c r="DZ128" s="70"/>
      <c r="EA128" s="70"/>
      <c r="EB128" s="70"/>
      <c r="EC128" s="70"/>
      <c r="ED128" s="70"/>
      <c r="EE128" s="70"/>
      <c r="EF128" s="70"/>
      <c r="EG128" s="70"/>
      <c r="EH128" s="70"/>
      <c r="EI128" s="70"/>
      <c r="EJ128" s="70"/>
      <c r="EK128" s="70"/>
      <c r="EL128" s="70"/>
      <c r="EM128" s="70"/>
      <c r="EN128" s="70"/>
      <c r="EO128" s="70"/>
      <c r="EP128" s="70"/>
      <c r="EQ128" s="70"/>
      <c r="ER128" s="70"/>
      <c r="ES128" s="70"/>
      <c r="ET128" s="70"/>
      <c r="EU128" s="70"/>
      <c r="EV128" s="70"/>
      <c r="EW128" s="70"/>
      <c r="EX128" s="70"/>
      <c r="EY128" s="70"/>
      <c r="EZ128" s="70"/>
      <c r="FA128" s="70"/>
      <c r="FB128" s="70"/>
      <c r="FC128" s="77">
        <v>2.3314597596307425</v>
      </c>
      <c r="FD128" s="77">
        <v>2.9938260218566883</v>
      </c>
      <c r="FE128" s="77">
        <v>3.410150803986109</v>
      </c>
      <c r="FF128" s="77">
        <v>4.0264263599133212</v>
      </c>
      <c r="FG128" s="77">
        <v>6.440306964591298</v>
      </c>
      <c r="FH128" s="77">
        <v>0.7686593177362302</v>
      </c>
      <c r="FI128" s="77">
        <v>1.2553439447707977</v>
      </c>
      <c r="FJ128" s="77">
        <v>1.838151184060709</v>
      </c>
      <c r="FK128" s="77">
        <v>3.150272479456484</v>
      </c>
      <c r="FL128" s="77">
        <v>8.1444093862990545</v>
      </c>
      <c r="FM128" s="70"/>
      <c r="FN128" s="70"/>
      <c r="FO128" s="70"/>
      <c r="FP128" s="70"/>
      <c r="FQ128" s="70"/>
      <c r="FR128" s="70"/>
      <c r="FS128" s="70">
        <v>26.157978650382052</v>
      </c>
      <c r="FT128" s="70">
        <v>0.1734407140783992</v>
      </c>
      <c r="FU128" s="70">
        <v>5.9241494183505337</v>
      </c>
      <c r="FV128" s="70">
        <v>86.96822607650671</v>
      </c>
      <c r="FW128" s="70"/>
      <c r="FX128" s="75"/>
      <c r="FY128" s="70"/>
      <c r="FZ128" s="70"/>
      <c r="GA128" s="70"/>
      <c r="GB128" s="70"/>
      <c r="GC128" s="70"/>
      <c r="GD128" s="70"/>
      <c r="GE128" s="70"/>
      <c r="GF128" s="70"/>
      <c r="GG128" s="70"/>
      <c r="GH128" s="70"/>
    </row>
    <row r="129" spans="1:190" x14ac:dyDescent="0.2">
      <c r="A129" s="71" t="s">
        <v>448</v>
      </c>
      <c r="B129" s="70">
        <v>0.51336458942160046</v>
      </c>
      <c r="C129" s="70">
        <v>0.13880901876519006</v>
      </c>
      <c r="D129" s="70">
        <v>0.44148212224750971</v>
      </c>
      <c r="E129" s="70">
        <v>0.63097966714178144</v>
      </c>
      <c r="F129" s="70">
        <v>2.0121900140246747E-3</v>
      </c>
      <c r="G129" s="70">
        <v>5.7591797103042658E-2</v>
      </c>
      <c r="H129" s="70">
        <v>0.32217746877700632</v>
      </c>
      <c r="I129" s="70">
        <v>0.11838539563794877</v>
      </c>
      <c r="J129" s="70">
        <v>0.59685200226098034</v>
      </c>
      <c r="K129" s="70">
        <v>1.9294408723848373</v>
      </c>
      <c r="L129" s="70">
        <v>1.6968817230618058</v>
      </c>
      <c r="M129" s="70">
        <v>2.6733336504317133E-2</v>
      </c>
      <c r="N129" s="70">
        <v>1.5817642240614722</v>
      </c>
      <c r="O129" s="70">
        <v>1.4686957962419336E-2</v>
      </c>
      <c r="P129" s="70">
        <v>2.4246961494574237</v>
      </c>
      <c r="Q129" s="70">
        <v>0.68945703514726098</v>
      </c>
      <c r="R129" s="70">
        <v>2.8537611270008982</v>
      </c>
      <c r="S129" s="70">
        <v>0.10690227005063813</v>
      </c>
      <c r="T129" s="70">
        <v>0.34947572875880784</v>
      </c>
      <c r="U129" s="70">
        <v>7.5281851535455493E-3</v>
      </c>
      <c r="V129" s="70"/>
      <c r="W129" s="70">
        <v>0.10786984764221928</v>
      </c>
      <c r="X129" s="70">
        <v>0.10106683581853754</v>
      </c>
      <c r="Y129" s="70">
        <v>0.19635528668574317</v>
      </c>
      <c r="Z129" s="70">
        <v>0.2734968411923252</v>
      </c>
      <c r="AA129" s="70">
        <v>4.7661478873225617E-2</v>
      </c>
      <c r="AB129" s="70">
        <v>0.41574394070336901</v>
      </c>
      <c r="AC129" s="70">
        <v>0.29163022029129815</v>
      </c>
      <c r="AD129" s="70">
        <v>0.27627876217208652</v>
      </c>
      <c r="AE129" s="70">
        <v>4.2736269497468816E-2</v>
      </c>
      <c r="AF129" s="70">
        <v>4.5429452245461218E-3</v>
      </c>
      <c r="AG129" s="70">
        <v>3.8359551979703012E-2</v>
      </c>
      <c r="AH129" s="70">
        <v>6.9485853285975396E-2</v>
      </c>
      <c r="AI129" s="70">
        <v>4.7912278767169745E-3</v>
      </c>
      <c r="AJ129" s="70">
        <v>0.17737488886256933</v>
      </c>
      <c r="AK129" s="70">
        <v>1.3717621688358481</v>
      </c>
      <c r="AL129" s="70">
        <v>3.6175689659456674E-2</v>
      </c>
      <c r="AM129" s="70">
        <v>2.7273630029979304E-2</v>
      </c>
      <c r="AN129" s="70">
        <v>0.44980148232286998</v>
      </c>
      <c r="AO129" s="70">
        <v>0.91322335106163832</v>
      </c>
      <c r="AP129" s="70">
        <v>0.55582573443403216</v>
      </c>
      <c r="AQ129" s="70">
        <v>0.59606820097930568</v>
      </c>
      <c r="AR129" s="70">
        <v>1.7089132167215731E-2</v>
      </c>
      <c r="AS129" s="70">
        <v>2.7282180196046807E-2</v>
      </c>
      <c r="AT129" s="70">
        <v>0.85132695304264305</v>
      </c>
      <c r="AU129" s="70">
        <v>1.6811272496405314</v>
      </c>
      <c r="AV129" s="70">
        <v>1.7224403869219969</v>
      </c>
      <c r="AW129" s="70">
        <v>5.4432834455879018</v>
      </c>
      <c r="AX129" s="70">
        <v>0.963547547805368</v>
      </c>
      <c r="AY129" s="70">
        <v>4.5615255792570171</v>
      </c>
      <c r="AZ129" s="70">
        <v>0.20126415969926123</v>
      </c>
      <c r="BA129" s="70">
        <v>8.7071363524848622E-2</v>
      </c>
      <c r="BB129" s="70">
        <v>2.6980143132677156E-2</v>
      </c>
      <c r="BC129" s="70">
        <v>0.18433490901073021</v>
      </c>
      <c r="BD129" s="70">
        <v>26.740129169503092</v>
      </c>
      <c r="BE129" s="70">
        <v>3.2636476910912116</v>
      </c>
      <c r="BF129" s="70">
        <v>0.27247878314894752</v>
      </c>
      <c r="BG129" s="70">
        <v>1.5996112070055375</v>
      </c>
      <c r="BH129" s="70">
        <v>1.2711615347601906</v>
      </c>
      <c r="BI129" s="70">
        <v>16.724367043475556</v>
      </c>
      <c r="BJ129" s="70">
        <v>4.0075734576029749</v>
      </c>
      <c r="BK129" s="70">
        <v>0.75868875872537134</v>
      </c>
      <c r="BL129" s="70">
        <v>0.65807610143349449</v>
      </c>
      <c r="BM129" s="70">
        <v>1.2846955133651141</v>
      </c>
      <c r="BN129" s="70">
        <v>0.97745548113865699</v>
      </c>
      <c r="BO129" s="70">
        <v>1.5382649948475675</v>
      </c>
      <c r="BP129" s="70">
        <v>0.5295753088294799</v>
      </c>
      <c r="BQ129" s="70">
        <v>1.5962006814653267</v>
      </c>
      <c r="BR129" s="70">
        <v>2.3162603633710233</v>
      </c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G129" s="70"/>
      <c r="CH129" s="70"/>
      <c r="CI129" s="70"/>
      <c r="CJ129" s="70"/>
      <c r="CK129" s="70"/>
      <c r="CL129" s="70"/>
      <c r="CM129" s="70"/>
      <c r="CN129" s="70"/>
      <c r="CO129" s="70"/>
      <c r="CP129" s="70"/>
      <c r="CQ129" s="70"/>
      <c r="CR129" s="70"/>
      <c r="CS129" s="70"/>
      <c r="CT129" s="70"/>
      <c r="CU129" s="70"/>
      <c r="CV129" s="70"/>
      <c r="CW129" s="70"/>
      <c r="CX129" s="70"/>
      <c r="CY129" s="70"/>
      <c r="CZ129" s="70"/>
      <c r="DA129" s="70"/>
      <c r="DB129" s="70"/>
      <c r="DC129" s="70"/>
      <c r="DD129" s="70"/>
      <c r="DE129" s="70"/>
      <c r="DF129" s="70"/>
      <c r="DG129" s="70"/>
      <c r="DH129" s="70"/>
      <c r="DI129" s="70"/>
      <c r="DJ129" s="70"/>
      <c r="DK129" s="70"/>
      <c r="DL129" s="70"/>
      <c r="DM129" s="70"/>
      <c r="DN129" s="70"/>
      <c r="DO129" s="70"/>
      <c r="DP129" s="70"/>
      <c r="DQ129" s="70"/>
      <c r="DR129" s="70"/>
      <c r="DS129" s="70"/>
      <c r="DT129" s="70"/>
      <c r="DU129" s="70"/>
      <c r="DV129" s="70"/>
      <c r="DW129" s="70"/>
      <c r="DX129" s="70"/>
      <c r="DY129" s="70"/>
      <c r="DZ129" s="70"/>
      <c r="EA129" s="70"/>
      <c r="EB129" s="70"/>
      <c r="EC129" s="70"/>
      <c r="ED129" s="70"/>
      <c r="EE129" s="70"/>
      <c r="EF129" s="70"/>
      <c r="EG129" s="70"/>
      <c r="EH129" s="70"/>
      <c r="EI129" s="70"/>
      <c r="EJ129" s="70"/>
      <c r="EK129" s="70"/>
      <c r="EL129" s="70"/>
      <c r="EM129" s="70"/>
      <c r="EN129" s="70"/>
      <c r="EO129" s="70"/>
      <c r="EP129" s="70"/>
      <c r="EQ129" s="70"/>
      <c r="ER129" s="70"/>
      <c r="ES129" s="70"/>
      <c r="ET129" s="70"/>
      <c r="EU129" s="70"/>
      <c r="EV129" s="70"/>
      <c r="EW129" s="70"/>
      <c r="EX129" s="70"/>
      <c r="EY129" s="70"/>
      <c r="EZ129" s="70"/>
      <c r="FA129" s="70"/>
      <c r="FB129" s="70"/>
      <c r="FC129" s="77">
        <v>8.4603818214554263</v>
      </c>
      <c r="FD129" s="77">
        <v>10.959356590339894</v>
      </c>
      <c r="FE129" s="77">
        <v>12.072173278090924</v>
      </c>
      <c r="FF129" s="77">
        <v>14.40569576955726</v>
      </c>
      <c r="FG129" s="77">
        <v>14.792322482242286</v>
      </c>
      <c r="FH129" s="77">
        <v>4.6069631710638284</v>
      </c>
      <c r="FI129" s="77">
        <v>6.6813293084449494</v>
      </c>
      <c r="FJ129" s="77">
        <v>9.7232942530228215</v>
      </c>
      <c r="FK129" s="77">
        <v>14.040341555866579</v>
      </c>
      <c r="FL129" s="77">
        <v>36.854279894847146</v>
      </c>
      <c r="FM129" s="70"/>
      <c r="FN129" s="70"/>
      <c r="FO129" s="70"/>
      <c r="FP129" s="70"/>
      <c r="FQ129" s="70"/>
      <c r="FR129" s="70"/>
      <c r="FS129" s="70"/>
      <c r="FT129" s="70">
        <v>1.8226730766270902</v>
      </c>
      <c r="FU129" s="70">
        <v>0.860343957845907</v>
      </c>
      <c r="FV129" s="70">
        <v>235.08512036749534</v>
      </c>
      <c r="FW129" s="70"/>
      <c r="FX129" s="75"/>
      <c r="FY129" s="70"/>
      <c r="FZ129" s="70"/>
      <c r="GA129" s="70"/>
      <c r="GB129" s="70"/>
      <c r="GC129" s="70"/>
      <c r="GD129" s="70"/>
      <c r="GE129" s="70"/>
      <c r="GF129" s="70"/>
      <c r="GG129" s="70"/>
      <c r="GH129" s="70"/>
    </row>
    <row r="130" spans="1:190" x14ac:dyDescent="0.2">
      <c r="A130" s="71" t="s">
        <v>449</v>
      </c>
      <c r="B130" s="70">
        <v>0.5116724091346635</v>
      </c>
      <c r="C130" s="70">
        <v>0.1623028773836403</v>
      </c>
      <c r="D130" s="70">
        <v>0.52158247181750239</v>
      </c>
      <c r="E130" s="70">
        <v>0.62659084856879688</v>
      </c>
      <c r="F130" s="70"/>
      <c r="G130" s="70">
        <v>0.2313013833910606</v>
      </c>
      <c r="H130" s="70">
        <v>0.16477830399537913</v>
      </c>
      <c r="I130" s="70">
        <v>0.30777130101826622</v>
      </c>
      <c r="J130" s="70">
        <v>0.20829050000195484</v>
      </c>
      <c r="K130" s="70">
        <v>3.5458314373086202</v>
      </c>
      <c r="L130" s="70">
        <v>1.8728526306505453</v>
      </c>
      <c r="M130" s="70">
        <v>1.6815226804097312E-2</v>
      </c>
      <c r="N130" s="70">
        <v>3.8416139327448526</v>
      </c>
      <c r="O130" s="70">
        <v>1.6013960429580643E-2</v>
      </c>
      <c r="P130" s="70"/>
      <c r="Q130" s="70"/>
      <c r="R130" s="70"/>
      <c r="S130" s="70"/>
      <c r="T130" s="70"/>
      <c r="U130" s="70">
        <v>5.0428605230981347E-2</v>
      </c>
      <c r="V130" s="70"/>
      <c r="W130" s="70"/>
      <c r="X130" s="70">
        <v>6.2515537329722065E-2</v>
      </c>
      <c r="Y130" s="70">
        <v>0.1116956319977354</v>
      </c>
      <c r="Z130" s="70">
        <v>3.3887926140670641E-2</v>
      </c>
      <c r="AA130" s="70">
        <v>1.4847913091480557E-2</v>
      </c>
      <c r="AB130" s="70">
        <v>0.13846368974136966</v>
      </c>
      <c r="AC130" s="70">
        <v>2.4484293141313344E-2</v>
      </c>
      <c r="AD130" s="70">
        <v>4.8856419416297148E-2</v>
      </c>
      <c r="AE130" s="70">
        <v>1.4238188960937818E-2</v>
      </c>
      <c r="AF130" s="70">
        <v>1.5137403090802683E-3</v>
      </c>
      <c r="AG130" s="70">
        <v>1.2783879273523403E-2</v>
      </c>
      <c r="AH130" s="70">
        <v>2.3167234855664912E-2</v>
      </c>
      <c r="AI130" s="70">
        <v>1.5965079671077284E-3</v>
      </c>
      <c r="AJ130" s="70"/>
      <c r="AK130" s="70">
        <v>0.4560548355948143</v>
      </c>
      <c r="AL130" s="70">
        <v>1.2044437793630484E-2</v>
      </c>
      <c r="AM130" s="70"/>
      <c r="AN130" s="70"/>
      <c r="AO130" s="70"/>
      <c r="AP130" s="70">
        <v>0.17627724631666508</v>
      </c>
      <c r="AQ130" s="70">
        <v>0.11039888935784826</v>
      </c>
      <c r="AR130" s="70">
        <v>6.4428558558592211E-3</v>
      </c>
      <c r="AS130" s="70">
        <v>4.911358493962438E-3</v>
      </c>
      <c r="AT130" s="70">
        <v>9.5497037011788244E-2</v>
      </c>
      <c r="AU130" s="70"/>
      <c r="AV130" s="70">
        <v>9.597480732722162E-2</v>
      </c>
      <c r="AW130" s="70">
        <v>0.44671284087631413</v>
      </c>
      <c r="AX130" s="70">
        <v>0.10599249090589301</v>
      </c>
      <c r="AY130" s="70">
        <v>0.68093611122227049</v>
      </c>
      <c r="AZ130" s="70">
        <v>5.7972669084828489E-2</v>
      </c>
      <c r="BA130" s="70">
        <v>2.2284047993185428E-2</v>
      </c>
      <c r="BB130" s="70">
        <v>6.5050516121582403E-3</v>
      </c>
      <c r="BC130" s="70">
        <v>2.5167342736399527E-2</v>
      </c>
      <c r="BD130" s="70">
        <v>6.5082221823042408E-2</v>
      </c>
      <c r="BE130" s="70">
        <v>7.4422646305206619E-2</v>
      </c>
      <c r="BF130" s="70"/>
      <c r="BG130" s="70">
        <v>0.50507426292236424</v>
      </c>
      <c r="BH130" s="70">
        <v>0.82510040080156533</v>
      </c>
      <c r="BI130" s="70"/>
      <c r="BJ130" s="70"/>
      <c r="BK130" s="70">
        <v>5.2553846534736319E-2</v>
      </c>
      <c r="BL130" s="70">
        <v>0.15544106537721381</v>
      </c>
      <c r="BM130" s="70">
        <v>0.59242433542602624</v>
      </c>
      <c r="BN130" s="70">
        <v>0.54191199694608816</v>
      </c>
      <c r="BO130" s="70">
        <v>1.2245613543822838</v>
      </c>
      <c r="BP130" s="70">
        <v>0.34229881486934349</v>
      </c>
      <c r="BQ130" s="70">
        <v>0.78995335704263758</v>
      </c>
      <c r="BR130" s="70">
        <v>1.2586726082461648</v>
      </c>
      <c r="BS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G130" s="70"/>
      <c r="CH130" s="70"/>
      <c r="CI130" s="70"/>
      <c r="CJ130" s="70"/>
      <c r="CK130" s="70"/>
      <c r="CL130" s="70"/>
      <c r="CM130" s="70"/>
      <c r="CN130" s="70"/>
      <c r="CO130" s="70"/>
      <c r="CP130" s="70"/>
      <c r="CQ130" s="70"/>
      <c r="CR130" s="70"/>
      <c r="CS130" s="70"/>
      <c r="CT130" s="70"/>
      <c r="CU130" s="70"/>
      <c r="CV130" s="70"/>
      <c r="CW130" s="70"/>
      <c r="CX130" s="70"/>
      <c r="CY130" s="70"/>
      <c r="CZ130" s="70"/>
      <c r="DA130" s="70"/>
      <c r="DB130" s="70"/>
      <c r="DC130" s="70"/>
      <c r="DD130" s="70"/>
      <c r="DE130" s="70"/>
      <c r="DF130" s="70"/>
      <c r="DG130" s="70"/>
      <c r="DH130" s="70"/>
      <c r="DI130" s="70"/>
      <c r="DJ130" s="70"/>
      <c r="DK130" s="70"/>
      <c r="DL130" s="70"/>
      <c r="DM130" s="70"/>
      <c r="DN130" s="70"/>
      <c r="DO130" s="70"/>
      <c r="DP130" s="70"/>
      <c r="DQ130" s="70"/>
      <c r="DR130" s="70"/>
      <c r="DS130" s="70"/>
      <c r="DT130" s="70"/>
      <c r="DU130" s="70"/>
      <c r="DV130" s="70"/>
      <c r="DW130" s="70"/>
      <c r="DX130" s="70"/>
      <c r="DY130" s="70"/>
      <c r="DZ130" s="70"/>
      <c r="EA130" s="70"/>
      <c r="EB130" s="70"/>
      <c r="EC130" s="70"/>
      <c r="ED130" s="70"/>
      <c r="EE130" s="70"/>
      <c r="EF130" s="70"/>
      <c r="EG130" s="70"/>
      <c r="EH130" s="70"/>
      <c r="EI130" s="70"/>
      <c r="EJ130" s="70"/>
      <c r="EK130" s="70"/>
      <c r="EL130" s="70"/>
      <c r="EM130" s="70"/>
      <c r="EN130" s="70"/>
      <c r="EO130" s="70"/>
      <c r="EP130" s="70"/>
      <c r="EQ130" s="70"/>
      <c r="ER130" s="70"/>
      <c r="ES130" s="70"/>
      <c r="ET130" s="70"/>
      <c r="EU130" s="70"/>
      <c r="EV130" s="70"/>
      <c r="EW130" s="70"/>
      <c r="EX130" s="70"/>
      <c r="EY130" s="70"/>
      <c r="EZ130" s="70"/>
      <c r="FA130" s="70"/>
      <c r="FB130" s="70"/>
      <c r="FC130" s="77">
        <v>2.5811315385301681</v>
      </c>
      <c r="FD130" s="77">
        <v>3.4225721925600556</v>
      </c>
      <c r="FE130" s="77">
        <v>3.693059668688814</v>
      </c>
      <c r="FF130" s="77">
        <v>4.3977058241871143</v>
      </c>
      <c r="FG130" s="77">
        <v>4.5015011954688537</v>
      </c>
      <c r="FH130" s="77">
        <v>1.3526790059472651</v>
      </c>
      <c r="FI130" s="77">
        <v>1.8876343559841016</v>
      </c>
      <c r="FJ130" s="77">
        <v>2.5495446543642091</v>
      </c>
      <c r="FK130" s="77">
        <v>3.4366845374091728</v>
      </c>
      <c r="FL130" s="77">
        <v>7.1370446357407644</v>
      </c>
      <c r="FM130" s="70"/>
      <c r="FN130" s="70"/>
      <c r="FO130" s="70"/>
      <c r="FP130" s="70"/>
      <c r="FQ130" s="70"/>
      <c r="FR130" s="70"/>
      <c r="FS130" s="70"/>
      <c r="FT130" s="70"/>
      <c r="FU130" s="70"/>
      <c r="FV130" s="70">
        <v>56.256123392444884</v>
      </c>
      <c r="FW130" s="70"/>
      <c r="FX130" s="75"/>
      <c r="FY130" s="70"/>
      <c r="FZ130" s="70"/>
      <c r="GA130" s="70"/>
      <c r="GB130" s="70"/>
      <c r="GC130" s="70"/>
      <c r="GD130" s="70"/>
      <c r="GE130" s="70"/>
      <c r="GF130" s="70"/>
      <c r="GG130" s="70"/>
      <c r="GH130" s="70"/>
    </row>
    <row r="131" spans="1:190" x14ac:dyDescent="0.2">
      <c r="A131" s="71" t="s">
        <v>450</v>
      </c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>
        <v>5.7751820671265294E-3</v>
      </c>
      <c r="AN131" s="70">
        <v>0.14861216330698454</v>
      </c>
      <c r="AO131" s="70">
        <v>1.1919841702558458E-2</v>
      </c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>
        <v>40.159083057425775</v>
      </c>
      <c r="BG131" s="70"/>
      <c r="BH131" s="70">
        <v>0.16115149185243924</v>
      </c>
      <c r="BI131" s="70">
        <v>0.20840032033970668</v>
      </c>
      <c r="BJ131" s="70">
        <v>0.731304301898142</v>
      </c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T131" s="70"/>
      <c r="CU131" s="70"/>
      <c r="CV131" s="70"/>
      <c r="CW131" s="70"/>
      <c r="CX131" s="70"/>
      <c r="CY131" s="70"/>
      <c r="CZ131" s="70"/>
      <c r="DA131" s="70"/>
      <c r="DB131" s="70"/>
      <c r="DC131" s="70"/>
      <c r="DD131" s="70"/>
      <c r="DE131" s="70"/>
      <c r="DF131" s="70"/>
      <c r="DG131" s="70"/>
      <c r="DH131" s="70"/>
      <c r="DI131" s="70"/>
      <c r="DJ131" s="70"/>
      <c r="DK131" s="70"/>
      <c r="DL131" s="70"/>
      <c r="DM131" s="70"/>
      <c r="DN131" s="70"/>
      <c r="DO131" s="70"/>
      <c r="DP131" s="70"/>
      <c r="DQ131" s="70"/>
      <c r="DR131" s="70"/>
      <c r="DS131" s="70"/>
      <c r="DT131" s="70"/>
      <c r="DU131" s="70"/>
      <c r="DV131" s="70"/>
      <c r="DW131" s="70"/>
      <c r="DX131" s="70"/>
      <c r="DY131" s="70"/>
      <c r="DZ131" s="70"/>
      <c r="EA131" s="70"/>
      <c r="EB131" s="70"/>
      <c r="EC131" s="70"/>
      <c r="ED131" s="70"/>
      <c r="EE131" s="70"/>
      <c r="EF131" s="70"/>
      <c r="EG131" s="70"/>
      <c r="EH131" s="70"/>
      <c r="EI131" s="70"/>
      <c r="EJ131" s="70"/>
      <c r="EK131" s="70"/>
      <c r="EL131" s="70"/>
      <c r="EM131" s="70"/>
      <c r="EN131" s="70"/>
      <c r="EO131" s="70"/>
      <c r="EP131" s="70"/>
      <c r="EQ131" s="70"/>
      <c r="ER131" s="70"/>
      <c r="ES131" s="70"/>
      <c r="ET131" s="70"/>
      <c r="EU131" s="70"/>
      <c r="EV131" s="70"/>
      <c r="EW131" s="70"/>
      <c r="EX131" s="70"/>
      <c r="EY131" s="70"/>
      <c r="EZ131" s="70"/>
      <c r="FA131" s="70"/>
      <c r="FB131" s="70"/>
      <c r="FC131" s="77">
        <v>0.25400160549881529</v>
      </c>
      <c r="FD131" s="77">
        <v>0.36822212373352281</v>
      </c>
      <c r="FE131" s="77">
        <v>0.69029511878857752</v>
      </c>
      <c r="FF131" s="77">
        <v>1.2492950118869275</v>
      </c>
      <c r="FG131" s="77">
        <v>2.6143864669581292</v>
      </c>
      <c r="FH131" s="77">
        <v>0.13441848329359962</v>
      </c>
      <c r="FI131" s="77">
        <v>0.15449983471657594</v>
      </c>
      <c r="FJ131" s="77">
        <v>0.1735385470341754</v>
      </c>
      <c r="FK131" s="77">
        <v>0.39112327995665602</v>
      </c>
      <c r="FL131" s="77">
        <v>2.8342176870977709</v>
      </c>
      <c r="FM131" s="70"/>
      <c r="FN131" s="70"/>
      <c r="FO131" s="70"/>
      <c r="FP131" s="70"/>
      <c r="FQ131" s="70"/>
      <c r="FR131" s="70"/>
      <c r="FS131" s="70">
        <v>520.47746286819756</v>
      </c>
      <c r="FT131" s="70">
        <v>27.261246740777096</v>
      </c>
      <c r="FU131" s="70">
        <v>10.238621678361387</v>
      </c>
      <c r="FV131" s="70">
        <v>608.26757580489357</v>
      </c>
      <c r="FW131" s="70"/>
      <c r="FX131" s="75"/>
      <c r="FY131" s="70"/>
      <c r="FZ131" s="70"/>
      <c r="GA131" s="70"/>
      <c r="GB131" s="70"/>
      <c r="GC131" s="70"/>
      <c r="GD131" s="70"/>
      <c r="GE131" s="70"/>
      <c r="GF131" s="70"/>
      <c r="GG131" s="70"/>
      <c r="GH131" s="70"/>
    </row>
    <row r="132" spans="1:190" x14ac:dyDescent="0.2">
      <c r="A132" s="71" t="s">
        <v>451</v>
      </c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>
        <v>1.2602971527735335E-4</v>
      </c>
      <c r="P132" s="70"/>
      <c r="Q132" s="70"/>
      <c r="R132" s="70"/>
      <c r="S132" s="70"/>
      <c r="T132" s="70"/>
      <c r="U132" s="70"/>
      <c r="V132" s="70"/>
      <c r="W132" s="70">
        <v>3.3766331244614735E-2</v>
      </c>
      <c r="X132" s="70">
        <v>3.9415589839541645E-2</v>
      </c>
      <c r="Y132" s="70"/>
      <c r="Z132" s="70">
        <v>1.7222973748093048E-2</v>
      </c>
      <c r="AA132" s="70">
        <v>9.7942770244939894E-4</v>
      </c>
      <c r="AB132" s="70">
        <v>0.10183673223043008</v>
      </c>
      <c r="AC132" s="70">
        <v>4.4625163523400409E-2</v>
      </c>
      <c r="AD132" s="70">
        <v>1.024071384547089E-2</v>
      </c>
      <c r="AE132" s="70">
        <v>1.0466039971314135E-2</v>
      </c>
      <c r="AF132" s="70">
        <v>1.1126529757529565E-3</v>
      </c>
      <c r="AG132" s="70">
        <v>9.3973329651776058E-3</v>
      </c>
      <c r="AH132" s="70">
        <v>1.7031893595107889E-2</v>
      </c>
      <c r="AI132" s="70">
        <v>1.1734943371670668E-3</v>
      </c>
      <c r="AJ132" s="70">
        <v>3.2058225069161915E-2</v>
      </c>
      <c r="AK132" s="70">
        <v>0.33585402606692027</v>
      </c>
      <c r="AL132" s="70">
        <v>8.8526097474109378E-3</v>
      </c>
      <c r="AM132" s="70">
        <v>4.3246112832501047E-3</v>
      </c>
      <c r="AN132" s="70">
        <v>3.0143888798234857E-2</v>
      </c>
      <c r="AO132" s="70">
        <v>0.10046092646909986</v>
      </c>
      <c r="AP132" s="70">
        <v>0.70557280799606004</v>
      </c>
      <c r="AQ132" s="70">
        <v>2.0223484447213904</v>
      </c>
      <c r="AR132" s="70">
        <v>9.3950549591211935E-2</v>
      </c>
      <c r="AS132" s="70">
        <v>8.6051513609562036E-2</v>
      </c>
      <c r="AT132" s="70">
        <v>7.8117484201848192E-2</v>
      </c>
      <c r="AU132" s="70">
        <v>8.4129962985586015</v>
      </c>
      <c r="AV132" s="70">
        <v>3.2599343746233904E-2</v>
      </c>
      <c r="AW132" s="70">
        <v>5.2722084309060682</v>
      </c>
      <c r="AX132" s="70">
        <v>0.8049326457556536</v>
      </c>
      <c r="AY132" s="70">
        <v>1.1885643278038607</v>
      </c>
      <c r="AZ132" s="70">
        <v>0.71065649519148311</v>
      </c>
      <c r="BA132" s="70">
        <v>0.10786888426365275</v>
      </c>
      <c r="BB132" s="70">
        <v>7.3863989298721164E-2</v>
      </c>
      <c r="BC132" s="70">
        <v>0.29993856998370488</v>
      </c>
      <c r="BD132" s="70">
        <v>3.8793746624151637E-2</v>
      </c>
      <c r="BE132" s="70">
        <v>1.3070268391095614</v>
      </c>
      <c r="BF132" s="70">
        <v>23.407943390315189</v>
      </c>
      <c r="BG132" s="70">
        <v>3.0203160988970668</v>
      </c>
      <c r="BH132" s="70"/>
      <c r="BI132" s="70"/>
      <c r="BJ132" s="70"/>
      <c r="BK132" s="70">
        <v>1.9297056792272875</v>
      </c>
      <c r="BL132" s="70">
        <v>0.88797945692049862</v>
      </c>
      <c r="BM132" s="70"/>
      <c r="BN132" s="70">
        <v>6.1338504358661226</v>
      </c>
      <c r="BO132" s="70"/>
      <c r="BP132" s="70">
        <v>0.38471887507260816</v>
      </c>
      <c r="BQ132" s="70">
        <v>2.2156172085924615</v>
      </c>
      <c r="BR132" s="70">
        <v>1.6777808274119217</v>
      </c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T132" s="70"/>
      <c r="CU132" s="70"/>
      <c r="CV132" s="70"/>
      <c r="CW132" s="70"/>
      <c r="CX132" s="70"/>
      <c r="CY132" s="70"/>
      <c r="CZ132" s="70"/>
      <c r="DA132" s="70"/>
      <c r="DB132" s="70"/>
      <c r="DC132" s="70"/>
      <c r="DD132" s="70"/>
      <c r="DE132" s="70"/>
      <c r="DF132" s="70"/>
      <c r="DG132" s="70"/>
      <c r="DH132" s="70"/>
      <c r="DI132" s="70"/>
      <c r="DJ132" s="70"/>
      <c r="DK132" s="70"/>
      <c r="DL132" s="70"/>
      <c r="DM132" s="70"/>
      <c r="DN132" s="70"/>
      <c r="DO132" s="70"/>
      <c r="DP132" s="70"/>
      <c r="DQ132" s="70"/>
      <c r="DR132" s="70"/>
      <c r="DS132" s="70"/>
      <c r="DT132" s="70"/>
      <c r="DU132" s="70"/>
      <c r="DV132" s="70"/>
      <c r="DW132" s="70"/>
      <c r="DX132" s="70"/>
      <c r="DY132" s="70"/>
      <c r="DZ132" s="70"/>
      <c r="EA132" s="70"/>
      <c r="EB132" s="70"/>
      <c r="EC132" s="70"/>
      <c r="ED132" s="70"/>
      <c r="EE132" s="70"/>
      <c r="EF132" s="70"/>
      <c r="EG132" s="70"/>
      <c r="EH132" s="70"/>
      <c r="EI132" s="70"/>
      <c r="EJ132" s="70"/>
      <c r="EK132" s="70"/>
      <c r="EL132" s="70"/>
      <c r="EM132" s="70"/>
      <c r="EN132" s="70">
        <v>553.07447952040593</v>
      </c>
      <c r="EO132" s="70"/>
      <c r="EP132" s="70"/>
      <c r="EQ132" s="70"/>
      <c r="ER132" s="70"/>
      <c r="ES132" s="70"/>
      <c r="ET132" s="70"/>
      <c r="EU132" s="70"/>
      <c r="EV132" s="70"/>
      <c r="EW132" s="70"/>
      <c r="EX132" s="70"/>
      <c r="EY132" s="70"/>
      <c r="EZ132" s="70"/>
      <c r="FA132" s="70"/>
      <c r="FB132" s="70"/>
      <c r="FC132" s="77">
        <v>0.42247828554861444</v>
      </c>
      <c r="FD132" s="77">
        <v>0.92942067692304853</v>
      </c>
      <c r="FE132" s="77">
        <v>1.9628549443758518</v>
      </c>
      <c r="FF132" s="77">
        <v>3.9742257212169596</v>
      </c>
      <c r="FG132" s="77">
        <v>19.837647508756124</v>
      </c>
      <c r="FH132" s="77">
        <v>8.5061008959105247E-2</v>
      </c>
      <c r="FI132" s="77">
        <v>0.41721403324078388</v>
      </c>
      <c r="FJ132" s="77">
        <v>0.94153973885795117</v>
      </c>
      <c r="FK132" s="77">
        <v>2.9618390503421885</v>
      </c>
      <c r="FL132" s="77">
        <v>34.238978945605247</v>
      </c>
      <c r="FM132" s="70"/>
      <c r="FN132" s="70"/>
      <c r="FO132" s="70"/>
      <c r="FP132" s="70"/>
      <c r="FQ132" s="70"/>
      <c r="FR132" s="70"/>
      <c r="FS132" s="70"/>
      <c r="FT132" s="70"/>
      <c r="FU132" s="70"/>
      <c r="FV132" s="70">
        <v>680.53823044102478</v>
      </c>
      <c r="FW132" s="70"/>
      <c r="FX132" s="75"/>
      <c r="FY132" s="70"/>
      <c r="FZ132" s="70"/>
      <c r="GA132" s="70"/>
      <c r="GB132" s="70"/>
      <c r="GC132" s="70"/>
      <c r="GD132" s="70"/>
      <c r="GE132" s="70"/>
      <c r="GF132" s="70"/>
      <c r="GG132" s="70"/>
      <c r="GH132" s="70"/>
    </row>
    <row r="133" spans="1:190" x14ac:dyDescent="0.2">
      <c r="A133" s="71" t="s">
        <v>452</v>
      </c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>
        <v>1.2602970390369086E-4</v>
      </c>
      <c r="P133" s="70"/>
      <c r="Q133" s="70"/>
      <c r="R133" s="70"/>
      <c r="S133" s="70"/>
      <c r="T133" s="70"/>
      <c r="U133" s="70">
        <v>0.44018296715031463</v>
      </c>
      <c r="V133" s="70"/>
      <c r="W133" s="70">
        <v>3.5634086425037008</v>
      </c>
      <c r="X133" s="70">
        <v>0.33578609354801298</v>
      </c>
      <c r="Y133" s="70">
        <v>0.77932531155021179</v>
      </c>
      <c r="Z133" s="70">
        <v>0.36605917328248017</v>
      </c>
      <c r="AA133" s="70">
        <v>1.3555012645236323E-2</v>
      </c>
      <c r="AB133" s="70">
        <v>4.0423386250904796E-2</v>
      </c>
      <c r="AC133" s="70">
        <v>1.1753635718708642</v>
      </c>
      <c r="AD133" s="70">
        <v>0.44189819961514404</v>
      </c>
      <c r="AE133" s="70">
        <v>4.1545734347669117E-3</v>
      </c>
      <c r="AF133" s="70">
        <v>4.4168677934418917E-4</v>
      </c>
      <c r="AG133" s="70">
        <v>3.730589902743409E-3</v>
      </c>
      <c r="AH133" s="70">
        <v>6.7620606526552531E-3</v>
      </c>
      <c r="AI133" s="70">
        <v>4.6584128940524617E-4</v>
      </c>
      <c r="AJ133" s="70">
        <v>2.0896862298552952</v>
      </c>
      <c r="AK133" s="70">
        <v>0.13327581935987881</v>
      </c>
      <c r="AL133" s="70">
        <v>3.5135899815414051E-3</v>
      </c>
      <c r="AM133" s="70">
        <v>0.24184148862378119</v>
      </c>
      <c r="AN133" s="70">
        <v>1.7186016457852882</v>
      </c>
      <c r="AO133" s="70">
        <v>0.63345491230865103</v>
      </c>
      <c r="AP133" s="70">
        <v>0.74997200671738751</v>
      </c>
      <c r="AQ133" s="70">
        <v>0.60216853578102603</v>
      </c>
      <c r="AR133" s="70">
        <v>2.4802212165388939E-2</v>
      </c>
      <c r="AS133" s="70">
        <v>5.6033684841893035E-2</v>
      </c>
      <c r="AT133" s="70">
        <v>0.57249386670114899</v>
      </c>
      <c r="AU133" s="70">
        <v>2.8997101332158186</v>
      </c>
      <c r="AV133" s="70">
        <v>1.1629034357294572</v>
      </c>
      <c r="AW133" s="70">
        <v>4.4303327062277802</v>
      </c>
      <c r="AX133" s="70">
        <v>0.64580044926914526</v>
      </c>
      <c r="AY133" s="70">
        <v>0.90546078309175515</v>
      </c>
      <c r="AZ133" s="70">
        <v>0.74435941954770013</v>
      </c>
      <c r="BA133" s="70">
        <v>0.15187333890766835</v>
      </c>
      <c r="BB133" s="70">
        <v>2.9525788226820532E-2</v>
      </c>
      <c r="BC133" s="70">
        <v>0.30963263897653909</v>
      </c>
      <c r="BD133" s="70">
        <v>0.31096559675338709</v>
      </c>
      <c r="BE133" s="70">
        <v>0.18651489408545341</v>
      </c>
      <c r="BF133" s="70">
        <v>2.1802078745756206</v>
      </c>
      <c r="BG133" s="70">
        <v>4.9447412710875227</v>
      </c>
      <c r="BH133" s="70">
        <v>8.6886438908071284</v>
      </c>
      <c r="BI133" s="70">
        <v>0.76427740197633576</v>
      </c>
      <c r="BJ133" s="70">
        <v>2.1604323932869156</v>
      </c>
      <c r="BK133" s="70">
        <v>0.51263644747533965</v>
      </c>
      <c r="BL133" s="70">
        <v>0.58388835399656414</v>
      </c>
      <c r="BM133" s="70">
        <v>0.97496484713592169</v>
      </c>
      <c r="BN133" s="70">
        <v>49.666442166891535</v>
      </c>
      <c r="BO133" s="70">
        <v>1.8348181662932415</v>
      </c>
      <c r="BP133" s="70">
        <v>2.3888026546858852</v>
      </c>
      <c r="BQ133" s="70">
        <v>1.2897314937198585</v>
      </c>
      <c r="BR133" s="70">
        <v>2.0475165731622096</v>
      </c>
      <c r="BS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G133" s="70"/>
      <c r="CH133" s="70"/>
      <c r="CI133" s="70"/>
      <c r="CJ133" s="70"/>
      <c r="CK133" s="70"/>
      <c r="CL133" s="70"/>
      <c r="CM133" s="70"/>
      <c r="CN133" s="70"/>
      <c r="CO133" s="70"/>
      <c r="CP133" s="70"/>
      <c r="CQ133" s="70"/>
      <c r="CR133" s="70"/>
      <c r="CS133" s="70"/>
      <c r="CT133" s="70"/>
      <c r="CU133" s="70"/>
      <c r="CV133" s="70"/>
      <c r="CW133" s="70"/>
      <c r="CX133" s="70"/>
      <c r="CY133" s="70"/>
      <c r="CZ133" s="70"/>
      <c r="DA133" s="70"/>
      <c r="DB133" s="70"/>
      <c r="DC133" s="70"/>
      <c r="DD133" s="70"/>
      <c r="DE133" s="70"/>
      <c r="DF133" s="70"/>
      <c r="DG133" s="70"/>
      <c r="DH133" s="70"/>
      <c r="DI133" s="70"/>
      <c r="DJ133" s="70"/>
      <c r="DK133" s="70"/>
      <c r="DL133" s="70"/>
      <c r="DM133" s="70"/>
      <c r="DN133" s="70"/>
      <c r="DO133" s="70"/>
      <c r="DP133" s="70"/>
      <c r="DQ133" s="70"/>
      <c r="DR133" s="70"/>
      <c r="DS133" s="70"/>
      <c r="DT133" s="70"/>
      <c r="DU133" s="70"/>
      <c r="DV133" s="70"/>
      <c r="DW133" s="70"/>
      <c r="DX133" s="70"/>
      <c r="DY133" s="70"/>
      <c r="DZ133" s="70"/>
      <c r="EA133" s="70"/>
      <c r="EB133" s="70"/>
      <c r="EC133" s="70"/>
      <c r="ED133" s="70"/>
      <c r="EE133" s="70"/>
      <c r="EF133" s="70"/>
      <c r="EG133" s="70"/>
      <c r="EH133" s="70"/>
      <c r="EI133" s="70"/>
      <c r="EJ133" s="70"/>
      <c r="EK133" s="70"/>
      <c r="EL133" s="70"/>
      <c r="EM133" s="70"/>
      <c r="EN133" s="70">
        <v>71.650331763508376</v>
      </c>
      <c r="EO133" s="70"/>
      <c r="EP133" s="70"/>
      <c r="EQ133" s="70"/>
      <c r="ER133" s="70"/>
      <c r="ES133" s="70"/>
      <c r="ET133" s="70"/>
      <c r="EU133" s="70"/>
      <c r="EV133" s="70"/>
      <c r="EW133" s="70"/>
      <c r="EX133" s="70"/>
      <c r="EY133" s="70"/>
      <c r="EZ133" s="70"/>
      <c r="FA133" s="70"/>
      <c r="FB133" s="70"/>
      <c r="FC133" s="77">
        <v>16.796942972659046</v>
      </c>
      <c r="FD133" s="77">
        <v>22.939206841300606</v>
      </c>
      <c r="FE133" s="77">
        <v>29.059257105023331</v>
      </c>
      <c r="FF133" s="77">
        <v>35.14844684595073</v>
      </c>
      <c r="FG133" s="77">
        <v>36.10408475278232</v>
      </c>
      <c r="FH133" s="77">
        <v>10.405899554855083</v>
      </c>
      <c r="FI133" s="77">
        <v>16.577718583625579</v>
      </c>
      <c r="FJ133" s="77">
        <v>24.824785736597196</v>
      </c>
      <c r="FK133" s="77">
        <v>37.185171518810634</v>
      </c>
      <c r="FL133" s="77">
        <v>84.632311528214572</v>
      </c>
      <c r="FM133" s="70"/>
      <c r="FN133" s="70"/>
      <c r="FO133" s="70"/>
      <c r="FP133" s="70"/>
      <c r="FQ133" s="70"/>
      <c r="FR133" s="70"/>
      <c r="FS133" s="70"/>
      <c r="FT133" s="70"/>
      <c r="FU133" s="70">
        <v>149.72009677815956</v>
      </c>
      <c r="FV133" s="70">
        <v>638.85596383291363</v>
      </c>
      <c r="FW133" s="70"/>
      <c r="FX133" s="75"/>
      <c r="FY133" s="70"/>
      <c r="FZ133" s="70"/>
      <c r="GA133" s="70"/>
      <c r="GB133" s="70"/>
      <c r="GC133" s="70"/>
      <c r="GD133" s="70"/>
      <c r="GE133" s="70"/>
      <c r="GF133" s="70"/>
      <c r="GG133" s="70"/>
      <c r="GH133" s="70"/>
    </row>
    <row r="134" spans="1:190" x14ac:dyDescent="0.2">
      <c r="A134" s="71" t="s">
        <v>453</v>
      </c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>
        <v>4.0490309810937202</v>
      </c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>
        <v>0.24177475787577737</v>
      </c>
      <c r="AV134" s="70"/>
      <c r="AW134" s="70">
        <v>0.12957024194404712</v>
      </c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>
        <v>0.67699538195649223</v>
      </c>
      <c r="BI134" s="70">
        <v>0.42289584961495819</v>
      </c>
      <c r="BJ134" s="70"/>
      <c r="BK134" s="70"/>
      <c r="BL134" s="70"/>
      <c r="BM134" s="70"/>
      <c r="BN134" s="70"/>
      <c r="BO134" s="70"/>
      <c r="BP134" s="70"/>
      <c r="BQ134" s="70"/>
      <c r="BR134" s="70">
        <v>3.5196966615819218E-2</v>
      </c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G134" s="70"/>
      <c r="CH134" s="70"/>
      <c r="CI134" s="70"/>
      <c r="CJ134" s="70"/>
      <c r="CK134" s="70"/>
      <c r="CL134" s="70"/>
      <c r="CM134" s="70"/>
      <c r="CN134" s="70"/>
      <c r="CO134" s="70"/>
      <c r="CP134" s="70"/>
      <c r="CQ134" s="70"/>
      <c r="CR134" s="70"/>
      <c r="CS134" s="70"/>
      <c r="CT134" s="70"/>
      <c r="CU134" s="70"/>
      <c r="CV134" s="70"/>
      <c r="CW134" s="70"/>
      <c r="CX134" s="70"/>
      <c r="CY134" s="70"/>
      <c r="CZ134" s="70"/>
      <c r="DA134" s="70"/>
      <c r="DB134" s="70"/>
      <c r="DC134" s="70"/>
      <c r="DD134" s="70"/>
      <c r="DE134" s="70"/>
      <c r="DF134" s="70"/>
      <c r="DG134" s="70"/>
      <c r="DH134" s="70"/>
      <c r="DI134" s="70"/>
      <c r="DJ134" s="70"/>
      <c r="DK134" s="70"/>
      <c r="DL134" s="70"/>
      <c r="DM134" s="70"/>
      <c r="DN134" s="70"/>
      <c r="DO134" s="70"/>
      <c r="DP134" s="70"/>
      <c r="DQ134" s="70"/>
      <c r="DR134" s="70"/>
      <c r="DS134" s="70"/>
      <c r="DT134" s="70"/>
      <c r="DU134" s="70"/>
      <c r="DV134" s="70"/>
      <c r="DW134" s="70"/>
      <c r="DX134" s="70"/>
      <c r="DY134" s="70"/>
      <c r="DZ134" s="70"/>
      <c r="EA134" s="70"/>
      <c r="EB134" s="70"/>
      <c r="EC134" s="70"/>
      <c r="ED134" s="70"/>
      <c r="EE134" s="70"/>
      <c r="EF134" s="70"/>
      <c r="EG134" s="70"/>
      <c r="EH134" s="70"/>
      <c r="EI134" s="70"/>
      <c r="EJ134" s="70"/>
      <c r="EK134" s="70"/>
      <c r="EL134" s="70"/>
      <c r="EM134" s="70"/>
      <c r="EN134" s="70"/>
      <c r="EO134" s="70"/>
      <c r="EP134" s="70"/>
      <c r="EQ134" s="70"/>
      <c r="ER134" s="70"/>
      <c r="ES134" s="70"/>
      <c r="ET134" s="70"/>
      <c r="EU134" s="70"/>
      <c r="EV134" s="70"/>
      <c r="EW134" s="70"/>
      <c r="EX134" s="70"/>
      <c r="EY134" s="70"/>
      <c r="EZ134" s="70"/>
      <c r="FA134" s="70"/>
      <c r="FB134" s="70"/>
      <c r="FC134" s="77"/>
      <c r="FD134" s="77"/>
      <c r="FE134" s="77"/>
      <c r="FF134" s="77"/>
      <c r="FG134" s="77"/>
      <c r="FH134" s="77"/>
      <c r="FI134" s="77"/>
      <c r="FJ134" s="77"/>
      <c r="FK134" s="77"/>
      <c r="FL134" s="77"/>
      <c r="FM134" s="70"/>
      <c r="FN134" s="70"/>
      <c r="FO134" s="70"/>
      <c r="FP134" s="70"/>
      <c r="FQ134" s="70"/>
      <c r="FR134" s="70"/>
      <c r="FS134" s="70"/>
      <c r="FT134" s="70"/>
      <c r="FU134" s="70">
        <v>208.75247767473726</v>
      </c>
      <c r="FV134" s="70">
        <v>214.30794185383809</v>
      </c>
      <c r="FW134" s="70"/>
      <c r="FX134" s="75"/>
      <c r="FY134" s="70"/>
      <c r="FZ134" s="70"/>
      <c r="GA134" s="70"/>
      <c r="GB134" s="70"/>
      <c r="GC134" s="70"/>
      <c r="GD134" s="70"/>
      <c r="GE134" s="70"/>
      <c r="GF134" s="70"/>
      <c r="GG134" s="70"/>
      <c r="GH134" s="70"/>
    </row>
    <row r="135" spans="1:190" x14ac:dyDescent="0.2">
      <c r="A135" s="71" t="s">
        <v>454</v>
      </c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>
        <v>1.2510325402572173E-2</v>
      </c>
      <c r="AN135" s="70">
        <v>0.22881612318117636</v>
      </c>
      <c r="AO135" s="70">
        <v>3.066661086074346E-2</v>
      </c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0"/>
      <c r="DT135" s="70"/>
      <c r="DU135" s="70"/>
      <c r="DV135" s="70"/>
      <c r="DW135" s="70"/>
      <c r="DX135" s="70"/>
      <c r="DY135" s="70"/>
      <c r="DZ135" s="70"/>
      <c r="EA135" s="70"/>
      <c r="EB135" s="70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70"/>
      <c r="ER135" s="70"/>
      <c r="ES135" s="70"/>
      <c r="ET135" s="70"/>
      <c r="EU135" s="70"/>
      <c r="EV135" s="70"/>
      <c r="EW135" s="70"/>
      <c r="EX135" s="70"/>
      <c r="EY135" s="70"/>
      <c r="EZ135" s="70"/>
      <c r="FA135" s="70"/>
      <c r="FB135" s="70"/>
      <c r="FC135" s="77">
        <v>11.905703160604519</v>
      </c>
      <c r="FD135" s="77">
        <v>17.143185240746927</v>
      </c>
      <c r="FE135" s="77">
        <v>18.518953757675778</v>
      </c>
      <c r="FF135" s="77">
        <v>21.425197621697905</v>
      </c>
      <c r="FG135" s="77">
        <v>21.400015922224203</v>
      </c>
      <c r="FH135" s="77">
        <v>7.3838793228436606</v>
      </c>
      <c r="FI135" s="77">
        <v>10.804167900683728</v>
      </c>
      <c r="FJ135" s="77">
        <v>15.704320281816745</v>
      </c>
      <c r="FK135" s="77">
        <v>23.263711700793529</v>
      </c>
      <c r="FL135" s="77">
        <v>71.037099222589291</v>
      </c>
      <c r="FM135" s="70"/>
      <c r="FN135" s="70"/>
      <c r="FO135" s="70"/>
      <c r="FP135" s="70"/>
      <c r="FQ135" s="70"/>
      <c r="FR135" s="70"/>
      <c r="FS135" s="70"/>
      <c r="FT135" s="70"/>
      <c r="FU135" s="70"/>
      <c r="FV135" s="70">
        <v>218.85822719112076</v>
      </c>
      <c r="FW135" s="70"/>
      <c r="FX135" s="75"/>
      <c r="FY135" s="70"/>
      <c r="FZ135" s="70"/>
      <c r="GA135" s="70"/>
      <c r="GB135" s="70"/>
      <c r="GC135" s="70"/>
      <c r="GD135" s="70"/>
      <c r="GE135" s="70"/>
      <c r="GF135" s="70"/>
      <c r="GG135" s="70"/>
      <c r="GH135" s="70"/>
    </row>
    <row r="136" spans="1:190" x14ac:dyDescent="0.2">
      <c r="A136" s="71" t="s">
        <v>455</v>
      </c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>
        <v>8.1542568687259075E-3</v>
      </c>
      <c r="V136" s="70"/>
      <c r="W136" s="70"/>
      <c r="X136" s="70"/>
      <c r="Y136" s="70">
        <v>3.8476648215837683E-2</v>
      </c>
      <c r="Z136" s="70">
        <v>1.6969610057921285E-2</v>
      </c>
      <c r="AA136" s="70">
        <v>3.207706197889358E-3</v>
      </c>
      <c r="AB136" s="70"/>
      <c r="AC136" s="70">
        <v>3.322732392134508E-2</v>
      </c>
      <c r="AD136" s="70">
        <v>7.5223686381828914E-2</v>
      </c>
      <c r="AE136" s="70"/>
      <c r="AF136" s="70"/>
      <c r="AG136" s="70"/>
      <c r="AH136" s="70"/>
      <c r="AI136" s="70"/>
      <c r="AJ136" s="70"/>
      <c r="AK136" s="70"/>
      <c r="AL136" s="70"/>
      <c r="AM136" s="70">
        <v>1.4010342589465354E-2</v>
      </c>
      <c r="AN136" s="70">
        <v>1.66188785378053E-2</v>
      </c>
      <c r="AO136" s="70">
        <v>1.7121196401953431E-2</v>
      </c>
      <c r="AP136" s="70">
        <v>7.1851208441538986E-2</v>
      </c>
      <c r="AQ136" s="70">
        <v>0.13804930462120801</v>
      </c>
      <c r="AR136" s="70">
        <v>7.2994136306403683E-3</v>
      </c>
      <c r="AS136" s="70">
        <v>1.4586695004883743E-2</v>
      </c>
      <c r="AT136" s="70">
        <v>4.2070663750478278E-2</v>
      </c>
      <c r="AU136" s="70"/>
      <c r="AV136" s="70">
        <v>2.8243454948265367E-2</v>
      </c>
      <c r="AW136" s="70">
        <v>0.48292393766391906</v>
      </c>
      <c r="AX136" s="70">
        <v>0.11527958782414975</v>
      </c>
      <c r="AY136" s="70">
        <v>0.15382585581813543</v>
      </c>
      <c r="AZ136" s="70">
        <v>9.6452983798641187E-2</v>
      </c>
      <c r="BA136" s="70">
        <v>3.7900314195935987E-2</v>
      </c>
      <c r="BB136" s="70">
        <v>8.9819003751963524E-3</v>
      </c>
      <c r="BC136" s="70">
        <v>7.330708727507794E-2</v>
      </c>
      <c r="BD136" s="70">
        <v>5.9278852889158962E-2</v>
      </c>
      <c r="BE136" s="70">
        <v>0.112902651061143</v>
      </c>
      <c r="BF136" s="70">
        <v>0.52786080081175746</v>
      </c>
      <c r="BG136" s="70">
        <v>1.7486505328460327</v>
      </c>
      <c r="BH136" s="70">
        <v>1.3793790231764393</v>
      </c>
      <c r="BI136" s="70">
        <v>0.79370396524223541</v>
      </c>
      <c r="BJ136" s="70">
        <v>0.46498604643860991</v>
      </c>
      <c r="BK136" s="70">
        <v>0.58819388641015935</v>
      </c>
      <c r="BL136" s="70">
        <v>0.96480509001942993</v>
      </c>
      <c r="BM136" s="70">
        <v>1.0684880768037084</v>
      </c>
      <c r="BN136" s="70">
        <v>4.0835895119777614</v>
      </c>
      <c r="BO136" s="70">
        <v>0.33206052860909391</v>
      </c>
      <c r="BP136" s="70">
        <v>0.54357358172673398</v>
      </c>
      <c r="BQ136" s="70">
        <v>0.6581607226526851</v>
      </c>
      <c r="BR136" s="70">
        <v>1.5266919141908739</v>
      </c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  <c r="DS136" s="70"/>
      <c r="DT136" s="70"/>
      <c r="DU136" s="70"/>
      <c r="DV136" s="70"/>
      <c r="DW136" s="70"/>
      <c r="DX136" s="70"/>
      <c r="DY136" s="70"/>
      <c r="DZ136" s="70"/>
      <c r="EA136" s="70"/>
      <c r="EB136" s="70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70"/>
      <c r="ER136" s="70"/>
      <c r="ES136" s="70"/>
      <c r="ET136" s="70"/>
      <c r="EU136" s="70"/>
      <c r="EV136" s="70"/>
      <c r="EW136" s="70"/>
      <c r="EX136" s="70"/>
      <c r="EY136" s="70"/>
      <c r="EZ136" s="70"/>
      <c r="FA136" s="70"/>
      <c r="FB136" s="70"/>
      <c r="FC136" s="77">
        <v>6.4291279742881882</v>
      </c>
      <c r="FD136" s="77">
        <v>9.9086098558166569</v>
      </c>
      <c r="FE136" s="77">
        <v>12.186780734320777</v>
      </c>
      <c r="FF136" s="77">
        <v>15.912398877333338</v>
      </c>
      <c r="FG136" s="77">
        <v>16.860818637066224</v>
      </c>
      <c r="FH136" s="77">
        <v>4.0507704255727885</v>
      </c>
      <c r="FI136" s="77">
        <v>7.1847781923016978</v>
      </c>
      <c r="FJ136" s="77">
        <v>11.902100879167783</v>
      </c>
      <c r="FK136" s="77">
        <v>18.989377447296405</v>
      </c>
      <c r="FL136" s="77">
        <v>51.94286288553343</v>
      </c>
      <c r="FM136" s="70"/>
      <c r="FN136" s="70"/>
      <c r="FO136" s="70"/>
      <c r="FP136" s="70"/>
      <c r="FQ136" s="70"/>
      <c r="FR136" s="70"/>
      <c r="FS136" s="70"/>
      <c r="FT136" s="70"/>
      <c r="FU136" s="70"/>
      <c r="FV136" s="70">
        <v>171.71373315007395</v>
      </c>
      <c r="FW136" s="70"/>
      <c r="FX136" s="75"/>
      <c r="FY136" s="70"/>
      <c r="FZ136" s="70"/>
      <c r="GA136" s="70"/>
      <c r="GB136" s="70"/>
      <c r="GC136" s="70"/>
      <c r="GD136" s="70"/>
      <c r="GE136" s="70"/>
      <c r="GF136" s="70"/>
      <c r="GG136" s="70"/>
      <c r="GH136" s="70"/>
    </row>
    <row r="137" spans="1:190" x14ac:dyDescent="0.2">
      <c r="A137" s="71" t="s">
        <v>456</v>
      </c>
      <c r="B137" s="70">
        <v>3.7131327857067881E-2</v>
      </c>
      <c r="C137" s="70">
        <v>9.1127071791083595E-3</v>
      </c>
      <c r="D137" s="70">
        <v>2.5956293794916617E-2</v>
      </c>
      <c r="E137" s="70">
        <v>6.6290061158602365E-2</v>
      </c>
      <c r="F137" s="70">
        <v>1.6455300350024817E-2</v>
      </c>
      <c r="G137" s="70">
        <v>6.2249349236440446E-2</v>
      </c>
      <c r="H137" s="70">
        <v>1.5812962058102464E-2</v>
      </c>
      <c r="I137" s="70">
        <v>1.3311564118342428E-2</v>
      </c>
      <c r="J137" s="70">
        <v>0.29837705627441652</v>
      </c>
      <c r="K137" s="70">
        <v>0.54816487020000859</v>
      </c>
      <c r="L137" s="70">
        <v>8.3883195568866475E-2</v>
      </c>
      <c r="M137" s="70">
        <v>7.6463526861455502E-4</v>
      </c>
      <c r="N137" s="70"/>
      <c r="O137" s="70">
        <v>1.6153740462667282E-3</v>
      </c>
      <c r="P137" s="70"/>
      <c r="Q137" s="70"/>
      <c r="R137" s="70"/>
      <c r="S137" s="70"/>
      <c r="T137" s="70"/>
      <c r="U137" s="70">
        <v>1.0648250217509043E-2</v>
      </c>
      <c r="V137" s="70"/>
      <c r="W137" s="70">
        <v>0.15398194366992335</v>
      </c>
      <c r="X137" s="70">
        <v>1.4495691067535896</v>
      </c>
      <c r="Y137" s="70">
        <v>0.498917186884129</v>
      </c>
      <c r="Z137" s="70">
        <v>2.734831764213284E-2</v>
      </c>
      <c r="AA137" s="70">
        <v>2.830174891998704E-2</v>
      </c>
      <c r="AB137" s="70">
        <v>0.13015373861038612</v>
      </c>
      <c r="AC137" s="70">
        <v>0.20348910045750729</v>
      </c>
      <c r="AD137" s="70">
        <v>0.10217290878185971</v>
      </c>
      <c r="AE137" s="70">
        <v>1.3371049253780016E-2</v>
      </c>
      <c r="AF137" s="70">
        <v>1.4214165927233823E-3</v>
      </c>
      <c r="AG137" s="70">
        <v>1.2005287230603035E-2</v>
      </c>
      <c r="AH137" s="70">
        <v>2.1758278065517566E-2</v>
      </c>
      <c r="AI137" s="70">
        <v>1.4991382603556727E-3</v>
      </c>
      <c r="AJ137" s="70">
        <v>5.0179802939021065E-2</v>
      </c>
      <c r="AK137" s="70">
        <v>0.42970964154349928</v>
      </c>
      <c r="AL137" s="70">
        <v>1.1310482334477838E-2</v>
      </c>
      <c r="AM137" s="70">
        <v>0.1530320120066373</v>
      </c>
      <c r="AN137" s="70">
        <v>0.9746975603817758</v>
      </c>
      <c r="AO137" s="70">
        <v>0.34141187049192212</v>
      </c>
      <c r="AP137" s="70">
        <v>1.7409835202187791</v>
      </c>
      <c r="AQ137" s="70">
        <v>1.1412923320783603</v>
      </c>
      <c r="AR137" s="70">
        <v>2.3014590201266352E-2</v>
      </c>
      <c r="AS137" s="70">
        <v>7.3313104718538786E-3</v>
      </c>
      <c r="AT137" s="70">
        <v>0.11739854412043314</v>
      </c>
      <c r="AU137" s="70">
        <v>1.8758634806085623</v>
      </c>
      <c r="AV137" s="70">
        <v>0.1057341554288888</v>
      </c>
      <c r="AW137" s="70">
        <v>6.2520822485170333</v>
      </c>
      <c r="AX137" s="70">
        <v>0.94266972289017537</v>
      </c>
      <c r="AY137" s="70">
        <v>3.4983939780247559</v>
      </c>
      <c r="AZ137" s="70">
        <v>5.2754942587979698</v>
      </c>
      <c r="BA137" s="70">
        <v>1.0084848822904857</v>
      </c>
      <c r="BB137" s="70">
        <v>0.26254454262506155</v>
      </c>
      <c r="BC137" s="70">
        <v>5.9007785251018199E-2</v>
      </c>
      <c r="BD137" s="70">
        <v>0.6739608416254429</v>
      </c>
      <c r="BE137" s="70">
        <v>0.18027145034465195</v>
      </c>
      <c r="BF137" s="70">
        <v>2.2335340715049137</v>
      </c>
      <c r="BG137" s="70">
        <v>3.4243691444616093</v>
      </c>
      <c r="BH137" s="70">
        <v>2.9577041701505022</v>
      </c>
      <c r="BI137" s="70">
        <v>1.2532898272180741</v>
      </c>
      <c r="BJ137" s="70">
        <v>3.8103239689842715E-2</v>
      </c>
      <c r="BK137" s="70">
        <v>4.4618569346801715</v>
      </c>
      <c r="BL137" s="70">
        <v>0.97128537104325974</v>
      </c>
      <c r="BM137" s="70">
        <v>1.3126909973657221</v>
      </c>
      <c r="BN137" s="70">
        <v>2.1174066940860121</v>
      </c>
      <c r="BO137" s="70">
        <v>30.773444767294702</v>
      </c>
      <c r="BP137" s="70">
        <v>9.2377218343573028E-2</v>
      </c>
      <c r="BQ137" s="70">
        <v>0.63724746294608658</v>
      </c>
      <c r="BR137" s="70">
        <v>0.53602000529888127</v>
      </c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7">
        <v>2.2205726227144056</v>
      </c>
      <c r="FD137" s="77">
        <v>4.7519190063087482</v>
      </c>
      <c r="FE137" s="77">
        <v>5.9038770347665332</v>
      </c>
      <c r="FF137" s="77">
        <v>7.9340536079095667</v>
      </c>
      <c r="FG137" s="77">
        <v>8.4812119082479676</v>
      </c>
      <c r="FH137" s="77">
        <v>1.0560975765833971</v>
      </c>
      <c r="FI137" s="77">
        <v>2.3001922757729618</v>
      </c>
      <c r="FJ137" s="77">
        <v>4.7185396051677948</v>
      </c>
      <c r="FK137" s="77">
        <v>7.7129771742483841</v>
      </c>
      <c r="FL137" s="77">
        <v>23.338952603825266</v>
      </c>
      <c r="FM137" s="70">
        <v>44.064169918093597</v>
      </c>
      <c r="FN137" s="70"/>
      <c r="FO137" s="70"/>
      <c r="FP137" s="70"/>
      <c r="FQ137" s="70"/>
      <c r="FR137" s="70"/>
      <c r="FS137" s="70"/>
      <c r="FT137" s="70"/>
      <c r="FU137" s="70">
        <v>8.7512897913891017</v>
      </c>
      <c r="FV137" s="70">
        <v>201.00181421075393</v>
      </c>
      <c r="FW137" s="70"/>
      <c r="FX137" s="75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</row>
    <row r="138" spans="1:190" x14ac:dyDescent="0.2">
      <c r="A138" s="71" t="s">
        <v>457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>
        <v>0.18086998571878626</v>
      </c>
      <c r="V138" s="70">
        <v>0.1057932298697645</v>
      </c>
      <c r="W138" s="70">
        <v>2.797768515928734</v>
      </c>
      <c r="X138" s="70"/>
      <c r="Y138" s="70">
        <v>2.349582914859849</v>
      </c>
      <c r="Z138" s="70">
        <v>3.0570506910118037E-2</v>
      </c>
      <c r="AA138" s="70">
        <v>1.7384432875980427E-3</v>
      </c>
      <c r="AB138" s="70">
        <v>0.18075626149823368</v>
      </c>
      <c r="AC138" s="70">
        <v>7.922722907148555E-2</v>
      </c>
      <c r="AD138" s="70">
        <v>1.8176864812961331E-2</v>
      </c>
      <c r="AE138" s="70">
        <v>1.8578897405574491E-2</v>
      </c>
      <c r="AF138" s="70">
        <v>1.9751073349962823E-3</v>
      </c>
      <c r="AG138" s="70">
        <v>1.6680378589355897E-2</v>
      </c>
      <c r="AH138" s="70">
        <v>3.0227546173629601E-2</v>
      </c>
      <c r="AI138" s="70">
        <v>2.0830943747000719E-3</v>
      </c>
      <c r="AJ138" s="70">
        <v>5.6906310487132433E-2</v>
      </c>
      <c r="AK138" s="70">
        <v>0.59611040734656739</v>
      </c>
      <c r="AL138" s="70">
        <v>1.5717833356896888E-2</v>
      </c>
      <c r="AM138" s="70">
        <v>3.6302631839757585E-2</v>
      </c>
      <c r="AN138" s="70">
        <v>6.6904684429339445E-2</v>
      </c>
      <c r="AO138" s="70">
        <v>0.18260631823248036</v>
      </c>
      <c r="AP138" s="70">
        <v>1.0763217356492847</v>
      </c>
      <c r="AQ138" s="70">
        <v>2.5806912914510121</v>
      </c>
      <c r="AR138" s="70">
        <v>0.10632649604223685</v>
      </c>
      <c r="AS138" s="70">
        <v>0.25235327764545029</v>
      </c>
      <c r="AT138" s="70">
        <v>0.22910489710754206</v>
      </c>
      <c r="AU138" s="70">
        <v>0.68109196638505165</v>
      </c>
      <c r="AV138" s="70"/>
      <c r="AW138" s="70">
        <v>4.380587453464468</v>
      </c>
      <c r="AX138" s="70">
        <v>1.9171041247809921</v>
      </c>
      <c r="AY138" s="70">
        <v>2.5832193464946447</v>
      </c>
      <c r="AZ138" s="70">
        <v>0.73300269713667632</v>
      </c>
      <c r="BA138" s="70">
        <v>0.54781388973930401</v>
      </c>
      <c r="BB138" s="70">
        <v>0.10691825956353915</v>
      </c>
      <c r="BC138" s="70">
        <v>1.2109241621296329</v>
      </c>
      <c r="BD138" s="70">
        <v>2.4550737797145938</v>
      </c>
      <c r="BE138" s="70">
        <v>3.170823819007361</v>
      </c>
      <c r="BF138" s="70">
        <v>6.3600079021453313</v>
      </c>
      <c r="BG138" s="70">
        <v>13.019044090881952</v>
      </c>
      <c r="BH138" s="70">
        <v>16.618692987675914</v>
      </c>
      <c r="BI138" s="70">
        <v>22.901474406505244</v>
      </c>
      <c r="BJ138" s="70">
        <v>1.123916461261836</v>
      </c>
      <c r="BK138" s="70">
        <v>2.5409203950187003</v>
      </c>
      <c r="BL138" s="70">
        <v>2.7882220177458024</v>
      </c>
      <c r="BM138" s="70">
        <v>56.847636706018328</v>
      </c>
      <c r="BN138" s="70">
        <v>18.26290641870435</v>
      </c>
      <c r="BO138" s="70">
        <v>0.60889637209408976</v>
      </c>
      <c r="BP138" s="70">
        <v>4.4576864179430533</v>
      </c>
      <c r="BQ138" s="70">
        <v>9.5465314903342957</v>
      </c>
      <c r="BR138" s="70">
        <v>15.106949696845424</v>
      </c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G138" s="70"/>
      <c r="CH138" s="70"/>
      <c r="CI138" s="70"/>
      <c r="CJ138" s="70"/>
      <c r="CK138" s="70"/>
      <c r="CL138" s="70"/>
      <c r="CM138" s="70"/>
      <c r="CN138" s="70"/>
      <c r="CO138" s="70"/>
      <c r="CP138" s="70"/>
      <c r="CQ138" s="70"/>
      <c r="CR138" s="70"/>
      <c r="CS138" s="70"/>
      <c r="CT138" s="70"/>
      <c r="CU138" s="70"/>
      <c r="CV138" s="70"/>
      <c r="CW138" s="70"/>
      <c r="CX138" s="70"/>
      <c r="CY138" s="70"/>
      <c r="CZ138" s="70"/>
      <c r="DA138" s="70"/>
      <c r="DB138" s="70"/>
      <c r="DC138" s="70"/>
      <c r="DD138" s="70"/>
      <c r="DE138" s="70"/>
      <c r="DF138" s="70"/>
      <c r="DG138" s="70"/>
      <c r="DH138" s="70"/>
      <c r="DI138" s="70"/>
      <c r="DJ138" s="70"/>
      <c r="DK138" s="70"/>
      <c r="DL138" s="70"/>
      <c r="DM138" s="70"/>
      <c r="DN138" s="70"/>
      <c r="DO138" s="70"/>
      <c r="DP138" s="70"/>
      <c r="DQ138" s="70"/>
      <c r="DR138" s="70"/>
      <c r="DS138" s="70"/>
      <c r="DT138" s="70"/>
      <c r="DU138" s="70"/>
      <c r="DV138" s="70"/>
      <c r="DW138" s="70"/>
      <c r="DX138" s="70"/>
      <c r="DY138" s="70"/>
      <c r="DZ138" s="70"/>
      <c r="EA138" s="70"/>
      <c r="EB138" s="70"/>
      <c r="EC138" s="70"/>
      <c r="ED138" s="70"/>
      <c r="EE138" s="70"/>
      <c r="EF138" s="70"/>
      <c r="EG138" s="70"/>
      <c r="EH138" s="70"/>
      <c r="EI138" s="70"/>
      <c r="EJ138" s="70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7">
        <v>18.837296013526519</v>
      </c>
      <c r="FD138" s="77">
        <v>24.544098903475078</v>
      </c>
      <c r="FE138" s="77">
        <v>26.607715398956387</v>
      </c>
      <c r="FF138" s="77">
        <v>31.547364667668763</v>
      </c>
      <c r="FG138" s="77">
        <v>31.632645850537866</v>
      </c>
      <c r="FH138" s="77">
        <v>9.0065438535689051</v>
      </c>
      <c r="FI138" s="77">
        <v>13.84325097616887</v>
      </c>
      <c r="FJ138" s="77">
        <v>20.531536315805194</v>
      </c>
      <c r="FK138" s="77">
        <v>28.374794485037953</v>
      </c>
      <c r="FL138" s="77">
        <v>109.50035528419484</v>
      </c>
      <c r="FM138" s="70"/>
      <c r="FN138" s="70"/>
      <c r="FO138" s="70"/>
      <c r="FP138" s="70"/>
      <c r="FQ138" s="70"/>
      <c r="FR138" s="70"/>
      <c r="FS138" s="70"/>
      <c r="FT138" s="70"/>
      <c r="FU138" s="70"/>
      <c r="FV138" s="70">
        <v>513.40842146995453</v>
      </c>
      <c r="FW138" s="70"/>
      <c r="FX138" s="75"/>
      <c r="FY138" s="70"/>
      <c r="FZ138" s="70"/>
      <c r="GA138" s="70"/>
      <c r="GB138" s="70"/>
      <c r="GC138" s="70"/>
      <c r="GD138" s="70"/>
      <c r="GE138" s="70"/>
      <c r="GF138" s="70"/>
      <c r="GG138" s="70"/>
      <c r="GH138" s="70"/>
    </row>
    <row r="139" spans="1:190" x14ac:dyDescent="0.2">
      <c r="A139" s="71" t="s">
        <v>458</v>
      </c>
      <c r="B139" s="70">
        <v>2.1070418698729314E-2</v>
      </c>
      <c r="C139" s="70">
        <v>5.3907694930728448E-3</v>
      </c>
      <c r="D139" s="70">
        <v>1.5352904450378629E-2</v>
      </c>
      <c r="E139" s="70">
        <v>3.9241426220878339E-2</v>
      </c>
      <c r="F139" s="70">
        <v>1.6382499881436186E-2</v>
      </c>
      <c r="G139" s="70">
        <v>3.6804266509163991E-2</v>
      </c>
      <c r="H139" s="70">
        <v>9.3528952127699162E-3</v>
      </c>
      <c r="I139" s="70">
        <v>7.8737204229258374E-3</v>
      </c>
      <c r="J139" s="70">
        <v>0.17619149504695911</v>
      </c>
      <c r="K139" s="70">
        <v>0.32567574516638564</v>
      </c>
      <c r="L139" s="70">
        <v>4.9589394517153051E-2</v>
      </c>
      <c r="M139" s="70">
        <v>4.5230459915993201E-4</v>
      </c>
      <c r="N139" s="70">
        <v>1.0027207312538977E-2</v>
      </c>
      <c r="O139" s="70">
        <v>9.0708596203775682E-4</v>
      </c>
      <c r="P139" s="70"/>
      <c r="Q139" s="70"/>
      <c r="R139" s="70"/>
      <c r="S139" s="70"/>
      <c r="T139" s="70"/>
      <c r="U139" s="70">
        <v>0.16332325809574189</v>
      </c>
      <c r="V139" s="70">
        <v>1.4592039109905699</v>
      </c>
      <c r="W139" s="70">
        <v>13.90665874841549</v>
      </c>
      <c r="X139" s="70">
        <v>1.4695230119636731</v>
      </c>
      <c r="Y139" s="70">
        <v>4.0147511070546065</v>
      </c>
      <c r="Z139" s="70">
        <v>0.11174271697691099</v>
      </c>
      <c r="AA139" s="70">
        <v>1.6875084035742532E-2</v>
      </c>
      <c r="AB139" s="70">
        <v>0.41448859818384043</v>
      </c>
      <c r="AC139" s="70">
        <v>0.25383701443261314</v>
      </c>
      <c r="AD139" s="70">
        <v>0.30070092450656233</v>
      </c>
      <c r="AE139" s="70">
        <v>4.261764330383104E-2</v>
      </c>
      <c r="AF139" s="70">
        <v>4.5304501089148746E-3</v>
      </c>
      <c r="AG139" s="70">
        <v>3.8253230278510068E-2</v>
      </c>
      <c r="AH139" s="70">
        <v>6.9291972091859347E-2</v>
      </c>
      <c r="AI139" s="70">
        <v>4.7780495704310682E-3</v>
      </c>
      <c r="AJ139" s="70">
        <v>0.37618664603064689</v>
      </c>
      <c r="AK139" s="70">
        <v>1.3667601695205369</v>
      </c>
      <c r="AL139" s="70">
        <v>3.6075331215933287E-2</v>
      </c>
      <c r="AM139" s="70">
        <v>1.3578474868167181</v>
      </c>
      <c r="AN139" s="70">
        <v>1.0832412040398214</v>
      </c>
      <c r="AO139" s="70">
        <v>0.20400077724444277</v>
      </c>
      <c r="AP139" s="70">
        <v>0.47088506860208806</v>
      </c>
      <c r="AQ139" s="70">
        <v>6.3860553292520592</v>
      </c>
      <c r="AR139" s="70">
        <v>3.9565933211069972E-2</v>
      </c>
      <c r="AS139" s="70">
        <v>5.3346450760320956E-2</v>
      </c>
      <c r="AT139" s="70">
        <v>0.24579159575262988</v>
      </c>
      <c r="AU139" s="70">
        <v>5.1194635243788742</v>
      </c>
      <c r="AV139" s="70">
        <v>0.44850436507455466</v>
      </c>
      <c r="AW139" s="70">
        <v>36.041096509846092</v>
      </c>
      <c r="AX139" s="70">
        <v>2.1123232215587002</v>
      </c>
      <c r="AY139" s="70">
        <v>2.4544519102503832</v>
      </c>
      <c r="AZ139" s="70">
        <v>4.8248737154333545</v>
      </c>
      <c r="BA139" s="70">
        <v>2.2975786351470822</v>
      </c>
      <c r="BB139" s="70">
        <v>0.12659433138028331</v>
      </c>
      <c r="BC139" s="70">
        <v>0.54905220153763701</v>
      </c>
      <c r="BD139" s="70">
        <v>1.1313423856162108</v>
      </c>
      <c r="BE139" s="70">
        <v>0.45697409832347236</v>
      </c>
      <c r="BF139" s="70">
        <v>1.2451138386815539</v>
      </c>
      <c r="BG139" s="70">
        <v>8.9229180615828234</v>
      </c>
      <c r="BH139" s="70">
        <v>11.083474132987298</v>
      </c>
      <c r="BI139" s="70">
        <v>16.665455413419764</v>
      </c>
      <c r="BJ139" s="70">
        <v>1.5691117718113246</v>
      </c>
      <c r="BK139" s="70">
        <v>36.47052045653669</v>
      </c>
      <c r="BL139" s="70">
        <v>6.2541617189312086</v>
      </c>
      <c r="BM139" s="70">
        <v>19.347536893533732</v>
      </c>
      <c r="BN139" s="70">
        <v>68.138197796760352</v>
      </c>
      <c r="BO139" s="70">
        <v>6.3696540600448444</v>
      </c>
      <c r="BP139" s="70">
        <v>23.989955526442504</v>
      </c>
      <c r="BQ139" s="70">
        <v>8.1476861214070375</v>
      </c>
      <c r="BR139" s="70">
        <v>7.9429463784012686</v>
      </c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7">
        <v>2.4192151627021983</v>
      </c>
      <c r="FD139" s="77">
        <v>3.7480112243552748</v>
      </c>
      <c r="FE139" s="77">
        <v>5.5500302021388785</v>
      </c>
      <c r="FF139" s="77">
        <v>7.8886032518030937</v>
      </c>
      <c r="FG139" s="77">
        <v>11.986234432696847</v>
      </c>
      <c r="FH139" s="77">
        <v>0.91902678735459786</v>
      </c>
      <c r="FI139" s="77">
        <v>1.9848987264010276</v>
      </c>
      <c r="FJ139" s="77">
        <v>2.9834543342239428</v>
      </c>
      <c r="FK139" s="77">
        <v>4.624398251461268</v>
      </c>
      <c r="FL139" s="77">
        <v>16.786571522880461</v>
      </c>
      <c r="FM139" s="70"/>
      <c r="FN139" s="70"/>
      <c r="FO139" s="70"/>
      <c r="FP139" s="70"/>
      <c r="FQ139" s="70"/>
      <c r="FR139" s="70"/>
      <c r="FS139" s="70">
        <v>64.503736613947197</v>
      </c>
      <c r="FT139" s="70">
        <v>-2.4065831946036217E-4</v>
      </c>
      <c r="FU139" s="70">
        <v>26.049450422476205</v>
      </c>
      <c r="FV139" s="70">
        <v>455.75702118915768</v>
      </c>
      <c r="FW139" s="70"/>
      <c r="FX139" s="75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</row>
    <row r="140" spans="1:190" x14ac:dyDescent="0.2">
      <c r="A140" s="71" t="s">
        <v>459</v>
      </c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>
        <v>0.24848330382189554</v>
      </c>
      <c r="BF140" s="70"/>
      <c r="BG140" s="70"/>
      <c r="BH140" s="70"/>
      <c r="BI140" s="70"/>
      <c r="BJ140" s="70"/>
      <c r="BK140" s="70"/>
      <c r="BL140" s="70"/>
      <c r="BM140" s="70"/>
      <c r="BN140" s="70"/>
      <c r="BO140" s="70">
        <v>0.72250015415592894</v>
      </c>
      <c r="BP140" s="70">
        <v>0.12603947899524662</v>
      </c>
      <c r="BQ140" s="70">
        <v>0.33012880341351569</v>
      </c>
      <c r="BR140" s="70">
        <v>0.35920846697194186</v>
      </c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7">
        <v>0.17344809434880271</v>
      </c>
      <c r="FD140" s="77">
        <v>0.199466246516118</v>
      </c>
      <c r="FE140" s="77">
        <v>0.29949050092443852</v>
      </c>
      <c r="FF140" s="77">
        <v>0.35947106906807763</v>
      </c>
      <c r="FG140" s="77">
        <v>0.63922774841687702</v>
      </c>
      <c r="FH140" s="77">
        <v>5.6762950853946802E-2</v>
      </c>
      <c r="FI140" s="77">
        <v>0.15457000355427711</v>
      </c>
      <c r="FJ140" s="77">
        <v>0.12456137212704699</v>
      </c>
      <c r="FK140" s="77">
        <v>0.34440363414227659</v>
      </c>
      <c r="FL140" s="77">
        <v>1.343335481255548</v>
      </c>
      <c r="FM140" s="70">
        <v>223.17968545505926</v>
      </c>
      <c r="FN140" s="70"/>
      <c r="FO140" s="70"/>
      <c r="FP140" s="70"/>
      <c r="FQ140" s="70"/>
      <c r="FR140" s="70"/>
      <c r="FS140" s="70"/>
      <c r="FT140" s="70"/>
      <c r="FU140" s="70">
        <v>14.195409147881097</v>
      </c>
      <c r="FV140" s="70">
        <v>242.8561919115063</v>
      </c>
      <c r="FW140" s="70"/>
      <c r="FX140" s="75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</row>
    <row r="141" spans="1:190" x14ac:dyDescent="0.2">
      <c r="A141" s="71" t="s">
        <v>460</v>
      </c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0">
        <v>0.33368198629877172</v>
      </c>
      <c r="Y141" s="70"/>
      <c r="Z141" s="70">
        <v>6.6999970857545832E-2</v>
      </c>
      <c r="AA141" s="70">
        <v>3.8097516418572055E-3</v>
      </c>
      <c r="AB141" s="70">
        <v>0.3962290502827695</v>
      </c>
      <c r="AC141" s="70">
        <v>0.17376036594583602</v>
      </c>
      <c r="AD141" s="70">
        <v>3.9835227571051339E-2</v>
      </c>
      <c r="AE141" s="70">
        <v>4.07288034388993E-2</v>
      </c>
      <c r="AF141" s="70">
        <v>4.3295606509360573E-3</v>
      </c>
      <c r="AG141" s="70">
        <v>3.6558426023550389E-2</v>
      </c>
      <c r="AH141" s="70">
        <v>6.6225584898586487E-2</v>
      </c>
      <c r="AI141" s="70">
        <v>4.5661892029483274E-3</v>
      </c>
      <c r="AJ141" s="70">
        <v>0.12474451339556659</v>
      </c>
      <c r="AK141" s="70">
        <v>1.3074071188185368</v>
      </c>
      <c r="AL141" s="70">
        <v>3.4474748390636689E-2</v>
      </c>
      <c r="AM141" s="70">
        <v>4.8555476419538418E-2</v>
      </c>
      <c r="AN141" s="70">
        <v>0.15215695816284855</v>
      </c>
      <c r="AO141" s="70">
        <v>8.5503178371554023E-2</v>
      </c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>
        <v>1.4443834501523503</v>
      </c>
      <c r="BI141" s="70"/>
      <c r="BJ141" s="70"/>
      <c r="BK141" s="70"/>
      <c r="BL141" s="70"/>
      <c r="BM141" s="70"/>
      <c r="BN141" s="70"/>
      <c r="BO141" s="70">
        <v>0.26569429564439434</v>
      </c>
      <c r="BP141" s="70">
        <v>0.13553332038281551</v>
      </c>
      <c r="BQ141" s="70">
        <v>0.13326577618099089</v>
      </c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G141" s="70"/>
      <c r="CH141" s="70"/>
      <c r="CI141" s="70"/>
      <c r="CJ141" s="70"/>
      <c r="CK141" s="70"/>
      <c r="CL141" s="70"/>
      <c r="CM141" s="70"/>
      <c r="CN141" s="70"/>
      <c r="CO141" s="70"/>
      <c r="CP141" s="70"/>
      <c r="CQ141" s="70"/>
      <c r="CR141" s="70"/>
      <c r="CS141" s="70"/>
      <c r="CT141" s="70"/>
      <c r="CU141" s="70"/>
      <c r="CV141" s="70"/>
      <c r="CW141" s="70"/>
      <c r="CX141" s="70"/>
      <c r="CY141" s="70"/>
      <c r="CZ141" s="70"/>
      <c r="DA141" s="70"/>
      <c r="DB141" s="70"/>
      <c r="DC141" s="70"/>
      <c r="DD141" s="70"/>
      <c r="DE141" s="70"/>
      <c r="DF141" s="70"/>
      <c r="DG141" s="70"/>
      <c r="DH141" s="70"/>
      <c r="DI141" s="70"/>
      <c r="DJ141" s="70"/>
      <c r="DK141" s="70"/>
      <c r="DL141" s="70"/>
      <c r="DM141" s="70"/>
      <c r="DN141" s="70"/>
      <c r="DO141" s="70"/>
      <c r="DP141" s="70"/>
      <c r="DQ141" s="70"/>
      <c r="DR141" s="70"/>
      <c r="DS141" s="70"/>
      <c r="DT141" s="70"/>
      <c r="DU141" s="70"/>
      <c r="DV141" s="70"/>
      <c r="DW141" s="70"/>
      <c r="DX141" s="70"/>
      <c r="DY141" s="70"/>
      <c r="DZ141" s="70"/>
      <c r="EA141" s="70"/>
      <c r="EB141" s="70"/>
      <c r="EC141" s="70"/>
      <c r="ED141" s="70"/>
      <c r="EE141" s="70"/>
      <c r="EF141" s="70"/>
      <c r="EG141" s="70"/>
      <c r="EH141" s="70"/>
      <c r="EI141" s="70"/>
      <c r="EJ141" s="70"/>
      <c r="EK141" s="70"/>
      <c r="EL141" s="70"/>
      <c r="EM141" s="70"/>
      <c r="EN141" s="70"/>
      <c r="EO141" s="70"/>
      <c r="EP141" s="70"/>
      <c r="EQ141" s="70"/>
      <c r="ER141" s="70"/>
      <c r="ES141" s="70"/>
      <c r="ET141" s="70"/>
      <c r="EU141" s="70"/>
      <c r="EV141" s="70"/>
      <c r="EW141" s="70"/>
      <c r="EX141" s="70"/>
      <c r="EY141" s="70"/>
      <c r="EZ141" s="70"/>
      <c r="FA141" s="70"/>
      <c r="FB141" s="70"/>
      <c r="FC141" s="77">
        <v>4.7652242607019932</v>
      </c>
      <c r="FD141" s="77">
        <v>8.7808839725447303</v>
      </c>
      <c r="FE141" s="77">
        <v>11.714440465472745</v>
      </c>
      <c r="FF141" s="77">
        <v>13.589888578025445</v>
      </c>
      <c r="FG141" s="77">
        <v>13.696039562447451</v>
      </c>
      <c r="FH141" s="77">
        <v>2.7816692452861975</v>
      </c>
      <c r="FI141" s="77">
        <v>6.1379271873349754</v>
      </c>
      <c r="FJ141" s="77">
        <v>9.6369605475838185</v>
      </c>
      <c r="FK141" s="77">
        <v>14.417461751079662</v>
      </c>
      <c r="FL141" s="77">
        <v>55.271803297639835</v>
      </c>
      <c r="FM141" s="70">
        <v>92.746671844117188</v>
      </c>
      <c r="FN141" s="70"/>
      <c r="FO141" s="70"/>
      <c r="FP141" s="70"/>
      <c r="FQ141" s="70"/>
      <c r="FR141" s="70"/>
      <c r="FS141" s="70"/>
      <c r="FT141" s="70"/>
      <c r="FU141" s="70"/>
      <c r="FV141" s="70">
        <v>238.43741446496603</v>
      </c>
      <c r="FW141" s="70"/>
      <c r="FX141" s="75"/>
      <c r="FY141" s="70"/>
      <c r="FZ141" s="70"/>
      <c r="GA141" s="70"/>
      <c r="GB141" s="70"/>
      <c r="GC141" s="70"/>
      <c r="GD141" s="70"/>
      <c r="GE141" s="70"/>
      <c r="GF141" s="70"/>
      <c r="GG141" s="70"/>
      <c r="GH141" s="70"/>
    </row>
    <row r="142" spans="1:190" x14ac:dyDescent="0.2">
      <c r="A142" s="71" t="s">
        <v>461</v>
      </c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>
        <v>0.37064039622466277</v>
      </c>
      <c r="AO142" s="70">
        <v>1.7857790426468876E-2</v>
      </c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>
        <v>1.3137294896869929</v>
      </c>
      <c r="BI142" s="70"/>
      <c r="BJ142" s="70"/>
      <c r="BK142" s="70"/>
      <c r="BL142" s="70"/>
      <c r="BM142" s="70"/>
      <c r="BN142" s="70"/>
      <c r="BO142" s="70"/>
      <c r="BP142" s="70"/>
      <c r="BQ142" s="70">
        <v>2.5927661856641686</v>
      </c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7">
        <v>7.3476500077809614</v>
      </c>
      <c r="FD142" s="77">
        <v>10.970267733070056</v>
      </c>
      <c r="FE142" s="77">
        <v>12.515406793865722</v>
      </c>
      <c r="FF142" s="77">
        <v>19.981548905692513</v>
      </c>
      <c r="FG142" s="77">
        <v>32.115176581123933</v>
      </c>
      <c r="FH142" s="77">
        <v>2.7467539819019997</v>
      </c>
      <c r="FI142" s="77">
        <v>3.8054066885662059</v>
      </c>
      <c r="FJ142" s="77">
        <v>6.3723956237618209</v>
      </c>
      <c r="FK142" s="77">
        <v>11.230198104343422</v>
      </c>
      <c r="FL142" s="77">
        <v>39.560858007998185</v>
      </c>
      <c r="FM142" s="70">
        <v>43.020253178216052</v>
      </c>
      <c r="FN142" s="70"/>
      <c r="FO142" s="70"/>
      <c r="FP142" s="70"/>
      <c r="FQ142" s="70"/>
      <c r="FR142" s="70"/>
      <c r="FS142" s="70"/>
      <c r="FT142" s="70"/>
      <c r="FU142" s="70"/>
      <c r="FV142" s="70">
        <v>193.96090946832317</v>
      </c>
      <c r="FW142" s="70"/>
      <c r="FX142" s="75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</row>
    <row r="143" spans="1:190" x14ac:dyDescent="0.2">
      <c r="A143" s="71" t="s">
        <v>462</v>
      </c>
      <c r="B143" s="76">
        <v>1.2251752931999487</v>
      </c>
      <c r="C143" s="76">
        <v>0.38572905194692897</v>
      </c>
      <c r="D143" s="76">
        <v>1.2436684353721661</v>
      </c>
      <c r="E143" s="76">
        <v>1.439176913942666</v>
      </c>
      <c r="F143" s="76">
        <v>2.0304418533669582E-2</v>
      </c>
      <c r="G143" s="76">
        <v>0.5543965832283666</v>
      </c>
      <c r="H143" s="76">
        <v>0.3943880840241461</v>
      </c>
      <c r="I143" s="76">
        <v>0.73629641585210093</v>
      </c>
      <c r="J143" s="76">
        <v>0.4983245618708067</v>
      </c>
      <c r="K143" s="76">
        <v>8.5309700662798704</v>
      </c>
      <c r="L143" s="76">
        <v>4.5665084177953235</v>
      </c>
      <c r="M143" s="76">
        <v>4.020521720715807E-2</v>
      </c>
      <c r="N143" s="76">
        <v>8.7345098139305799E-2</v>
      </c>
      <c r="O143" s="76">
        <v>3.785379646651145E-2</v>
      </c>
      <c r="P143" s="76"/>
      <c r="Q143" s="76"/>
      <c r="R143" s="76"/>
      <c r="S143" s="76"/>
      <c r="T143" s="76"/>
      <c r="U143" s="76">
        <v>7.2692977728958203E-3</v>
      </c>
      <c r="V143" s="76"/>
      <c r="W143" s="76">
        <v>0.50039277962499207</v>
      </c>
      <c r="X143" s="70"/>
      <c r="Y143" s="70">
        <v>0.50796736691071454</v>
      </c>
      <c r="Z143" s="70">
        <v>0.20424487207233752</v>
      </c>
      <c r="AA143" s="70">
        <v>1.1613372626318251E-2</v>
      </c>
      <c r="AB143" s="70">
        <v>1.2069862286473303</v>
      </c>
      <c r="AC143" s="70">
        <v>0.53084801277262572</v>
      </c>
      <c r="AD143" s="70">
        <v>0.12142452259540608</v>
      </c>
      <c r="AE143" s="70">
        <v>0.12429146286627818</v>
      </c>
      <c r="AF143" s="70">
        <v>1.3211282522994338E-2</v>
      </c>
      <c r="AG143" s="70">
        <v>0.11147002805878607</v>
      </c>
      <c r="AH143" s="70">
        <v>0.2016237662558974</v>
      </c>
      <c r="AI143" s="70">
        <v>1.3932333553882802E-2</v>
      </c>
      <c r="AJ143" s="70">
        <v>0.38047288986973188</v>
      </c>
      <c r="AK143" s="70">
        <v>3.9747401025295437</v>
      </c>
      <c r="AL143" s="70">
        <v>0.10541571318968569</v>
      </c>
      <c r="AM143" s="70">
        <v>1.351024278973569E-2</v>
      </c>
      <c r="AN143" s="70">
        <v>0.48888251438503</v>
      </c>
      <c r="AO143" s="70">
        <v>4.7142261677758555E-2</v>
      </c>
      <c r="AP143" s="70">
        <v>0.25840612981040134</v>
      </c>
      <c r="AQ143" s="70">
        <v>8.4133530326638423E-2</v>
      </c>
      <c r="AR143" s="70">
        <v>2.656637937669893E-3</v>
      </c>
      <c r="AS143" s="70">
        <v>2.7171655325695528E-3</v>
      </c>
      <c r="AT143" s="70"/>
      <c r="AU143" s="70">
        <v>2.1855794367720573</v>
      </c>
      <c r="AV143" s="70">
        <v>8.5396159259841821E-3</v>
      </c>
      <c r="AW143" s="70">
        <v>1.6579261772383289</v>
      </c>
      <c r="AX143" s="70">
        <v>0.2396829734789063</v>
      </c>
      <c r="AY143" s="70">
        <v>0.31525994237778304</v>
      </c>
      <c r="AZ143" s="70">
        <v>0.3480291665003224</v>
      </c>
      <c r="BA143" s="70">
        <v>0.26705247319277992</v>
      </c>
      <c r="BB143" s="70">
        <v>1.654585766793264E-2</v>
      </c>
      <c r="BC143" s="70">
        <v>4.053235034480733E-2</v>
      </c>
      <c r="BD143" s="70"/>
      <c r="BE143" s="70">
        <v>0.66542098438946162</v>
      </c>
      <c r="BF143" s="70"/>
      <c r="BG143" s="70">
        <v>1.1029023645412592</v>
      </c>
      <c r="BH143" s="70">
        <v>2.2301640032900059</v>
      </c>
      <c r="BI143" s="70">
        <v>3.1684038160773906E-2</v>
      </c>
      <c r="BJ143" s="70"/>
      <c r="BK143" s="70">
        <v>2.9663965230498355</v>
      </c>
      <c r="BL143" s="70">
        <v>0.74552481670605419</v>
      </c>
      <c r="BM143" s="70">
        <v>3.3714984868297524</v>
      </c>
      <c r="BN143" s="70">
        <v>2.1043535926099812</v>
      </c>
      <c r="BO143" s="70">
        <v>2.0701900859383473</v>
      </c>
      <c r="BP143" s="70">
        <v>0.89720419917624894</v>
      </c>
      <c r="BQ143" s="70">
        <v>1.2054224088821168</v>
      </c>
      <c r="BR143" s="70">
        <v>2.7697006117267522</v>
      </c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70"/>
      <c r="CM143" s="70"/>
      <c r="CN143" s="70"/>
      <c r="CO143" s="70"/>
      <c r="CP143" s="70"/>
      <c r="CQ143" s="70"/>
      <c r="CR143" s="70"/>
      <c r="CS143" s="70"/>
      <c r="CT143" s="70"/>
      <c r="CU143" s="70"/>
      <c r="CV143" s="70"/>
      <c r="CW143" s="70"/>
      <c r="CX143" s="70"/>
      <c r="CY143" s="70"/>
      <c r="CZ143" s="70"/>
      <c r="DA143" s="70"/>
      <c r="DB143" s="70"/>
      <c r="DC143" s="70"/>
      <c r="DD143" s="70"/>
      <c r="DE143" s="70"/>
      <c r="DF143" s="70"/>
      <c r="DG143" s="70"/>
      <c r="DH143" s="70"/>
      <c r="DI143" s="70"/>
      <c r="DJ143" s="70"/>
      <c r="DK143" s="70"/>
      <c r="DL143" s="70"/>
      <c r="DM143" s="70"/>
      <c r="DN143" s="70"/>
      <c r="DO143" s="70"/>
      <c r="DP143" s="70"/>
      <c r="DQ143" s="70"/>
      <c r="DR143" s="70"/>
      <c r="DS143" s="70"/>
      <c r="DT143" s="70"/>
      <c r="DU143" s="70"/>
      <c r="DV143" s="70"/>
      <c r="DW143" s="70"/>
      <c r="DX143" s="70"/>
      <c r="DY143" s="70"/>
      <c r="DZ143" s="70"/>
      <c r="EA143" s="70"/>
      <c r="EB143" s="70"/>
      <c r="EC143" s="70"/>
      <c r="ED143" s="70"/>
      <c r="EE143" s="70"/>
      <c r="EF143" s="70"/>
      <c r="EG143" s="70"/>
      <c r="EH143" s="70"/>
      <c r="EI143" s="70"/>
      <c r="EJ143" s="70"/>
      <c r="EK143" s="70"/>
      <c r="EL143" s="70"/>
      <c r="EM143" s="70"/>
      <c r="EN143" s="70"/>
      <c r="EO143" s="70"/>
      <c r="EP143" s="70"/>
      <c r="EQ143" s="70"/>
      <c r="ER143" s="70"/>
      <c r="ES143" s="70"/>
      <c r="ET143" s="70"/>
      <c r="EU143" s="70"/>
      <c r="EV143" s="70"/>
      <c r="EW143" s="70"/>
      <c r="EX143" s="70"/>
      <c r="EY143" s="70"/>
      <c r="EZ143" s="70"/>
      <c r="FA143" s="70"/>
      <c r="FB143" s="70"/>
      <c r="FC143" s="77">
        <v>3.7267163883338448</v>
      </c>
      <c r="FD143" s="77">
        <v>5.519142283715591</v>
      </c>
      <c r="FE143" s="77">
        <v>6.2950130204649799</v>
      </c>
      <c r="FF143" s="77">
        <v>7.7492108463795999</v>
      </c>
      <c r="FG143" s="77">
        <v>12.896819025218804</v>
      </c>
      <c r="FH143" s="77">
        <v>2.120153808041525</v>
      </c>
      <c r="FI143" s="77">
        <v>3.1809214459987323</v>
      </c>
      <c r="FJ143" s="77">
        <v>4.6437773414320374</v>
      </c>
      <c r="FK143" s="77">
        <v>6.5523954965012363</v>
      </c>
      <c r="FL143" s="77">
        <v>27.721022811579704</v>
      </c>
      <c r="FM143" s="70">
        <v>30.421771222066951</v>
      </c>
      <c r="FN143" s="70"/>
      <c r="FO143" s="70"/>
      <c r="FP143" s="70"/>
      <c r="FQ143" s="70"/>
      <c r="FR143" s="70"/>
      <c r="FS143" s="70"/>
      <c r="FT143" s="70"/>
      <c r="FU143" s="70">
        <v>2.3010581195521218</v>
      </c>
      <c r="FV143" s="70">
        <v>167.04130678627283</v>
      </c>
      <c r="FW143" s="70"/>
      <c r="FX143" s="75"/>
      <c r="FY143" s="70"/>
      <c r="FZ143" s="70"/>
      <c r="GA143" s="70"/>
      <c r="GB143" s="70"/>
      <c r="GC143" s="70"/>
      <c r="GD143" s="70"/>
      <c r="GE143" s="70"/>
      <c r="GF143" s="70"/>
      <c r="GG143" s="70"/>
      <c r="GH143" s="70"/>
    </row>
    <row r="144" spans="1:190" x14ac:dyDescent="0.2">
      <c r="A144" s="71" t="s">
        <v>355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>
        <v>6.7143965436536153</v>
      </c>
      <c r="BT144" s="70">
        <v>0.52802452964154234</v>
      </c>
      <c r="BU144" s="70">
        <v>1.8053751624960048</v>
      </c>
      <c r="BV144" s="70">
        <v>1.5854038565860253</v>
      </c>
      <c r="BW144" s="70">
        <v>0.40560902043104974</v>
      </c>
      <c r="BX144" s="70">
        <v>1.191021803774122</v>
      </c>
      <c r="BY144" s="70">
        <v>1.2759584453681974</v>
      </c>
      <c r="BZ144" s="70">
        <v>2.1295219139651458</v>
      </c>
      <c r="CA144" s="70">
        <v>3.3280119148572069</v>
      </c>
      <c r="CB144" s="70">
        <v>38.499215609801588</v>
      </c>
      <c r="CC144" s="70">
        <v>9.2942820657238929</v>
      </c>
      <c r="CD144" s="70">
        <v>1.6847370418237575</v>
      </c>
      <c r="CE144" s="70">
        <v>11.859619741727506</v>
      </c>
      <c r="CF144" s="70">
        <v>22.180769319649247</v>
      </c>
      <c r="CG144" s="70">
        <v>0.15984742937088769</v>
      </c>
      <c r="CH144" s="70">
        <v>2.3862537036045204E-6</v>
      </c>
      <c r="CI144" s="70">
        <v>1.2545356523010167</v>
      </c>
      <c r="CJ144" s="70">
        <v>14.053159863842495</v>
      </c>
      <c r="CK144" s="70">
        <v>4.9035926683440438</v>
      </c>
      <c r="CL144" s="70">
        <v>14.088712468194762</v>
      </c>
      <c r="CM144" s="70">
        <v>0.41973922916663525</v>
      </c>
      <c r="CN144" s="70">
        <v>3.2638370422977547</v>
      </c>
      <c r="CO144" s="70">
        <v>6.6083801059827422E-3</v>
      </c>
      <c r="CP144" s="70">
        <v>0.74295820417496794</v>
      </c>
      <c r="CQ144" s="70">
        <v>0.25218234936258455</v>
      </c>
      <c r="CR144" s="70">
        <v>37.02833335455523</v>
      </c>
      <c r="CS144" s="70">
        <v>9.9446708768630092</v>
      </c>
      <c r="CT144" s="70">
        <v>0.87546067239713521</v>
      </c>
      <c r="CU144" s="70">
        <v>16.976353924023218</v>
      </c>
      <c r="CV144" s="70">
        <v>6.3712116881298346</v>
      </c>
      <c r="CW144" s="70">
        <v>20.698359026791426</v>
      </c>
      <c r="CX144" s="70">
        <v>3.023457273400846</v>
      </c>
      <c r="CY144" s="70">
        <v>6.5186543928775356</v>
      </c>
      <c r="CZ144" s="70">
        <v>0.73078271741152578</v>
      </c>
      <c r="DA144" s="70">
        <v>7.7099738318370942E-2</v>
      </c>
      <c r="DB144" s="70">
        <v>0.71670180714477894</v>
      </c>
      <c r="DC144" s="70">
        <v>1.3489054564524996</v>
      </c>
      <c r="DD144" s="70">
        <v>2.7768614416572808</v>
      </c>
      <c r="DE144" s="70">
        <v>8.7644921214288285</v>
      </c>
      <c r="DF144" s="70">
        <v>14.931781731640408</v>
      </c>
      <c r="DG144" s="70">
        <v>4.6575136422957524</v>
      </c>
      <c r="DH144" s="70">
        <v>2.031593390274975</v>
      </c>
      <c r="DI144" s="70">
        <v>8.6371930872248068</v>
      </c>
      <c r="DJ144" s="70">
        <v>2.078531195387268</v>
      </c>
      <c r="DK144" s="70">
        <v>8.6544100437448801</v>
      </c>
      <c r="DL144" s="70">
        <v>50.367792365797065</v>
      </c>
      <c r="DM144" s="70">
        <v>2.3283414860941365</v>
      </c>
      <c r="DN144" s="70">
        <v>4.3219649424899966</v>
      </c>
      <c r="DO144" s="70">
        <v>12.115271756174428</v>
      </c>
      <c r="DP144" s="70">
        <v>66.247219294550419</v>
      </c>
      <c r="DQ144" s="70">
        <v>6.2860103501560189</v>
      </c>
      <c r="DR144" s="70">
        <v>66.648256593963097</v>
      </c>
      <c r="DS144" s="70">
        <v>27.872683360802402</v>
      </c>
      <c r="DT144" s="70">
        <v>31.027033448442815</v>
      </c>
      <c r="DU144" s="70">
        <v>19.110200043074805</v>
      </c>
      <c r="DV144" s="70">
        <v>16.662145741327155</v>
      </c>
      <c r="DW144" s="70">
        <v>17.113315368472517</v>
      </c>
      <c r="DX144" s="70">
        <v>6.1550863076354627</v>
      </c>
      <c r="DY144" s="70"/>
      <c r="DZ144" s="70"/>
      <c r="EA144" s="70"/>
      <c r="EB144" s="70"/>
      <c r="EC144" s="70"/>
      <c r="ED144" s="70"/>
      <c r="EE144" s="70"/>
      <c r="EF144" s="70"/>
      <c r="EG144" s="70"/>
      <c r="EH144" s="70"/>
      <c r="EI144" s="70"/>
      <c r="EJ144" s="70"/>
      <c r="EK144" s="70"/>
      <c r="EL144" s="70"/>
      <c r="EM144" s="70"/>
      <c r="EN144" s="70"/>
      <c r="EO144" s="70"/>
      <c r="EP144" s="70"/>
      <c r="EQ144" s="70"/>
      <c r="ER144" s="70"/>
      <c r="ES144" s="70"/>
      <c r="ET144" s="70"/>
      <c r="EU144" s="70"/>
      <c r="EV144" s="70"/>
      <c r="EW144" s="70"/>
      <c r="EX144" s="70"/>
      <c r="EY144" s="70"/>
      <c r="EZ144" s="70"/>
      <c r="FA144" s="70"/>
      <c r="FB144" s="70"/>
      <c r="FC144" s="70"/>
      <c r="FD144" s="70"/>
      <c r="FE144" s="70"/>
      <c r="FF144" s="70"/>
      <c r="FG144" s="70"/>
      <c r="FH144" s="70"/>
      <c r="FI144" s="70"/>
      <c r="FJ144" s="70"/>
      <c r="FK144" s="70"/>
      <c r="FL144" s="70"/>
      <c r="FM144" s="70"/>
      <c r="FN144" s="70"/>
      <c r="FO144" s="70"/>
      <c r="FP144" s="70"/>
      <c r="FQ144" s="70"/>
      <c r="FR144" s="70"/>
      <c r="FS144" s="70"/>
      <c r="FT144" s="70"/>
      <c r="FU144" s="70"/>
      <c r="FV144" s="70">
        <v>624.72481128391348</v>
      </c>
      <c r="FW144" s="70"/>
      <c r="FX144" s="75"/>
      <c r="FY144" s="70"/>
      <c r="FZ144" s="70"/>
      <c r="GA144" s="70"/>
      <c r="GB144" s="70"/>
      <c r="GC144" s="70"/>
      <c r="GD144" s="70"/>
      <c r="GE144" s="70"/>
      <c r="GF144" s="70"/>
      <c r="GG144" s="70"/>
      <c r="GH144" s="70"/>
    </row>
    <row r="145" spans="1:190" x14ac:dyDescent="0.2">
      <c r="A145" s="71" t="s">
        <v>356</v>
      </c>
      <c r="B145" s="78">
        <v>9.5517195841107867</v>
      </c>
      <c r="C145" s="78">
        <v>0.7507571103116516</v>
      </c>
      <c r="D145" s="78">
        <v>2.6002549251567419</v>
      </c>
      <c r="E145" s="78">
        <v>1.7390114512120556</v>
      </c>
      <c r="F145" s="78">
        <v>0.14125369549950101</v>
      </c>
      <c r="G145" s="78">
        <v>0.19154560597663681</v>
      </c>
      <c r="H145" s="78">
        <v>3.226005211940727</v>
      </c>
      <c r="I145" s="78">
        <v>0.72188972678843555</v>
      </c>
      <c r="J145" s="78">
        <v>5.1886434425282886</v>
      </c>
      <c r="K145" s="78">
        <v>10.822255431342127</v>
      </c>
      <c r="L145" s="78">
        <v>2.202842493198014</v>
      </c>
      <c r="M145" s="78">
        <v>0.15724546151551599</v>
      </c>
      <c r="N145" s="78">
        <v>14.802001738108856</v>
      </c>
      <c r="O145" s="78">
        <v>0.12415061717448841</v>
      </c>
      <c r="P145" s="78">
        <v>21.670610750163746</v>
      </c>
      <c r="Q145" s="78">
        <v>6.0014428556697386</v>
      </c>
      <c r="R145" s="78">
        <v>7.0314566512796945</v>
      </c>
      <c r="S145" s="78">
        <v>0.87623400266112095</v>
      </c>
      <c r="T145" s="78">
        <v>0.20068955942060754</v>
      </c>
      <c r="U145" s="78">
        <v>0.1945298192386799</v>
      </c>
      <c r="V145" s="78">
        <v>4.1753081228695699</v>
      </c>
      <c r="W145" s="78">
        <v>1.1481536929974188</v>
      </c>
      <c r="X145" s="79">
        <v>0.29055426750931374</v>
      </c>
      <c r="Y145" s="79">
        <v>1.3838296034040221</v>
      </c>
      <c r="Z145" s="79">
        <v>0.15434286814487985</v>
      </c>
      <c r="AA145" s="79">
        <v>6.7943823738236863E-3</v>
      </c>
      <c r="AB145" s="79">
        <v>0.36100581520480368</v>
      </c>
      <c r="AC145" s="79">
        <v>0.17507630900083515</v>
      </c>
      <c r="AD145" s="79">
        <v>0.20798766321134238</v>
      </c>
      <c r="AE145" s="79">
        <v>5.004757606292206E-2</v>
      </c>
      <c r="AF145" s="79">
        <v>5.3133480668657732E-3</v>
      </c>
      <c r="AG145" s="79">
        <v>4.472548616304442E-2</v>
      </c>
      <c r="AH145" s="79">
        <v>6.0451324906723031E-2</v>
      </c>
      <c r="AI145" s="79">
        <v>3.2026802095543649E-2</v>
      </c>
      <c r="AJ145" s="79">
        <v>0.41833539689877153</v>
      </c>
      <c r="AK145" s="79">
        <v>1.6223953043367023</v>
      </c>
      <c r="AL145" s="79">
        <v>0.26392017929744416</v>
      </c>
      <c r="AM145" s="79">
        <v>8.696189121209684E-2</v>
      </c>
      <c r="AN145" s="79">
        <v>0.39856340508944299</v>
      </c>
      <c r="AO145" s="79">
        <v>0.22586819581687664</v>
      </c>
      <c r="AP145" s="79">
        <v>0.94827825101913632</v>
      </c>
      <c r="AQ145" s="79">
        <v>0.60162196072486196</v>
      </c>
      <c r="AR145" s="79">
        <v>0.19545707785145233</v>
      </c>
      <c r="AS145" s="79">
        <v>0.10910013379140372</v>
      </c>
      <c r="AT145" s="79">
        <v>0.22575404114248926</v>
      </c>
      <c r="AU145" s="79">
        <v>0.15287436586877831</v>
      </c>
      <c r="AV145" s="79">
        <v>6.44775854889547E-2</v>
      </c>
      <c r="AW145" s="79">
        <v>0.82964506742276056</v>
      </c>
      <c r="AX145" s="79">
        <v>1.0698880374849329</v>
      </c>
      <c r="AY145" s="79">
        <v>1.8472726067347796</v>
      </c>
      <c r="AZ145" s="79">
        <v>0.50569048993086241</v>
      </c>
      <c r="BA145" s="79">
        <v>0.27808142732447322</v>
      </c>
      <c r="BB145" s="79">
        <v>9.7279960863300527E-2</v>
      </c>
      <c r="BC145" s="79">
        <v>0.95115888564039741</v>
      </c>
      <c r="BD145" s="79">
        <v>0.86996959086798709</v>
      </c>
      <c r="BE145" s="79">
        <v>0.80755541163641131</v>
      </c>
      <c r="BF145" s="79">
        <v>16.992912059586367</v>
      </c>
      <c r="BG145" s="79">
        <v>8.4627569761647159</v>
      </c>
      <c r="BH145" s="79">
        <v>18.911456990811779</v>
      </c>
      <c r="BI145" s="79">
        <v>0.69033283433400583</v>
      </c>
      <c r="BJ145" s="79">
        <v>1.480198674080953</v>
      </c>
      <c r="BK145" s="79">
        <v>5.085792808208188</v>
      </c>
      <c r="BL145" s="79">
        <v>1.3350823569689667</v>
      </c>
      <c r="BM145" s="79">
        <v>4.8471216169624265</v>
      </c>
      <c r="BN145" s="79">
        <v>1.7544815281620865</v>
      </c>
      <c r="BO145" s="79">
        <v>5.601102602152408</v>
      </c>
      <c r="BP145" s="79">
        <v>2.4938226065337536</v>
      </c>
      <c r="BQ145" s="79">
        <v>0.65387168761043046</v>
      </c>
      <c r="BR145" s="79">
        <v>3.8565188182908146</v>
      </c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T145" s="70"/>
      <c r="CU145" s="70"/>
      <c r="CV145" s="70"/>
      <c r="CW145" s="70"/>
      <c r="CX145" s="70"/>
      <c r="CY145" s="70"/>
      <c r="CZ145" s="70"/>
      <c r="DA145" s="70"/>
      <c r="DB145" s="70"/>
      <c r="DC145" s="70"/>
      <c r="DD145" s="70"/>
      <c r="DE145" s="70"/>
      <c r="DF145" s="70"/>
      <c r="DG145" s="70"/>
      <c r="DH145" s="70"/>
      <c r="DI145" s="70"/>
      <c r="DJ145" s="70"/>
      <c r="DK145" s="70"/>
      <c r="DL145" s="70"/>
      <c r="DM145" s="70"/>
      <c r="DN145" s="70"/>
      <c r="DO145" s="70"/>
      <c r="DP145" s="70"/>
      <c r="DQ145" s="70"/>
      <c r="DR145" s="70"/>
      <c r="DS145" s="70"/>
      <c r="DT145" s="70"/>
      <c r="DU145" s="70"/>
      <c r="DV145" s="70"/>
      <c r="DW145" s="70"/>
      <c r="DX145" s="70"/>
      <c r="DY145" s="70"/>
      <c r="DZ145" s="70"/>
      <c r="EA145" s="70"/>
      <c r="EB145" s="70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70"/>
      <c r="ER145" s="70"/>
      <c r="ES145" s="70"/>
      <c r="ET145" s="70"/>
      <c r="EU145" s="70"/>
      <c r="EV145" s="70"/>
      <c r="EW145" s="70"/>
      <c r="EX145" s="70"/>
      <c r="EY145" s="70"/>
      <c r="EZ145" s="70"/>
      <c r="FA145" s="70"/>
      <c r="FB145" s="70"/>
      <c r="FC145" s="70"/>
      <c r="FD145" s="70"/>
      <c r="FE145" s="70"/>
      <c r="FF145" s="70"/>
      <c r="FG145" s="70"/>
      <c r="FH145" s="70"/>
      <c r="FI145" s="70"/>
      <c r="FJ145" s="70"/>
      <c r="FK145" s="70"/>
      <c r="FL145" s="70"/>
      <c r="FM145" s="70"/>
      <c r="FN145" s="70"/>
      <c r="FO145" s="70"/>
      <c r="FP145" s="70"/>
      <c r="FQ145" s="70"/>
      <c r="FR145" s="70"/>
      <c r="FS145" s="70"/>
      <c r="FT145" s="70"/>
      <c r="FU145" s="70"/>
      <c r="FV145" s="70">
        <v>181.02575822161972</v>
      </c>
      <c r="FW145" s="70"/>
      <c r="FX145" s="75"/>
      <c r="FY145" s="70"/>
      <c r="FZ145" s="70"/>
      <c r="GA145" s="70"/>
      <c r="GB145" s="70"/>
      <c r="GC145" s="70"/>
      <c r="GD145" s="70"/>
      <c r="GE145" s="70"/>
      <c r="GF145" s="70"/>
      <c r="GG145" s="70"/>
      <c r="GH145" s="70"/>
    </row>
    <row r="146" spans="1:190" x14ac:dyDescent="0.2">
      <c r="A146" s="71" t="s">
        <v>357</v>
      </c>
      <c r="B146" s="78">
        <v>2.8796457118165728</v>
      </c>
      <c r="C146" s="78">
        <v>0.22633772634207952</v>
      </c>
      <c r="D146" s="78">
        <v>0.78392302861502072</v>
      </c>
      <c r="E146" s="78">
        <v>0.52427595096207003</v>
      </c>
      <c r="F146" s="78">
        <v>4.2585064913340326E-2</v>
      </c>
      <c r="G146" s="78">
        <v>5.793244493227076E-2</v>
      </c>
      <c r="H146" s="78">
        <v>0.97569645797445237</v>
      </c>
      <c r="I146" s="78">
        <v>0.21833357456105776</v>
      </c>
      <c r="J146" s="78">
        <v>1.5692910258882238</v>
      </c>
      <c r="K146" s="78">
        <v>3.2731615722663316</v>
      </c>
      <c r="L146" s="78">
        <v>0.80109696511676931</v>
      </c>
      <c r="M146" s="78">
        <v>5.7184688595501076E-2</v>
      </c>
      <c r="N146" s="78">
        <v>2.9837501623896134</v>
      </c>
      <c r="O146" s="78">
        <v>4.5149248274881704E-2</v>
      </c>
      <c r="P146" s="78">
        <v>5.3015645688325312</v>
      </c>
      <c r="Q146" s="78">
        <v>1.4682113564912518</v>
      </c>
      <c r="R146" s="78">
        <v>2.0919228013015219</v>
      </c>
      <c r="S146" s="78">
        <v>0.21436456941941096</v>
      </c>
      <c r="T146" s="78">
        <v>0.97364089452758351</v>
      </c>
      <c r="U146" s="78">
        <v>0.1221876756873944</v>
      </c>
      <c r="V146" s="78">
        <v>1.2484649384065338</v>
      </c>
      <c r="W146" s="78">
        <v>2.3045155247294025</v>
      </c>
      <c r="X146" s="79">
        <v>0.58318570443608608</v>
      </c>
      <c r="Y146" s="79">
        <v>2.7775521901595019</v>
      </c>
      <c r="Z146" s="79">
        <v>0.12369713992576613</v>
      </c>
      <c r="AA146" s="79">
        <v>5.445315856221559E-3</v>
      </c>
      <c r="AB146" s="79">
        <v>0.28932588446837976</v>
      </c>
      <c r="AC146" s="79">
        <v>0.14031382824786129</v>
      </c>
      <c r="AD146" s="79">
        <v>0.16669043013336032</v>
      </c>
      <c r="AE146" s="79">
        <v>4.01103212193097E-2</v>
      </c>
      <c r="AF146" s="79">
        <v>4.2583500436472735E-3</v>
      </c>
      <c r="AG146" s="79">
        <v>3.5844965087501221E-2</v>
      </c>
      <c r="AH146" s="79">
        <v>4.8448341575884686E-2</v>
      </c>
      <c r="AI146" s="79">
        <v>2.5667683047515696E-2</v>
      </c>
      <c r="AJ146" s="79">
        <v>0.33527232419650288</v>
      </c>
      <c r="AK146" s="79">
        <v>1.3002587122267399</v>
      </c>
      <c r="AL146" s="79">
        <v>0.21151720024500684</v>
      </c>
      <c r="AM146" s="79">
        <v>6.5812051575986324E-2</v>
      </c>
      <c r="AN146" s="79">
        <v>0.30162954147435089</v>
      </c>
      <c r="AO146" s="79">
        <v>0.20757019060381068</v>
      </c>
      <c r="AP146" s="79">
        <v>0.8714564553792884</v>
      </c>
      <c r="AQ146" s="79">
        <v>0.55288343986394517</v>
      </c>
      <c r="AR146" s="79">
        <v>0.17962273421346553</v>
      </c>
      <c r="AS146" s="79">
        <v>9.2585715592028744E-2</v>
      </c>
      <c r="AT146" s="79">
        <v>0.19158179482101204</v>
      </c>
      <c r="AU146" s="79">
        <v>0.17712923738553008</v>
      </c>
      <c r="AV146" s="79">
        <v>7.470752523625912E-2</v>
      </c>
      <c r="AW146" s="79">
        <v>0.96127560208099538</v>
      </c>
      <c r="AX146" s="79">
        <v>1.0063906609682087</v>
      </c>
      <c r="AY146" s="79">
        <v>1.7376378037187483</v>
      </c>
      <c r="AZ146" s="79">
        <v>0.47567798552381235</v>
      </c>
      <c r="BA146" s="79">
        <v>0.26157741898483533</v>
      </c>
      <c r="BB146" s="79">
        <v>9.1506438694579043E-2</v>
      </c>
      <c r="BC146" s="79">
        <v>0.8947080311839688</v>
      </c>
      <c r="BD146" s="79">
        <v>1.1575729023814787</v>
      </c>
      <c r="BE146" s="79">
        <v>1.0745252150125804</v>
      </c>
      <c r="BF146" s="79">
        <v>12.814428176830438</v>
      </c>
      <c r="BG146" s="79">
        <v>9.7525654580916221</v>
      </c>
      <c r="BH146" s="79">
        <v>16.685583386627634</v>
      </c>
      <c r="BI146" s="79">
        <v>0.79554643642425116</v>
      </c>
      <c r="BJ146" s="79">
        <v>1.7057956999844195</v>
      </c>
      <c r="BK146" s="79">
        <v>4.4871963080210158</v>
      </c>
      <c r="BL146" s="79">
        <v>0.93397006490837531</v>
      </c>
      <c r="BM146" s="79">
        <v>3.3908518583759668</v>
      </c>
      <c r="BN146" s="79">
        <v>1.2273649023857025</v>
      </c>
      <c r="BO146" s="79">
        <v>6.2178864428981075</v>
      </c>
      <c r="BP146" s="79">
        <v>1.9251671780279416</v>
      </c>
      <c r="BQ146" s="79">
        <v>0.83869871672430152</v>
      </c>
      <c r="BR146" s="79">
        <v>2.2688474113630774</v>
      </c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>
        <v>107.67057712827084</v>
      </c>
      <c r="FW146" s="70"/>
      <c r="FX146" s="75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</row>
    <row r="147" spans="1:190" x14ac:dyDescent="0.2">
      <c r="A147" s="71" t="s">
        <v>358</v>
      </c>
      <c r="B147" s="78">
        <v>4.8705530147145231</v>
      </c>
      <c r="C147" s="78">
        <v>0.38282136266118072</v>
      </c>
      <c r="D147" s="78">
        <v>1.3259057024471335</v>
      </c>
      <c r="E147" s="78">
        <v>0.88674582537092561</v>
      </c>
      <c r="F147" s="78">
        <v>7.2027199542071693E-2</v>
      </c>
      <c r="G147" s="78">
        <v>0.15894815806790941</v>
      </c>
      <c r="H147" s="78">
        <v>2.6769999955937256</v>
      </c>
      <c r="I147" s="78">
        <v>0.59903771645465775</v>
      </c>
      <c r="J147" s="78">
        <v>4.3056342318894085</v>
      </c>
      <c r="K147" s="78">
        <v>8.9805117594922663</v>
      </c>
      <c r="L147" s="78">
        <v>1.6110300574806513</v>
      </c>
      <c r="M147" s="78">
        <v>0.11500012628508055</v>
      </c>
      <c r="N147" s="78">
        <v>9.5946862529093231</v>
      </c>
      <c r="O147" s="78">
        <v>9.0796494320620258E-2</v>
      </c>
      <c r="P147" s="78">
        <v>8.9207001163822852</v>
      </c>
      <c r="Q147" s="78">
        <v>2.4704920686478644</v>
      </c>
      <c r="R147" s="78">
        <v>5.3387205416506029</v>
      </c>
      <c r="S147" s="78">
        <v>0.36070145228639278</v>
      </c>
      <c r="T147" s="78">
        <v>3.9118495449470538</v>
      </c>
      <c r="U147" s="78">
        <v>0.17798773100568835</v>
      </c>
      <c r="V147" s="78">
        <v>1.4839001181694327</v>
      </c>
      <c r="W147" s="78">
        <v>4.2042309128127728</v>
      </c>
      <c r="X147" s="79">
        <v>1.0639318070068473</v>
      </c>
      <c r="Y147" s="79">
        <v>5.0672128933436342</v>
      </c>
      <c r="Z147" s="79">
        <v>0.31441390207665498</v>
      </c>
      <c r="AA147" s="79">
        <v>1.3840926374061417E-2</v>
      </c>
      <c r="AB147" s="79">
        <v>0.73540973026599521</v>
      </c>
      <c r="AC147" s="79">
        <v>0.35665026920751097</v>
      </c>
      <c r="AD147" s="79">
        <v>0.42369442501676535</v>
      </c>
      <c r="AE147" s="79">
        <v>0.10195258043702184</v>
      </c>
      <c r="AF147" s="79">
        <v>1.0823891760431428E-2</v>
      </c>
      <c r="AG147" s="79">
        <v>9.1110880572713632E-2</v>
      </c>
      <c r="AH147" s="79">
        <v>0.12314619507903059</v>
      </c>
      <c r="AI147" s="79">
        <v>6.5242222973622518E-2</v>
      </c>
      <c r="AJ147" s="79">
        <v>0.85219658087643435</v>
      </c>
      <c r="AK147" s="79">
        <v>3.3050029747310155</v>
      </c>
      <c r="AL147" s="79">
        <v>0.53763529476326255</v>
      </c>
      <c r="AM147" s="79">
        <v>0.12706268743335644</v>
      </c>
      <c r="AN147" s="79">
        <v>0.582353219983899</v>
      </c>
      <c r="AO147" s="79">
        <v>0.50655622860425276</v>
      </c>
      <c r="AP147" s="79">
        <v>2.1267104594625659</v>
      </c>
      <c r="AQ147" s="79">
        <v>1.3492619019162986</v>
      </c>
      <c r="AR147" s="79">
        <v>0.43835299543771172</v>
      </c>
      <c r="AS147" s="79">
        <v>0.24694773184982119</v>
      </c>
      <c r="AT147" s="79">
        <v>0.51099340100407453</v>
      </c>
      <c r="AU147" s="79">
        <v>1.0943790925937922</v>
      </c>
      <c r="AV147" s="79">
        <v>0.46157458184068278</v>
      </c>
      <c r="AW147" s="79">
        <v>5.9391658693150919</v>
      </c>
      <c r="AX147" s="79">
        <v>1.8289343378008058</v>
      </c>
      <c r="AY147" s="79">
        <v>3.1578447308170992</v>
      </c>
      <c r="AZ147" s="79">
        <v>0.86445933493007376</v>
      </c>
      <c r="BA147" s="79">
        <v>0.47536999510152089</v>
      </c>
      <c r="BB147" s="79">
        <v>0.16629652315868096</v>
      </c>
      <c r="BC147" s="79">
        <v>1.6259712097926615</v>
      </c>
      <c r="BD147" s="79">
        <v>5.121760364613869</v>
      </c>
      <c r="BE147" s="79">
        <v>4.7543101999946096</v>
      </c>
      <c r="BF147" s="79">
        <v>23.509699563342775</v>
      </c>
      <c r="BG147" s="79">
        <v>20.661678996959282</v>
      </c>
      <c r="BH147" s="79">
        <v>34.185414916361566</v>
      </c>
      <c r="BI147" s="79">
        <v>1.6854360185744606</v>
      </c>
      <c r="BJ147" s="79">
        <v>3.6138801978744355</v>
      </c>
      <c r="BK147" s="79">
        <v>9.1933655567477039</v>
      </c>
      <c r="BL147" s="79">
        <v>4.5005462121805282</v>
      </c>
      <c r="BM147" s="79">
        <v>16.339587381503893</v>
      </c>
      <c r="BN147" s="79">
        <v>5.9143356622861321</v>
      </c>
      <c r="BO147" s="79">
        <v>29.378538946624893</v>
      </c>
      <c r="BP147" s="79">
        <v>20.35128092251227</v>
      </c>
      <c r="BQ147" s="79">
        <v>6.2215684635208923</v>
      </c>
      <c r="BR147" s="79">
        <v>3.8876586293896254</v>
      </c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T147" s="70"/>
      <c r="CU147" s="70"/>
      <c r="CV147" s="70"/>
      <c r="CW147" s="70"/>
      <c r="CX147" s="70"/>
      <c r="CY147" s="70"/>
      <c r="CZ147" s="70"/>
      <c r="DA147" s="70"/>
      <c r="DB147" s="70"/>
      <c r="DC147" s="70"/>
      <c r="DD147" s="70"/>
      <c r="DE147" s="70"/>
      <c r="DF147" s="70"/>
      <c r="DG147" s="70"/>
      <c r="DH147" s="70"/>
      <c r="DI147" s="70"/>
      <c r="DJ147" s="70"/>
      <c r="DK147" s="70"/>
      <c r="DL147" s="70"/>
      <c r="DM147" s="70"/>
      <c r="DN147" s="70"/>
      <c r="DO147" s="70"/>
      <c r="DP147" s="70"/>
      <c r="DQ147" s="70"/>
      <c r="DR147" s="70"/>
      <c r="DS147" s="70"/>
      <c r="DT147" s="70"/>
      <c r="DU147" s="70"/>
      <c r="DV147" s="70"/>
      <c r="DW147" s="70"/>
      <c r="DX147" s="70"/>
      <c r="DY147" s="70"/>
      <c r="DZ147" s="70"/>
      <c r="EA147" s="70"/>
      <c r="EB147" s="70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70"/>
      <c r="ER147" s="70"/>
      <c r="ES147" s="70"/>
      <c r="ET147" s="70"/>
      <c r="EU147" s="70"/>
      <c r="EV147" s="70"/>
      <c r="EW147" s="70"/>
      <c r="EX147" s="70"/>
      <c r="EY147" s="70"/>
      <c r="EZ147" s="70"/>
      <c r="FA147" s="70"/>
      <c r="FB147" s="70"/>
      <c r="FC147" s="70"/>
      <c r="FD147" s="70"/>
      <c r="FE147" s="70"/>
      <c r="FF147" s="70"/>
      <c r="FG147" s="70"/>
      <c r="FH147" s="70"/>
      <c r="FI147" s="70"/>
      <c r="FJ147" s="70"/>
      <c r="FK147" s="70"/>
      <c r="FL147" s="70"/>
      <c r="FM147" s="70"/>
      <c r="FN147" s="70"/>
      <c r="FO147" s="70"/>
      <c r="FP147" s="70"/>
      <c r="FQ147" s="70"/>
      <c r="FR147" s="70"/>
      <c r="FS147" s="70"/>
      <c r="FT147" s="70"/>
      <c r="FU147" s="70"/>
      <c r="FV147" s="70">
        <v>286.42284129114586</v>
      </c>
      <c r="FW147" s="70"/>
      <c r="FX147" s="75"/>
      <c r="FY147" s="70"/>
      <c r="FZ147" s="70"/>
      <c r="GA147" s="70"/>
      <c r="GB147" s="70"/>
      <c r="GC147" s="70"/>
      <c r="GD147" s="70"/>
      <c r="GE147" s="70"/>
      <c r="GF147" s="70"/>
      <c r="GG147" s="70"/>
      <c r="GH147" s="70"/>
    </row>
    <row r="148" spans="1:190" x14ac:dyDescent="0.2">
      <c r="A148" s="71" t="s">
        <v>359</v>
      </c>
      <c r="B148" s="78">
        <v>1.4654175049236162</v>
      </c>
      <c r="C148" s="78">
        <v>0.1151805810156627</v>
      </c>
      <c r="D148" s="78">
        <v>0.39892911962440841</v>
      </c>
      <c r="E148" s="78">
        <v>0.26679780529863695</v>
      </c>
      <c r="F148" s="78">
        <v>2.1671033806777016E-2</v>
      </c>
      <c r="G148" s="78">
        <v>2.0901974019167678E-2</v>
      </c>
      <c r="H148" s="78">
        <v>0.35203040436181626</v>
      </c>
      <c r="I148" s="78">
        <v>7.8774557302433532E-2</v>
      </c>
      <c r="J148" s="78">
        <v>0.56619879050464483</v>
      </c>
      <c r="K148" s="78">
        <v>1.1809537509427401</v>
      </c>
      <c r="L148" s="78">
        <v>0.1932515048445233</v>
      </c>
      <c r="M148" s="78">
        <v>1.379486829479527E-2</v>
      </c>
      <c r="N148" s="78">
        <v>5.3492529623877187</v>
      </c>
      <c r="O148" s="78">
        <v>1.0891515698662136E-2</v>
      </c>
      <c r="P148" s="78">
        <v>1.4166193100246782</v>
      </c>
      <c r="Q148" s="78">
        <v>0.39231750020184181</v>
      </c>
      <c r="R148" s="78">
        <v>1.8485886120327151</v>
      </c>
      <c r="S148" s="78">
        <v>5.7279881152430372E-2</v>
      </c>
      <c r="T148" s="78">
        <v>0.19600701287744618</v>
      </c>
      <c r="U148" s="78"/>
      <c r="V148" s="78">
        <v>0.29735294785275207</v>
      </c>
      <c r="W148" s="78">
        <v>0.56661362807492965</v>
      </c>
      <c r="X148" s="79">
        <v>0.14338847548912254</v>
      </c>
      <c r="Y148" s="79">
        <v>0.68291964482145917</v>
      </c>
      <c r="Z148" s="79">
        <v>0.11239704252269868</v>
      </c>
      <c r="AA148" s="79">
        <v>4.9478702434717524E-3</v>
      </c>
      <c r="AB148" s="79">
        <v>0.26289511430115203</v>
      </c>
      <c r="AC148" s="79">
        <v>0.12749574751333786</v>
      </c>
      <c r="AD148" s="79">
        <v>0.15146276926911889</v>
      </c>
      <c r="AE148" s="79">
        <v>3.6446125451173671E-2</v>
      </c>
      <c r="AF148" s="79">
        <v>3.8693372475676821E-3</v>
      </c>
      <c r="AG148" s="79">
        <v>3.257042214219627E-2</v>
      </c>
      <c r="AH148" s="79">
        <v>4.4022443134310925E-2</v>
      </c>
      <c r="AI148" s="79">
        <v>2.3322864737876075E-2</v>
      </c>
      <c r="AJ148" s="79">
        <v>0.30464421167711125</v>
      </c>
      <c r="AK148" s="79">
        <v>1.1814762560909966</v>
      </c>
      <c r="AL148" s="79">
        <v>0.19219448213990672</v>
      </c>
      <c r="AM148" s="79">
        <v>3.7686941197711149E-3</v>
      </c>
      <c r="AN148" s="79">
        <v>1.7272664384138787E-2</v>
      </c>
      <c r="AO148" s="79">
        <v>8.7097656771693427E-2</v>
      </c>
      <c r="AP148" s="79">
        <v>0.36566818684950608</v>
      </c>
      <c r="AQ148" s="79">
        <v>0.23199310045408342</v>
      </c>
      <c r="AR148" s="79">
        <v>7.5370741855600151E-2</v>
      </c>
      <c r="AS148" s="79">
        <v>5.6077629622531509E-2</v>
      </c>
      <c r="AT148" s="79">
        <v>0.11603790999178178</v>
      </c>
      <c r="AU148" s="79">
        <v>0.53288557018900784</v>
      </c>
      <c r="AV148" s="79">
        <v>0.22475432498071499</v>
      </c>
      <c r="AW148" s="79">
        <v>2.8919556414550422</v>
      </c>
      <c r="AX148" s="79">
        <v>0.52043846276911099</v>
      </c>
      <c r="AY148" s="79">
        <v>0.89859095725993332</v>
      </c>
      <c r="AZ148" s="79">
        <v>0.24598908670411507</v>
      </c>
      <c r="BA148" s="79">
        <v>0.1352704820418438</v>
      </c>
      <c r="BB148" s="79">
        <v>4.7321057452844366E-2</v>
      </c>
      <c r="BC148" s="79">
        <v>0.46268361823686666</v>
      </c>
      <c r="BD148" s="79">
        <v>3.4063374643621289</v>
      </c>
      <c r="BE148" s="79">
        <v>3.1619567880079011</v>
      </c>
      <c r="BF148" s="79">
        <v>3.5727124950109781</v>
      </c>
      <c r="BG148" s="79">
        <v>8.4607472465698095</v>
      </c>
      <c r="BH148" s="79">
        <v>7.4229729723705509</v>
      </c>
      <c r="BI148" s="79">
        <v>0.69016889457638253</v>
      </c>
      <c r="BJ148" s="79">
        <v>1.4798471575373464</v>
      </c>
      <c r="BK148" s="79">
        <v>1.9962344824488005</v>
      </c>
      <c r="BL148" s="79">
        <v>4.2301314404384565</v>
      </c>
      <c r="BM148" s="79">
        <v>15.35782526112601</v>
      </c>
      <c r="BN148" s="79">
        <v>5.5589735233985005</v>
      </c>
      <c r="BO148" s="79">
        <v>12.519698185226119</v>
      </c>
      <c r="BP148" s="79">
        <v>46.833080449156718</v>
      </c>
      <c r="BQ148" s="79">
        <v>6.2020811220048904</v>
      </c>
      <c r="BR148" s="79">
        <v>2.2637047157095891</v>
      </c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>
        <v>148.18252605510668</v>
      </c>
      <c r="FW148" s="70"/>
      <c r="FX148" s="75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</row>
    <row r="149" spans="1:190" x14ac:dyDescent="0.2">
      <c r="A149" s="71" t="s">
        <v>360</v>
      </c>
      <c r="B149" s="78">
        <v>0.83485799331127719</v>
      </c>
      <c r="C149" s="78">
        <v>6.5619134759943645E-2</v>
      </c>
      <c r="D149" s="78">
        <v>0.22727254394332352</v>
      </c>
      <c r="E149" s="78">
        <v>0.15199646490034452</v>
      </c>
      <c r="F149" s="78">
        <v>1.2346130530117936E-2</v>
      </c>
      <c r="G149" s="78">
        <v>3.6054359644264032E-2</v>
      </c>
      <c r="H149" s="78">
        <v>0.60722641760713592</v>
      </c>
      <c r="I149" s="78">
        <v>0.13588028657939746</v>
      </c>
      <c r="J149" s="78">
        <v>0.9766510476130934</v>
      </c>
      <c r="K149" s="78">
        <v>2.0370578980093699</v>
      </c>
      <c r="L149" s="78">
        <v>0.40257297859130248</v>
      </c>
      <c r="M149" s="78">
        <v>2.8736858857468486E-2</v>
      </c>
      <c r="N149" s="78">
        <v>1.2712040320753875</v>
      </c>
      <c r="O149" s="78">
        <v>2.2688723276498752E-2</v>
      </c>
      <c r="P149" s="78">
        <v>1.5339806472901505</v>
      </c>
      <c r="Q149" s="78">
        <v>0.42481946183014496</v>
      </c>
      <c r="R149" s="78">
        <v>0.43222686081479833</v>
      </c>
      <c r="S149" s="78">
        <v>6.2025293983446667E-2</v>
      </c>
      <c r="T149" s="78"/>
      <c r="U149" s="78"/>
      <c r="V149" s="78">
        <v>1.9286794396326346</v>
      </c>
      <c r="W149" s="78">
        <v>2.6706413879463553</v>
      </c>
      <c r="X149" s="79">
        <v>0.67583831066121458</v>
      </c>
      <c r="Y149" s="79">
        <v>3.2188309241665962</v>
      </c>
      <c r="Z149" s="79">
        <v>0.12204073484948857</v>
      </c>
      <c r="AA149" s="79">
        <v>5.3723986583656264E-3</v>
      </c>
      <c r="AB149" s="79">
        <v>0.28545157610506977</v>
      </c>
      <c r="AC149" s="79">
        <v>0.13843491223152354</v>
      </c>
      <c r="AD149" s="79">
        <v>0.16445831001477482</v>
      </c>
      <c r="AE149" s="79">
        <v>3.9573211471108087E-2</v>
      </c>
      <c r="AF149" s="79">
        <v>4.2013272811719481E-3</v>
      </c>
      <c r="AG149" s="79">
        <v>3.5364971918980422E-2</v>
      </c>
      <c r="AH149" s="79">
        <v>4.7799578969314443E-2</v>
      </c>
      <c r="AI149" s="79">
        <v>2.5323971943752886E-2</v>
      </c>
      <c r="AJ149" s="79">
        <v>0.33078275572250471</v>
      </c>
      <c r="AK149" s="79">
        <v>1.2828471929895207</v>
      </c>
      <c r="AL149" s="79">
        <v>0.20868481330044122</v>
      </c>
      <c r="AM149" s="79">
        <v>6.0311545036584452E-2</v>
      </c>
      <c r="AN149" s="79">
        <v>0.27641964107425704</v>
      </c>
      <c r="AO149" s="79">
        <v>0.29007934239765554</v>
      </c>
      <c r="AP149" s="79">
        <v>1.2178604007119649</v>
      </c>
      <c r="AQ149" s="79">
        <v>0.77265460995025259</v>
      </c>
      <c r="AR149" s="79">
        <v>0.25102277195362549</v>
      </c>
      <c r="AS149" s="79">
        <v>8.7469745702571627E-2</v>
      </c>
      <c r="AT149" s="79">
        <v>0.18099564027864939</v>
      </c>
      <c r="AU149" s="79">
        <v>0.20993386926750124</v>
      </c>
      <c r="AV149" s="79">
        <v>8.8543484225086996E-2</v>
      </c>
      <c r="AW149" s="79">
        <v>1.1393054560387099</v>
      </c>
      <c r="AX149" s="79">
        <v>1.0653878478299545</v>
      </c>
      <c r="AY149" s="79">
        <v>1.8395025627829893</v>
      </c>
      <c r="AZ149" s="79">
        <v>0.50356344202334735</v>
      </c>
      <c r="BA149" s="79">
        <v>0.27691175431324022</v>
      </c>
      <c r="BB149" s="79">
        <v>9.6870779474056451E-2</v>
      </c>
      <c r="BC149" s="79">
        <v>0.94715809749488111</v>
      </c>
      <c r="BD149" s="79">
        <v>0.66540656818851351</v>
      </c>
      <c r="BE149" s="79">
        <v>0.61766834234161982</v>
      </c>
      <c r="BF149" s="79">
        <v>7.1539877071398417</v>
      </c>
      <c r="BG149" s="79">
        <v>13.667831196725835</v>
      </c>
      <c r="BH149" s="79">
        <v>18.142876989501346</v>
      </c>
      <c r="BI149" s="79">
        <v>1.1149265748513262</v>
      </c>
      <c r="BJ149" s="79">
        <v>2.3906045833451919</v>
      </c>
      <c r="BK149" s="79">
        <v>4.8791012431375345</v>
      </c>
      <c r="BL149" s="79">
        <v>1.3598772560908234</v>
      </c>
      <c r="BM149" s="79">
        <v>4.9371414504930016</v>
      </c>
      <c r="BN149" s="79">
        <v>1.7870654300276634</v>
      </c>
      <c r="BO149" s="79">
        <v>1.5545901542692739</v>
      </c>
      <c r="BP149" s="79">
        <v>1.332336789063816</v>
      </c>
      <c r="BQ149" s="79">
        <v>1.0366083296759072</v>
      </c>
      <c r="BR149" s="79">
        <v>3.8914850768415827</v>
      </c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70"/>
      <c r="CM149" s="70"/>
      <c r="CN149" s="70"/>
      <c r="CO149" s="70"/>
      <c r="CP149" s="70"/>
      <c r="CQ149" s="70"/>
      <c r="CR149" s="70"/>
      <c r="CS149" s="70"/>
      <c r="CT149" s="70"/>
      <c r="CU149" s="70"/>
      <c r="CV149" s="70"/>
      <c r="CW149" s="70"/>
      <c r="CX149" s="70"/>
      <c r="CY149" s="70"/>
      <c r="CZ149" s="70"/>
      <c r="DA149" s="70"/>
      <c r="DB149" s="70"/>
      <c r="DC149" s="70"/>
      <c r="DD149" s="70"/>
      <c r="DE149" s="70"/>
      <c r="DF149" s="70"/>
      <c r="DG149" s="70"/>
      <c r="DH149" s="70"/>
      <c r="DI149" s="70"/>
      <c r="DJ149" s="70"/>
      <c r="DK149" s="70"/>
      <c r="DL149" s="70"/>
      <c r="DM149" s="70"/>
      <c r="DN149" s="70"/>
      <c r="DO149" s="70"/>
      <c r="DP149" s="70"/>
      <c r="DQ149" s="70"/>
      <c r="DR149" s="70"/>
      <c r="DS149" s="70"/>
      <c r="DT149" s="70"/>
      <c r="DU149" s="70"/>
      <c r="DV149" s="70"/>
      <c r="DW149" s="70"/>
      <c r="DX149" s="70"/>
      <c r="DY149" s="70"/>
      <c r="DZ149" s="70"/>
      <c r="EA149" s="70"/>
      <c r="EB149" s="70"/>
      <c r="EC149" s="70"/>
      <c r="ED149" s="70"/>
      <c r="EE149" s="70"/>
      <c r="EF149" s="70"/>
      <c r="EG149" s="70"/>
      <c r="EH149" s="70"/>
      <c r="EI149" s="70"/>
      <c r="EJ149" s="70"/>
      <c r="EK149" s="70"/>
      <c r="EL149" s="70"/>
      <c r="EM149" s="70"/>
      <c r="EN149" s="70"/>
      <c r="EO149" s="70"/>
      <c r="EP149" s="70"/>
      <c r="EQ149" s="70"/>
      <c r="ER149" s="70"/>
      <c r="ES149" s="70"/>
      <c r="ET149" s="70"/>
      <c r="EU149" s="70"/>
      <c r="EV149" s="70"/>
      <c r="EW149" s="70"/>
      <c r="EX149" s="70"/>
      <c r="EY149" s="70"/>
      <c r="EZ149" s="70"/>
      <c r="FA149" s="70"/>
      <c r="FB149" s="70"/>
      <c r="FC149" s="70"/>
      <c r="FD149" s="70"/>
      <c r="FE149" s="70"/>
      <c r="FF149" s="70"/>
      <c r="FG149" s="70"/>
      <c r="FH149" s="70"/>
      <c r="FI149" s="70"/>
      <c r="FJ149" s="70"/>
      <c r="FK149" s="70"/>
      <c r="FL149" s="70"/>
      <c r="FM149" s="70"/>
      <c r="FN149" s="70"/>
      <c r="FO149" s="70"/>
      <c r="FP149" s="70"/>
      <c r="FQ149" s="70"/>
      <c r="FR149" s="70"/>
      <c r="FS149" s="70"/>
      <c r="FT149" s="70"/>
      <c r="FU149" s="70"/>
      <c r="FV149" s="70">
        <v>94.283041633728885</v>
      </c>
      <c r="FW149" s="70"/>
      <c r="FX149" s="75"/>
      <c r="FY149" s="70"/>
      <c r="FZ149" s="70"/>
      <c r="GA149" s="70"/>
      <c r="GB149" s="70"/>
      <c r="GC149" s="70"/>
      <c r="GD149" s="70"/>
      <c r="GE149" s="70"/>
      <c r="GF149" s="70"/>
      <c r="GG149" s="70"/>
      <c r="GH149" s="70"/>
    </row>
    <row r="150" spans="1:190" x14ac:dyDescent="0.2">
      <c r="A150" s="71" t="s">
        <v>361</v>
      </c>
      <c r="B150" s="78">
        <v>0.23678596803350815</v>
      </c>
      <c r="C150" s="78">
        <v>1.8611177553715108E-2</v>
      </c>
      <c r="D150" s="78">
        <v>6.4460003684714023E-2</v>
      </c>
      <c r="E150" s="78">
        <v>4.310988259973466E-2</v>
      </c>
      <c r="F150" s="78">
        <v>3.5016619502522234E-3</v>
      </c>
      <c r="G150" s="78">
        <v>3.4554786887504136E-3</v>
      </c>
      <c r="H150" s="78">
        <v>5.8197065930181723E-2</v>
      </c>
      <c r="I150" s="78">
        <v>1.302287543390347E-2</v>
      </c>
      <c r="J150" s="78">
        <v>9.3603018183397793E-2</v>
      </c>
      <c r="K150" s="78">
        <v>0.19523325954956858</v>
      </c>
      <c r="L150" s="78">
        <v>0.10035946747820787</v>
      </c>
      <c r="M150" s="78">
        <v>7.163957854359246E-3</v>
      </c>
      <c r="N150" s="78">
        <v>0.14341942098496027</v>
      </c>
      <c r="O150" s="78">
        <v>5.6561873421253741E-3</v>
      </c>
      <c r="P150" s="78">
        <v>0.49905827164720029</v>
      </c>
      <c r="Q150" s="78">
        <v>0.13820882731315484</v>
      </c>
      <c r="R150" s="78">
        <v>0.5463451941996349</v>
      </c>
      <c r="S150" s="78">
        <v>2.017902642283689E-2</v>
      </c>
      <c r="T150" s="78"/>
      <c r="U150" s="78"/>
      <c r="V150" s="78">
        <v>0.38144401982090204</v>
      </c>
      <c r="W150" s="78">
        <v>0.58269347681642059</v>
      </c>
      <c r="X150" s="79">
        <v>0.1474576769394505</v>
      </c>
      <c r="Y150" s="79">
        <v>0.70230012571216882</v>
      </c>
      <c r="Z150" s="79">
        <v>0.14984769318008659</v>
      </c>
      <c r="AA150" s="79">
        <v>6.5964986755670521E-3</v>
      </c>
      <c r="AB150" s="79">
        <v>0.35049166367866952</v>
      </c>
      <c r="AC150" s="79">
        <v>0.1699772807748583</v>
      </c>
      <c r="AD150" s="79">
        <v>0.20193010481625112</v>
      </c>
      <c r="AE150" s="79">
        <v>4.8589960212765286E-2</v>
      </c>
      <c r="AF150" s="79">
        <v>5.1585989067880452E-3</v>
      </c>
      <c r="AG150" s="79">
        <v>4.34228740753929E-2</v>
      </c>
      <c r="AH150" s="79">
        <v>5.869070398801491E-2</v>
      </c>
      <c r="AI150" s="79">
        <v>3.1094034156780605E-2</v>
      </c>
      <c r="AJ150" s="79">
        <v>0.40615154398979864</v>
      </c>
      <c r="AK150" s="79">
        <v>1.5751436830424377</v>
      </c>
      <c r="AL150" s="79">
        <v>0.25623360850255655</v>
      </c>
      <c r="AM150" s="79">
        <v>8.7215598310443579E-2</v>
      </c>
      <c r="AN150" s="79">
        <v>0.39972619448607438</v>
      </c>
      <c r="AO150" s="79">
        <v>0.33658203470318609</v>
      </c>
      <c r="AP150" s="79">
        <v>1.4130959077194312</v>
      </c>
      <c r="AQ150" s="79">
        <v>0.89651906471625575</v>
      </c>
      <c r="AR150" s="79">
        <v>0.29126429563247658</v>
      </c>
      <c r="AS150" s="79">
        <v>0.11296529838593278</v>
      </c>
      <c r="AT150" s="79">
        <v>0.23375198300170041</v>
      </c>
      <c r="AU150" s="79">
        <v>0.16533543798241421</v>
      </c>
      <c r="AV150" s="79">
        <v>6.9733272653542164E-2</v>
      </c>
      <c r="AW150" s="79">
        <v>0.89727097026870462</v>
      </c>
      <c r="AX150" s="79">
        <v>0.87898705556893297</v>
      </c>
      <c r="AY150" s="79">
        <v>1.5176622716933765</v>
      </c>
      <c r="AZ150" s="79">
        <v>0.41545972961661393</v>
      </c>
      <c r="BA150" s="79">
        <v>0.22846313487806172</v>
      </c>
      <c r="BB150" s="79">
        <v>7.9922219306333517E-2</v>
      </c>
      <c r="BC150" s="79">
        <v>0.78144284165720901</v>
      </c>
      <c r="BD150" s="79">
        <v>0.46504926034726862</v>
      </c>
      <c r="BE150" s="79">
        <v>0.43168525752290937</v>
      </c>
      <c r="BF150" s="79">
        <v>7.3874979675899475</v>
      </c>
      <c r="BG150" s="79">
        <v>13.233817272075626</v>
      </c>
      <c r="BH150" s="79">
        <v>18.904682526490909</v>
      </c>
      <c r="BI150" s="79">
        <v>1.079522738537928</v>
      </c>
      <c r="BJ150" s="79">
        <v>2.3146923436803521</v>
      </c>
      <c r="BK150" s="79">
        <v>5.083970974917432</v>
      </c>
      <c r="BL150" s="79">
        <v>1.3805022346682665</v>
      </c>
      <c r="BM150" s="79">
        <v>5.0120220591612767</v>
      </c>
      <c r="BN150" s="79">
        <v>1.8141694837543683</v>
      </c>
      <c r="BO150" s="79">
        <v>2.9301639654989757</v>
      </c>
      <c r="BP150" s="79">
        <v>1.4080364578911118</v>
      </c>
      <c r="BQ150" s="79">
        <v>0.87854853457283166</v>
      </c>
      <c r="BR150" s="79">
        <v>2.9664539331660551</v>
      </c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>
        <v>81.403806612595062</v>
      </c>
      <c r="FW150" s="70"/>
      <c r="FX150" s="75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</row>
    <row r="151" spans="1:190" x14ac:dyDescent="0.2">
      <c r="A151" s="71" t="s">
        <v>362</v>
      </c>
      <c r="B151" s="78">
        <v>0.3731654608009124</v>
      </c>
      <c r="C151" s="78">
        <v>2.9330490761584675E-2</v>
      </c>
      <c r="D151" s="78">
        <v>0.10158645454375423</v>
      </c>
      <c r="E151" s="78">
        <v>6.7939495481956477E-2</v>
      </c>
      <c r="F151" s="78">
        <v>5.5184828141926819E-3</v>
      </c>
      <c r="G151" s="78">
        <v>8.5757114844313958E-3</v>
      </c>
      <c r="H151" s="78">
        <v>0.14443186939119879</v>
      </c>
      <c r="I151" s="78">
        <v>3.2319812239742646E-2</v>
      </c>
      <c r="J151" s="78">
        <v>0.23230138291001465</v>
      </c>
      <c r="K151" s="78">
        <v>0.48452450640570033</v>
      </c>
      <c r="L151" s="78">
        <v>0.17033773380115635</v>
      </c>
      <c r="M151" s="78">
        <v>1.2159215035925968E-2</v>
      </c>
      <c r="N151" s="78">
        <v>0.48768011068003525</v>
      </c>
      <c r="O151" s="78">
        <v>9.6001120574063323E-3</v>
      </c>
      <c r="P151" s="78">
        <v>0.69317344595833974</v>
      </c>
      <c r="Q151" s="78">
        <v>0.19196693960068562</v>
      </c>
      <c r="R151" s="78">
        <v>0.25760864417577717</v>
      </c>
      <c r="S151" s="78">
        <v>2.8027919936953732E-2</v>
      </c>
      <c r="T151" s="78">
        <v>2.8138712476974821E-2</v>
      </c>
      <c r="U151" s="78"/>
      <c r="V151" s="78">
        <v>0.97519609182290734</v>
      </c>
      <c r="W151" s="78">
        <v>4.7943498278338152</v>
      </c>
      <c r="X151" s="79">
        <v>1.2132685814675077</v>
      </c>
      <c r="Y151" s="79">
        <v>5.7784626407558175</v>
      </c>
      <c r="Z151" s="79">
        <v>0.28795767294310748</v>
      </c>
      <c r="AA151" s="79">
        <v>1.267628728795811E-2</v>
      </c>
      <c r="AB151" s="79">
        <v>0.67352897943897205</v>
      </c>
      <c r="AC151" s="79">
        <v>0.32664007824466074</v>
      </c>
      <c r="AD151" s="79">
        <v>0.3880428309974992</v>
      </c>
      <c r="AE151" s="79">
        <v>9.337382227466591E-2</v>
      </c>
      <c r="AF151" s="79">
        <v>9.9131198173356173E-3</v>
      </c>
      <c r="AG151" s="79">
        <v>8.3444392809067222E-2</v>
      </c>
      <c r="AH151" s="79">
        <v>0.11278410888495044</v>
      </c>
      <c r="AI151" s="79">
        <v>5.9752442818318388E-2</v>
      </c>
      <c r="AJ151" s="79">
        <v>0.7804888482934268</v>
      </c>
      <c r="AK151" s="79">
        <v>3.026904851813975</v>
      </c>
      <c r="AL151" s="79">
        <v>0.49239619288324632</v>
      </c>
      <c r="AM151" s="79">
        <v>0.31322227284376275</v>
      </c>
      <c r="AN151" s="79">
        <v>1.435559115313938</v>
      </c>
      <c r="AO151" s="79">
        <v>0.59511128023642479</v>
      </c>
      <c r="AP151" s="79">
        <v>2.4984973291321153</v>
      </c>
      <c r="AQ151" s="79">
        <v>1.5851369156709261</v>
      </c>
      <c r="AR151" s="79">
        <v>0.51498490706391475</v>
      </c>
      <c r="AS151" s="79">
        <v>0.21297222990629835</v>
      </c>
      <c r="AT151" s="79">
        <v>0.44069003292333686</v>
      </c>
      <c r="AU151" s="79">
        <v>1.5580710614706808</v>
      </c>
      <c r="AV151" s="79">
        <v>0.65714522832476641</v>
      </c>
      <c r="AW151" s="79">
        <v>8.4556096994891501</v>
      </c>
      <c r="AX151" s="79">
        <v>2.2714889797149005</v>
      </c>
      <c r="AY151" s="79">
        <v>3.9219611975391975</v>
      </c>
      <c r="AZ151" s="79">
        <v>1.0736360579606532</v>
      </c>
      <c r="BA151" s="79">
        <v>0.5903971962485155</v>
      </c>
      <c r="BB151" s="79">
        <v>0.20653596573295258</v>
      </c>
      <c r="BC151" s="79">
        <v>2.0194140423973992</v>
      </c>
      <c r="BD151" s="79">
        <v>3.2685598476599313</v>
      </c>
      <c r="BE151" s="79">
        <v>3.0340637430806443</v>
      </c>
      <c r="BF151" s="79">
        <v>11.030208903634483</v>
      </c>
      <c r="BG151" s="79">
        <v>34.54918250445283</v>
      </c>
      <c r="BH151" s="79">
        <v>47.25622246612582</v>
      </c>
      <c r="BI151" s="79">
        <v>2.8182819321642247</v>
      </c>
      <c r="BJ151" s="79">
        <v>6.0429070901724273</v>
      </c>
      <c r="BK151" s="79">
        <v>12.708452684427062</v>
      </c>
      <c r="BL151" s="79">
        <v>4.735198672879176</v>
      </c>
      <c r="BM151" s="79">
        <v>17.19151161583207</v>
      </c>
      <c r="BN151" s="79">
        <v>6.2227012141822886</v>
      </c>
      <c r="BO151" s="79">
        <v>19.292403777072323</v>
      </c>
      <c r="BP151" s="79">
        <v>13.572753464850241</v>
      </c>
      <c r="BQ151" s="79">
        <v>7.4147922729796081</v>
      </c>
      <c r="BR151" s="79">
        <v>4.4247381089479783</v>
      </c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>
        <v>244.37997908137405</v>
      </c>
      <c r="FW151" s="70"/>
      <c r="FX151" s="75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</row>
    <row r="152" spans="1:190" x14ac:dyDescent="0.2">
      <c r="A152" s="71" t="s">
        <v>363</v>
      </c>
      <c r="B152" s="78">
        <v>0.21769509028957199</v>
      </c>
      <c r="C152" s="78">
        <v>1.7110650650455434E-2</v>
      </c>
      <c r="D152" s="78">
        <v>5.9262913418180976E-2</v>
      </c>
      <c r="E152" s="78">
        <v>3.9634146663597984E-2</v>
      </c>
      <c r="F152" s="78">
        <v>3.2193403213649991E-3</v>
      </c>
      <c r="G152" s="78">
        <v>4.4113413452828197E-3</v>
      </c>
      <c r="H152" s="78">
        <v>7.4295675429212296E-2</v>
      </c>
      <c r="I152" s="78">
        <v>1.6625293920368836E-2</v>
      </c>
      <c r="J152" s="78">
        <v>0.11949570561669488</v>
      </c>
      <c r="K152" s="78">
        <v>0.24923914380637946</v>
      </c>
      <c r="L152" s="78">
        <v>0.44666727036955534</v>
      </c>
      <c r="M152" s="78">
        <v>3.1884440803195878E-2</v>
      </c>
      <c r="N152" s="78">
        <v>4.7820947902466928</v>
      </c>
      <c r="O152" s="78">
        <v>2.5173845819325046E-2</v>
      </c>
      <c r="P152" s="78">
        <v>7.2660540822677658E-2</v>
      </c>
      <c r="Q152" s="78">
        <v>2.0122556241570777E-2</v>
      </c>
      <c r="R152" s="78">
        <v>0.30722495257102556</v>
      </c>
      <c r="S152" s="78">
        <v>2.9379714884175817E-3</v>
      </c>
      <c r="T152" s="78"/>
      <c r="U152" s="78"/>
      <c r="V152" s="78">
        <v>0.12937596644449673</v>
      </c>
      <c r="W152" s="78">
        <v>2.996087086816337</v>
      </c>
      <c r="X152" s="79">
        <v>0.75819630613337374</v>
      </c>
      <c r="Y152" s="79">
        <v>3.6110792748391081</v>
      </c>
      <c r="Z152" s="79">
        <v>0.17856296337795788</v>
      </c>
      <c r="AA152" s="79">
        <v>7.8605838130083282E-3</v>
      </c>
      <c r="AB152" s="79">
        <v>0.41765628003708738</v>
      </c>
      <c r="AC152" s="79">
        <v>0.20254997803409192</v>
      </c>
      <c r="AD152" s="79">
        <v>0.2406259125249125</v>
      </c>
      <c r="AE152" s="79">
        <v>5.7901240265215169E-2</v>
      </c>
      <c r="AF152" s="79">
        <v>6.1471397265178435E-3</v>
      </c>
      <c r="AG152" s="79">
        <v>5.1743986902565528E-2</v>
      </c>
      <c r="AH152" s="79">
        <v>6.9937586655028791E-2</v>
      </c>
      <c r="AI152" s="79">
        <v>3.7052574948467941E-2</v>
      </c>
      <c r="AJ152" s="79">
        <v>0.48398224714872823</v>
      </c>
      <c r="AK152" s="79">
        <v>1.8769880124354541</v>
      </c>
      <c r="AL152" s="79">
        <v>0.30533558095056668</v>
      </c>
      <c r="AM152" s="79">
        <v>0.13174395798580069</v>
      </c>
      <c r="AN152" s="79">
        <v>0.60380840116178458</v>
      </c>
      <c r="AO152" s="79">
        <v>0.25064016858138805</v>
      </c>
      <c r="AP152" s="79">
        <v>1.0522801576287313</v>
      </c>
      <c r="AQ152" s="79">
        <v>0.66760452534272952</v>
      </c>
      <c r="AR152" s="79">
        <v>0.21689372762702636</v>
      </c>
      <c r="AS152" s="79">
        <v>4.0084573202611037E-2</v>
      </c>
      <c r="AT152" s="79">
        <v>8.294448479103872E-2</v>
      </c>
      <c r="AU152" s="79">
        <v>2.4900550624096773</v>
      </c>
      <c r="AV152" s="79">
        <v>1.0502266828471223</v>
      </c>
      <c r="AW152" s="79">
        <v>13.513461778886604</v>
      </c>
      <c r="AX152" s="79">
        <v>1.2556301154246081</v>
      </c>
      <c r="AY152" s="79">
        <v>2.1679755592629228</v>
      </c>
      <c r="AZ152" s="79">
        <v>0.5934828561441482</v>
      </c>
      <c r="BA152" s="79">
        <v>0.32635883611679828</v>
      </c>
      <c r="BB152" s="79">
        <v>0.11416862719058826</v>
      </c>
      <c r="BC152" s="79">
        <v>1.1162885269484222</v>
      </c>
      <c r="BD152" s="79">
        <v>2.8910940681631656</v>
      </c>
      <c r="BE152" s="79">
        <v>2.6836784696873068</v>
      </c>
      <c r="BF152" s="79">
        <v>10.699395543178593</v>
      </c>
      <c r="BG152" s="79">
        <v>31.36299023061725</v>
      </c>
      <c r="BH152" s="79">
        <v>36.330560557077142</v>
      </c>
      <c r="BI152" s="79">
        <v>2.5583745344538813</v>
      </c>
      <c r="BJ152" s="79">
        <v>5.4856185384177767</v>
      </c>
      <c r="BK152" s="79">
        <v>9.7702521645543339</v>
      </c>
      <c r="BL152" s="79">
        <v>25.248750978292605</v>
      </c>
      <c r="BM152" s="79">
        <v>91.667578430165747</v>
      </c>
      <c r="BN152" s="79">
        <v>33.180325520254392</v>
      </c>
      <c r="BO152" s="79">
        <v>52.614192082682294</v>
      </c>
      <c r="BP152" s="79">
        <v>66.158567240671942</v>
      </c>
      <c r="BQ152" s="79">
        <v>15.481949405237293</v>
      </c>
      <c r="BR152" s="79">
        <v>4.4832237180634777</v>
      </c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G152" s="70"/>
      <c r="CH152" s="70"/>
      <c r="CI152" s="70"/>
      <c r="CJ152" s="70"/>
      <c r="CK152" s="70"/>
      <c r="CL152" s="70"/>
      <c r="CM152" s="70"/>
      <c r="CN152" s="70"/>
      <c r="CO152" s="70"/>
      <c r="CP152" s="70"/>
      <c r="CQ152" s="70"/>
      <c r="CR152" s="70"/>
      <c r="CS152" s="70"/>
      <c r="CT152" s="70"/>
      <c r="CU152" s="70"/>
      <c r="CV152" s="70"/>
      <c r="CW152" s="70"/>
      <c r="CX152" s="70"/>
      <c r="CY152" s="70"/>
      <c r="CZ152" s="70"/>
      <c r="DA152" s="70"/>
      <c r="DB152" s="70"/>
      <c r="DC152" s="70"/>
      <c r="DD152" s="70"/>
      <c r="DE152" s="70"/>
      <c r="DF152" s="70"/>
      <c r="DG152" s="70"/>
      <c r="DH152" s="70"/>
      <c r="DI152" s="70"/>
      <c r="DJ152" s="70"/>
      <c r="DK152" s="70"/>
      <c r="DL152" s="70"/>
      <c r="DM152" s="70"/>
      <c r="DN152" s="70"/>
      <c r="DO152" s="70"/>
      <c r="DP152" s="70"/>
      <c r="DQ152" s="70"/>
      <c r="DR152" s="70"/>
      <c r="DS152" s="70"/>
      <c r="DT152" s="70"/>
      <c r="DU152" s="70"/>
      <c r="DV152" s="70"/>
      <c r="DW152" s="70"/>
      <c r="DX152" s="70"/>
      <c r="DY152" s="70"/>
      <c r="DZ152" s="70"/>
      <c r="EA152" s="70"/>
      <c r="EB152" s="70"/>
      <c r="EC152" s="70"/>
      <c r="ED152" s="70"/>
      <c r="EE152" s="70"/>
      <c r="EF152" s="70"/>
      <c r="EG152" s="70"/>
      <c r="EH152" s="70"/>
      <c r="EI152" s="70"/>
      <c r="EJ152" s="70"/>
      <c r="EK152" s="70"/>
      <c r="EL152" s="70"/>
      <c r="EM152" s="70"/>
      <c r="EN152" s="70"/>
      <c r="EO152" s="70"/>
      <c r="EP152" s="70"/>
      <c r="EQ152" s="70"/>
      <c r="ER152" s="70"/>
      <c r="ES152" s="70"/>
      <c r="ET152" s="70"/>
      <c r="EU152" s="70"/>
      <c r="EV152" s="70"/>
      <c r="EW152" s="70"/>
      <c r="EX152" s="70"/>
      <c r="EY152" s="70"/>
      <c r="EZ152" s="70"/>
      <c r="FA152" s="70"/>
      <c r="FB152" s="70"/>
      <c r="FC152" s="70"/>
      <c r="FD152" s="70"/>
      <c r="FE152" s="70"/>
      <c r="FF152" s="70"/>
      <c r="FG152" s="70"/>
      <c r="FH152" s="70"/>
      <c r="FI152" s="70"/>
      <c r="FJ152" s="70"/>
      <c r="FK152" s="70"/>
      <c r="FL152" s="70"/>
      <c r="FM152" s="70"/>
      <c r="FN152" s="70"/>
      <c r="FO152" s="70"/>
      <c r="FP152" s="70"/>
      <c r="FQ152" s="70"/>
      <c r="FR152" s="70"/>
      <c r="FS152" s="70"/>
      <c r="FT152" s="70"/>
      <c r="FU152" s="70"/>
      <c r="FV152" s="70">
        <v>434.21103791394563</v>
      </c>
      <c r="FW152" s="70"/>
      <c r="FX152" s="75"/>
      <c r="FY152" s="70"/>
      <c r="FZ152" s="70"/>
      <c r="GA152" s="70"/>
      <c r="GB152" s="70"/>
      <c r="GC152" s="70"/>
      <c r="GD152" s="70"/>
      <c r="GE152" s="70"/>
      <c r="GF152" s="70"/>
      <c r="GG152" s="70"/>
      <c r="GH152" s="70"/>
    </row>
    <row r="153" spans="1:190" x14ac:dyDescent="0.2">
      <c r="A153" s="71" t="s">
        <v>364</v>
      </c>
      <c r="B153" s="80">
        <v>10.580212323439564</v>
      </c>
      <c r="C153" s="80">
        <v>2.2535542939605979</v>
      </c>
      <c r="D153" s="80">
        <v>8.0510795660711612</v>
      </c>
      <c r="E153" s="80">
        <v>5.3681591449509707</v>
      </c>
      <c r="F153" s="80">
        <v>0.64155142259116271</v>
      </c>
      <c r="G153" s="80">
        <v>0.17032992987522946</v>
      </c>
      <c r="H153" s="80">
        <v>2.8129029845629701</v>
      </c>
      <c r="I153" s="80">
        <v>1.164319918175825</v>
      </c>
      <c r="J153" s="80">
        <v>5.0751853080450458</v>
      </c>
      <c r="K153" s="80">
        <v>9.964342801446687</v>
      </c>
      <c r="L153" s="80">
        <v>2.062587369194766</v>
      </c>
      <c r="M153" s="80">
        <v>0.3983765298999245</v>
      </c>
      <c r="N153" s="80">
        <v>18.454242333308557</v>
      </c>
      <c r="O153" s="80">
        <v>0.11832215323691869</v>
      </c>
      <c r="P153" s="76"/>
      <c r="Q153" s="76"/>
      <c r="R153" s="76"/>
      <c r="S153" s="76"/>
      <c r="T153" s="76"/>
      <c r="U153" s="76"/>
      <c r="V153" s="76"/>
      <c r="W153" s="76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T153" s="70"/>
      <c r="CU153" s="70"/>
      <c r="CV153" s="70"/>
      <c r="CW153" s="70"/>
      <c r="CX153" s="70"/>
      <c r="CY153" s="70"/>
      <c r="CZ153" s="70"/>
      <c r="DA153" s="70"/>
      <c r="DB153" s="70"/>
      <c r="DC153" s="70"/>
      <c r="DD153" s="70"/>
      <c r="DE153" s="70"/>
      <c r="DF153" s="70"/>
      <c r="DG153" s="70"/>
      <c r="DH153" s="70"/>
      <c r="DI153" s="70"/>
      <c r="DJ153" s="70"/>
      <c r="DK153" s="70"/>
      <c r="DL153" s="70"/>
      <c r="DM153" s="70"/>
      <c r="DN153" s="70"/>
      <c r="DO153" s="70"/>
      <c r="DP153" s="70"/>
      <c r="DQ153" s="70"/>
      <c r="DR153" s="70"/>
      <c r="DS153" s="70"/>
      <c r="DT153" s="70"/>
      <c r="DU153" s="70"/>
      <c r="DV153" s="70"/>
      <c r="DW153" s="70"/>
      <c r="DX153" s="70"/>
      <c r="DY153" s="70"/>
      <c r="DZ153" s="70"/>
      <c r="EA153" s="70"/>
      <c r="EB153" s="70"/>
      <c r="EC153" s="70"/>
      <c r="ED153" s="70"/>
      <c r="EE153" s="70"/>
      <c r="EF153" s="70"/>
      <c r="EG153" s="70"/>
      <c r="EH153" s="70"/>
      <c r="EI153" s="70"/>
      <c r="EJ153" s="70"/>
      <c r="EK153" s="70"/>
      <c r="EL153" s="70"/>
      <c r="EM153" s="70"/>
      <c r="EN153" s="70"/>
      <c r="EO153" s="70"/>
      <c r="EP153" s="70"/>
      <c r="EQ153" s="70"/>
      <c r="ER153" s="70"/>
      <c r="ES153" s="70"/>
      <c r="ET153" s="70"/>
      <c r="EU153" s="70"/>
      <c r="EV153" s="70"/>
      <c r="EW153" s="70"/>
      <c r="EX153" s="70"/>
      <c r="EY153" s="70"/>
      <c r="EZ153" s="70"/>
      <c r="FA153" s="70"/>
      <c r="FB153" s="70"/>
      <c r="FC153" s="70"/>
      <c r="FD153" s="70"/>
      <c r="FE153" s="70"/>
      <c r="FF153" s="70"/>
      <c r="FG153" s="70"/>
      <c r="FH153" s="70"/>
      <c r="FI153" s="70"/>
      <c r="FJ153" s="70"/>
      <c r="FK153" s="70"/>
      <c r="FL153" s="70"/>
      <c r="FM153" s="70"/>
      <c r="FN153" s="70"/>
      <c r="FO153" s="70"/>
      <c r="FP153" s="70"/>
      <c r="FQ153" s="70"/>
      <c r="FR153" s="70"/>
      <c r="FS153" s="70"/>
      <c r="FT153" s="70"/>
      <c r="FU153" s="70"/>
      <c r="FV153" s="70">
        <v>67.115166078759387</v>
      </c>
      <c r="FW153" s="70"/>
      <c r="FX153" s="75"/>
      <c r="FY153" s="70"/>
      <c r="FZ153" s="70"/>
      <c r="GA153" s="70"/>
      <c r="GB153" s="70"/>
      <c r="GC153" s="70"/>
      <c r="GD153" s="70"/>
      <c r="GE153" s="70"/>
      <c r="GF153" s="70"/>
      <c r="GG153" s="70"/>
      <c r="GH153" s="70"/>
    </row>
    <row r="154" spans="1:190" x14ac:dyDescent="0.2">
      <c r="A154" s="71" t="s">
        <v>365</v>
      </c>
      <c r="B154" s="70">
        <v>17.172042107889045</v>
      </c>
      <c r="C154" s="70">
        <v>2.1405584922644101</v>
      </c>
      <c r="D154" s="70">
        <v>7.4665666806468147</v>
      </c>
      <c r="E154" s="70">
        <v>4.5214083083054994</v>
      </c>
      <c r="F154" s="70">
        <v>0.53338073061937852</v>
      </c>
      <c r="G154" s="70">
        <v>0.36666475264653486</v>
      </c>
      <c r="H154" s="70">
        <v>6.1034973516625541</v>
      </c>
      <c r="I154" s="70">
        <v>1.6734484756685899</v>
      </c>
      <c r="J154" s="70">
        <v>10.112819584790168</v>
      </c>
      <c r="K154" s="70">
        <v>20.670014200583882</v>
      </c>
      <c r="L154" s="70">
        <v>4.4710858204739035</v>
      </c>
      <c r="M154" s="70">
        <v>0.46229896064898846</v>
      </c>
      <c r="N154" s="70">
        <v>31.693489034044934</v>
      </c>
      <c r="O154" s="70">
        <v>0.25421046728591912</v>
      </c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0"/>
      <c r="BS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70"/>
      <c r="CE154" s="70"/>
      <c r="CF154" s="70"/>
      <c r="CG154" s="70"/>
      <c r="CH154" s="70"/>
      <c r="CI154" s="70"/>
      <c r="CJ154" s="70"/>
      <c r="CK154" s="70"/>
      <c r="CL154" s="70"/>
      <c r="CM154" s="70"/>
      <c r="CN154" s="70"/>
      <c r="CO154" s="70"/>
      <c r="CP154" s="70"/>
      <c r="CQ154" s="70"/>
      <c r="CR154" s="70"/>
      <c r="CS154" s="70"/>
      <c r="CT154" s="70"/>
      <c r="CU154" s="70"/>
      <c r="CV154" s="70"/>
      <c r="CW154" s="70"/>
      <c r="CX154" s="70"/>
      <c r="CY154" s="70"/>
      <c r="CZ154" s="70"/>
      <c r="DA154" s="70"/>
      <c r="DB154" s="70"/>
      <c r="DC154" s="70"/>
      <c r="DD154" s="70"/>
      <c r="DE154" s="70"/>
      <c r="DF154" s="70"/>
      <c r="DG154" s="70"/>
      <c r="DH154" s="70"/>
      <c r="DI154" s="70"/>
      <c r="DJ154" s="70"/>
      <c r="DK154" s="70"/>
      <c r="DL154" s="70"/>
      <c r="DM154" s="70"/>
      <c r="DN154" s="70"/>
      <c r="DO154" s="70"/>
      <c r="DP154" s="70"/>
      <c r="DQ154" s="70"/>
      <c r="DR154" s="70"/>
      <c r="DS154" s="70"/>
      <c r="DT154" s="70"/>
      <c r="DU154" s="70"/>
      <c r="DV154" s="70"/>
      <c r="DW154" s="70"/>
      <c r="DX154" s="70"/>
      <c r="DY154" s="70"/>
      <c r="DZ154" s="70"/>
      <c r="EA154" s="70"/>
      <c r="EB154" s="70"/>
      <c r="EC154" s="70"/>
      <c r="ED154" s="70"/>
      <c r="EE154" s="70"/>
      <c r="EF154" s="70"/>
      <c r="EG154" s="70"/>
      <c r="EH154" s="70"/>
      <c r="EI154" s="70"/>
      <c r="EJ154" s="70"/>
      <c r="EK154" s="70"/>
      <c r="EL154" s="70"/>
      <c r="EM154" s="70"/>
      <c r="EN154" s="70"/>
      <c r="EO154" s="70"/>
      <c r="EP154" s="70"/>
      <c r="EQ154" s="70"/>
      <c r="ER154" s="70"/>
      <c r="ES154" s="70"/>
      <c r="ET154" s="70"/>
      <c r="EU154" s="70"/>
      <c r="EV154" s="70"/>
      <c r="EW154" s="70"/>
      <c r="EX154" s="70"/>
      <c r="EY154" s="70"/>
      <c r="EZ154" s="70"/>
      <c r="FA154" s="70"/>
      <c r="FB154" s="70"/>
      <c r="FC154" s="70"/>
      <c r="FD154" s="70"/>
      <c r="FE154" s="70"/>
      <c r="FF154" s="70"/>
      <c r="FG154" s="70"/>
      <c r="FH154" s="70"/>
      <c r="FI154" s="70"/>
      <c r="FJ154" s="70"/>
      <c r="FK154" s="70"/>
      <c r="FL154" s="70"/>
      <c r="FM154" s="70"/>
      <c r="FN154" s="70"/>
      <c r="FO154" s="70"/>
      <c r="FP154" s="70"/>
      <c r="FQ154" s="70"/>
      <c r="FR154" s="70"/>
      <c r="FS154" s="70"/>
      <c r="FT154" s="70"/>
      <c r="FU154" s="70"/>
      <c r="FV154" s="70">
        <v>107.64148496753062</v>
      </c>
      <c r="FW154" s="70"/>
      <c r="FX154" s="75"/>
      <c r="FY154" s="70"/>
      <c r="FZ154" s="70"/>
      <c r="GA154" s="70"/>
      <c r="GB154" s="70"/>
      <c r="GC154" s="70"/>
      <c r="GD154" s="70"/>
      <c r="GE154" s="70"/>
      <c r="GF154" s="70"/>
      <c r="GG154" s="70"/>
      <c r="GH154" s="70"/>
    </row>
    <row r="155" spans="1:190" x14ac:dyDescent="0.2">
      <c r="A155" s="71" t="s">
        <v>366</v>
      </c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>
        <v>91.838487646691348</v>
      </c>
      <c r="Q155" s="70">
        <v>23.9281812229843</v>
      </c>
      <c r="R155" s="70">
        <v>38.952981615906999</v>
      </c>
      <c r="S155" s="70">
        <v>3.2046755881152635</v>
      </c>
      <c r="T155" s="70">
        <v>12.796187553731736</v>
      </c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70"/>
      <c r="CM155" s="70"/>
      <c r="CN155" s="70"/>
      <c r="CO155" s="70"/>
      <c r="CP155" s="70"/>
      <c r="CQ155" s="70"/>
      <c r="CR155" s="70"/>
      <c r="CS155" s="70"/>
      <c r="CT155" s="70"/>
      <c r="CU155" s="70"/>
      <c r="CV155" s="70"/>
      <c r="CW155" s="70"/>
      <c r="CX155" s="70"/>
      <c r="CY155" s="70"/>
      <c r="CZ155" s="70"/>
      <c r="DA155" s="70"/>
      <c r="DB155" s="70"/>
      <c r="DC155" s="70"/>
      <c r="DD155" s="70"/>
      <c r="DE155" s="70"/>
      <c r="DF155" s="70"/>
      <c r="DG155" s="70"/>
      <c r="DH155" s="70"/>
      <c r="DI155" s="70"/>
      <c r="DJ155" s="70"/>
      <c r="DK155" s="70"/>
      <c r="DL155" s="70"/>
      <c r="DM155" s="70"/>
      <c r="DN155" s="70"/>
      <c r="DO155" s="70"/>
      <c r="DP155" s="70"/>
      <c r="DQ155" s="70"/>
      <c r="DR155" s="70"/>
      <c r="DS155" s="70"/>
      <c r="DT155" s="70"/>
      <c r="DU155" s="70"/>
      <c r="DV155" s="70"/>
      <c r="DW155" s="70"/>
      <c r="DX155" s="70"/>
      <c r="DY155" s="70"/>
      <c r="DZ155" s="70"/>
      <c r="EA155" s="70"/>
      <c r="EB155" s="70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70"/>
      <c r="ER155" s="70"/>
      <c r="ES155" s="70"/>
      <c r="ET155" s="70"/>
      <c r="EU155" s="70"/>
      <c r="EV155" s="70"/>
      <c r="EW155" s="70"/>
      <c r="EX155" s="70"/>
      <c r="EY155" s="70"/>
      <c r="EZ155" s="70"/>
      <c r="FA155" s="70"/>
      <c r="FB155" s="70"/>
      <c r="FC155" s="70"/>
      <c r="FD155" s="70"/>
      <c r="FE155" s="70"/>
      <c r="FF155" s="70"/>
      <c r="FG155" s="70"/>
      <c r="FH155" s="70"/>
      <c r="FI155" s="70"/>
      <c r="FJ155" s="70"/>
      <c r="FK155" s="70"/>
      <c r="FL155" s="70"/>
      <c r="FM155" s="70"/>
      <c r="FN155" s="70"/>
      <c r="FO155" s="70"/>
      <c r="FP155" s="70"/>
      <c r="FQ155" s="70"/>
      <c r="FR155" s="70"/>
      <c r="FS155" s="70"/>
      <c r="FT155" s="70"/>
      <c r="FU155" s="70"/>
      <c r="FV155" s="70">
        <v>170.72051362742963</v>
      </c>
      <c r="FW155" s="70"/>
      <c r="FX155" s="75"/>
      <c r="FY155" s="70"/>
      <c r="FZ155" s="70"/>
      <c r="GA155" s="70"/>
      <c r="GB155" s="70"/>
      <c r="GC155" s="70"/>
      <c r="GD155" s="70"/>
      <c r="GE155" s="70"/>
      <c r="GF155" s="70"/>
      <c r="GG155" s="70"/>
      <c r="GH155" s="70"/>
    </row>
    <row r="156" spans="1:190" x14ac:dyDescent="0.2">
      <c r="A156" s="71" t="s">
        <v>367</v>
      </c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>
        <v>237.02975015495463</v>
      </c>
      <c r="X156" s="70">
        <v>149.23716801673129</v>
      </c>
      <c r="Y156" s="70">
        <v>48.915793345294375</v>
      </c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70"/>
      <c r="DF156" s="70"/>
      <c r="DG156" s="70"/>
      <c r="DH156" s="70"/>
      <c r="DI156" s="70"/>
      <c r="DJ156" s="70"/>
      <c r="DK156" s="70"/>
      <c r="DL156" s="70"/>
      <c r="DM156" s="70"/>
      <c r="DN156" s="70"/>
      <c r="DO156" s="70"/>
      <c r="DP156" s="70"/>
      <c r="DQ156" s="70"/>
      <c r="DR156" s="70"/>
      <c r="DS156" s="70"/>
      <c r="DT156" s="70"/>
      <c r="DU156" s="70"/>
      <c r="DV156" s="70"/>
      <c r="DW156" s="70"/>
      <c r="DX156" s="70"/>
      <c r="DY156" s="70"/>
      <c r="DZ156" s="70"/>
      <c r="EA156" s="70"/>
      <c r="EB156" s="70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70"/>
      <c r="ER156" s="70"/>
      <c r="ES156" s="70"/>
      <c r="ET156" s="70"/>
      <c r="EU156" s="70"/>
      <c r="EV156" s="70"/>
      <c r="EW156" s="70"/>
      <c r="EX156" s="70"/>
      <c r="EY156" s="70"/>
      <c r="EZ156" s="70"/>
      <c r="FA156" s="70"/>
      <c r="FB156" s="70"/>
      <c r="FC156" s="70"/>
      <c r="FD156" s="70"/>
      <c r="FE156" s="70"/>
      <c r="FF156" s="70"/>
      <c r="FG156" s="70"/>
      <c r="FH156" s="70"/>
      <c r="FI156" s="70"/>
      <c r="FJ156" s="70"/>
      <c r="FK156" s="70"/>
      <c r="FL156" s="70"/>
      <c r="FM156" s="70"/>
      <c r="FN156" s="70"/>
      <c r="FO156" s="70"/>
      <c r="FP156" s="70"/>
      <c r="FQ156" s="70"/>
      <c r="FR156" s="70"/>
      <c r="FS156" s="70"/>
      <c r="FT156" s="70"/>
      <c r="FU156" s="70"/>
      <c r="FV156" s="70">
        <v>435.18271151698031</v>
      </c>
      <c r="FW156" s="70"/>
      <c r="FX156" s="75"/>
      <c r="FY156" s="70"/>
      <c r="FZ156" s="70"/>
      <c r="GA156" s="70"/>
      <c r="GB156" s="70"/>
      <c r="GC156" s="70"/>
      <c r="GD156" s="70"/>
      <c r="GE156" s="70"/>
      <c r="GF156" s="70"/>
      <c r="GG156" s="70"/>
      <c r="GH156" s="70"/>
    </row>
    <row r="157" spans="1:190" x14ac:dyDescent="0.2">
      <c r="A157" s="71" t="s">
        <v>368</v>
      </c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>
        <v>0.85258076163727659</v>
      </c>
      <c r="V157" s="70">
        <v>46.61969744348368</v>
      </c>
      <c r="W157" s="70"/>
      <c r="X157" s="70"/>
      <c r="Y157" s="70"/>
      <c r="Z157" s="70">
        <v>4.5194326777891654</v>
      </c>
      <c r="AA157" s="70">
        <v>0.30749375549841457</v>
      </c>
      <c r="AB157" s="70">
        <v>12.46432705862828</v>
      </c>
      <c r="AC157" s="70">
        <v>10.720202202336905</v>
      </c>
      <c r="AD157" s="70">
        <v>10.531767988670675</v>
      </c>
      <c r="AE157" s="70">
        <v>1.7378045330606191</v>
      </c>
      <c r="AF157" s="70">
        <v>0.18374206403909915</v>
      </c>
      <c r="AG157" s="70">
        <v>1.5329598379757139</v>
      </c>
      <c r="AH157" s="70">
        <v>2.0371823328907075</v>
      </c>
      <c r="AI157" s="70">
        <v>1.2152222781422906</v>
      </c>
      <c r="AJ157" s="70">
        <v>15.972713395843304</v>
      </c>
      <c r="AK157" s="70">
        <v>58.867948810370443</v>
      </c>
      <c r="AL157" s="70">
        <v>12.476649205354253</v>
      </c>
      <c r="AM157" s="70">
        <v>4.5147968702850294</v>
      </c>
      <c r="AN157" s="70">
        <v>4.4634195361386944</v>
      </c>
      <c r="AO157" s="70">
        <v>1.5104112930512954</v>
      </c>
      <c r="AP157" s="70">
        <v>10.078120628160455</v>
      </c>
      <c r="AQ157" s="70">
        <v>13.008086189300707</v>
      </c>
      <c r="AR157" s="70">
        <v>5.5771012148403623</v>
      </c>
      <c r="AS157" s="70">
        <v>4.1087584467078662</v>
      </c>
      <c r="AT157" s="70">
        <v>9.6206886273766994</v>
      </c>
      <c r="AU157" s="70">
        <v>196.25394544080058</v>
      </c>
      <c r="AV157" s="70">
        <v>11.052356925880996</v>
      </c>
      <c r="AW157" s="70">
        <v>154.02804724746147</v>
      </c>
      <c r="AX157" s="70">
        <v>65.055872158923435</v>
      </c>
      <c r="AY157" s="70">
        <v>67.531474354541587</v>
      </c>
      <c r="AZ157" s="70">
        <v>13.672998704074068</v>
      </c>
      <c r="BA157" s="70">
        <v>11.356663329646658</v>
      </c>
      <c r="BB157" s="70">
        <v>1.4330830879756713</v>
      </c>
      <c r="BC157" s="70">
        <v>34.470697335617793</v>
      </c>
      <c r="BD157" s="70">
        <v>71.013707353671862</v>
      </c>
      <c r="BE157" s="70">
        <v>14.283554369339754</v>
      </c>
      <c r="BF157" s="70">
        <v>171.22717653622541</v>
      </c>
      <c r="BG157" s="70">
        <v>486.73801109965558</v>
      </c>
      <c r="BH157" s="70">
        <v>158.03081426148168</v>
      </c>
      <c r="BI157" s="70">
        <v>38.206853894986672</v>
      </c>
      <c r="BJ157" s="70">
        <v>71.3549926703555</v>
      </c>
      <c r="BK157" s="70">
        <v>55.714655068885065</v>
      </c>
      <c r="BL157" s="70">
        <v>72.874330101196051</v>
      </c>
      <c r="BM157" s="70">
        <v>253.34802740703026</v>
      </c>
      <c r="BN157" s="70">
        <v>110.82092695420292</v>
      </c>
      <c r="BO157" s="70">
        <v>35.387808046428816</v>
      </c>
      <c r="BP157" s="70">
        <v>43.685238170764919</v>
      </c>
      <c r="BQ157" s="70">
        <v>70.969710456275322</v>
      </c>
      <c r="BR157" s="70">
        <v>84.556155262615675</v>
      </c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>
        <v>17.765338453767914</v>
      </c>
      <c r="FV157" s="70">
        <v>2543.7535458433877</v>
      </c>
      <c r="FW157" s="70"/>
      <c r="FX157" s="75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</row>
    <row r="158" spans="1:190" x14ac:dyDescent="0.2">
      <c r="A158" s="71" t="s">
        <v>369</v>
      </c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 t="s">
        <v>463</v>
      </c>
      <c r="EN158" s="70" t="s">
        <v>464</v>
      </c>
      <c r="EO158" s="70" t="s">
        <v>465</v>
      </c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>
        <v>219.47586919459229</v>
      </c>
      <c r="FA158" s="70">
        <v>2543.7535458433877</v>
      </c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>
        <v>542.93536475799135</v>
      </c>
      <c r="FN158" s="70"/>
      <c r="FO158" s="70"/>
      <c r="FP158" s="70"/>
      <c r="FQ158" s="70"/>
      <c r="FR158" s="70"/>
      <c r="FS158" s="70"/>
      <c r="FT158" s="70"/>
      <c r="FU158" s="70">
        <v>2.8442670535068086</v>
      </c>
      <c r="FV158" s="70">
        <v>3309.0090468494782</v>
      </c>
      <c r="FW158" s="70"/>
      <c r="FX158" s="75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</row>
    <row r="159" spans="1:190" ht="16" x14ac:dyDescent="0.2">
      <c r="A159" s="73" t="s">
        <v>370</v>
      </c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T159" s="70"/>
      <c r="CU159" s="70"/>
      <c r="CV159" s="70"/>
      <c r="CW159" s="70"/>
      <c r="CX159" s="70"/>
      <c r="CY159" s="70"/>
      <c r="CZ159" s="70"/>
      <c r="DA159" s="70"/>
      <c r="DB159" s="70"/>
      <c r="DC159" s="70"/>
      <c r="DD159" s="70"/>
      <c r="DE159" s="70"/>
      <c r="DF159" s="70"/>
      <c r="DG159" s="70"/>
      <c r="DH159" s="70"/>
      <c r="DI159" s="70"/>
      <c r="DJ159" s="70"/>
      <c r="DK159" s="70"/>
      <c r="DL159" s="70"/>
      <c r="DM159" s="70"/>
      <c r="DN159" s="70"/>
      <c r="DO159" s="70"/>
      <c r="DP159" s="70"/>
      <c r="DQ159" s="70"/>
      <c r="DR159" s="70"/>
      <c r="DS159" s="70"/>
      <c r="DT159" s="70"/>
      <c r="DU159" s="70"/>
      <c r="DV159" s="70"/>
      <c r="DW159" s="70"/>
      <c r="DX159" s="70"/>
      <c r="DY159" s="70"/>
      <c r="DZ159" s="70"/>
      <c r="EA159" s="70"/>
      <c r="EB159" s="70"/>
      <c r="EC159" s="70"/>
      <c r="ED159" s="70"/>
      <c r="EE159" s="70"/>
      <c r="EF159" s="70"/>
      <c r="EG159" s="70"/>
      <c r="EH159" s="70"/>
      <c r="EI159" s="70"/>
      <c r="EJ159" s="70"/>
      <c r="EK159" s="70"/>
      <c r="EL159" s="70"/>
      <c r="EM159" s="81">
        <v>3.6792924886731502</v>
      </c>
      <c r="EN159" s="82">
        <f>EM159/SUM(EO159:EY159)</f>
        <v>2.587574245203415E-2</v>
      </c>
      <c r="EO159" s="79">
        <v>36.153596753339997</v>
      </c>
      <c r="EP159" s="79">
        <v>20.56380720615347</v>
      </c>
      <c r="EQ159" s="79">
        <v>40.275314891682726</v>
      </c>
      <c r="ER159" s="79">
        <v>10.409620450393824</v>
      </c>
      <c r="ES159" s="79"/>
      <c r="ET159" s="79"/>
      <c r="EU159" s="79"/>
      <c r="EV159" s="79"/>
      <c r="EW159" s="83">
        <v>6.7638330612640267</v>
      </c>
      <c r="EX159" s="70">
        <v>10.854652658023282</v>
      </c>
      <c r="EY159" s="70">
        <v>17.169973774325193</v>
      </c>
      <c r="EZ159" s="70"/>
      <c r="FA159" s="70"/>
      <c r="FB159" s="84">
        <v>111.08958054073467</v>
      </c>
      <c r="FC159" s="70"/>
      <c r="FD159" s="70"/>
      <c r="FE159" s="70"/>
      <c r="FF159" s="70"/>
      <c r="FG159" s="70"/>
      <c r="FH159" s="70"/>
      <c r="FI159" s="70"/>
      <c r="FJ159" s="70"/>
      <c r="FK159" s="70"/>
      <c r="FL159" s="70"/>
      <c r="FM159" s="70">
        <v>2.1714018012986358</v>
      </c>
      <c r="FN159" s="70"/>
      <c r="FO159" s="70"/>
      <c r="FP159" s="70"/>
      <c r="FQ159" s="70"/>
      <c r="FR159" s="70"/>
      <c r="FS159" s="70"/>
      <c r="FT159" s="70"/>
      <c r="FU159" s="70">
        <v>20.08521219580355</v>
      </c>
      <c r="FV159" s="70">
        <v>275.53699333301938</v>
      </c>
      <c r="FW159" s="70"/>
      <c r="FX159" s="75"/>
      <c r="FY159" s="70"/>
      <c r="FZ159" s="70"/>
      <c r="GA159" s="70"/>
      <c r="GB159" s="70"/>
      <c r="GC159" s="70"/>
      <c r="GD159" s="70"/>
      <c r="GE159" s="70"/>
      <c r="GF159" s="70"/>
      <c r="GG159" s="70"/>
      <c r="GH159" s="70"/>
    </row>
    <row r="160" spans="1:190" ht="16" x14ac:dyDescent="0.2">
      <c r="A160" s="73" t="s">
        <v>371</v>
      </c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81">
        <v>6.1423105697771678</v>
      </c>
      <c r="EN160" s="82">
        <f t="shared" ref="EN160:EN168" si="0">EM160/SUM(EO160:EY160)</f>
        <v>3.2305838310721882E-2</v>
      </c>
      <c r="EO160" s="79">
        <v>37.845730820592159</v>
      </c>
      <c r="EP160" s="79">
        <v>23.554103657294188</v>
      </c>
      <c r="EQ160" s="79">
        <v>58.78006901812477</v>
      </c>
      <c r="ER160" s="79">
        <v>20.70902713340244</v>
      </c>
      <c r="ES160" s="79"/>
      <c r="ET160" s="79"/>
      <c r="EU160" s="79"/>
      <c r="EV160" s="79"/>
      <c r="EW160" s="83">
        <v>9.5803957345631474</v>
      </c>
      <c r="EX160" s="70">
        <v>15.368068450638452</v>
      </c>
      <c r="EY160" s="70">
        <v>24.292652599712916</v>
      </c>
      <c r="EZ160" s="70"/>
      <c r="FA160" s="70"/>
      <c r="FB160" s="84">
        <v>150.8225988047875</v>
      </c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>
        <v>3.1471111809402008</v>
      </c>
      <c r="FN160" s="70"/>
      <c r="FO160" s="70"/>
      <c r="FP160" s="70"/>
      <c r="FQ160" s="70"/>
      <c r="FR160" s="70"/>
      <c r="FS160" s="70"/>
      <c r="FT160" s="70"/>
      <c r="FU160" s="70">
        <v>44.975464032050141</v>
      </c>
      <c r="FV160" s="70">
        <v>389.07522143210588</v>
      </c>
      <c r="FW160" s="70"/>
      <c r="FX160" s="75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</row>
    <row r="161" spans="1:190" ht="16" x14ac:dyDescent="0.2">
      <c r="A161" s="73" t="s">
        <v>372</v>
      </c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  <c r="BO161" s="70"/>
      <c r="BP161" s="70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G161" s="70"/>
      <c r="CH161" s="70"/>
      <c r="CI161" s="70"/>
      <c r="CJ161" s="70"/>
      <c r="CK161" s="70"/>
      <c r="CL161" s="70"/>
      <c r="CM161" s="70"/>
      <c r="CN161" s="70"/>
      <c r="CO161" s="70"/>
      <c r="CP161" s="70"/>
      <c r="CQ161" s="70"/>
      <c r="CR161" s="70"/>
      <c r="CS161" s="70"/>
      <c r="CT161" s="70"/>
      <c r="CU161" s="70"/>
      <c r="CV161" s="70"/>
      <c r="CW161" s="70"/>
      <c r="CX161" s="70"/>
      <c r="CY161" s="70"/>
      <c r="CZ161" s="70"/>
      <c r="DA161" s="70"/>
      <c r="DB161" s="70"/>
      <c r="DC161" s="70"/>
      <c r="DD161" s="70"/>
      <c r="DE161" s="70"/>
      <c r="DF161" s="70"/>
      <c r="DG161" s="70"/>
      <c r="DH161" s="70"/>
      <c r="DI161" s="70"/>
      <c r="DJ161" s="70"/>
      <c r="DK161" s="70"/>
      <c r="DL161" s="70"/>
      <c r="DM161" s="70"/>
      <c r="DN161" s="70"/>
      <c r="DO161" s="70"/>
      <c r="DP161" s="70"/>
      <c r="DQ161" s="70"/>
      <c r="DR161" s="70"/>
      <c r="DS161" s="70"/>
      <c r="DT161" s="70"/>
      <c r="DU161" s="70"/>
      <c r="DV161" s="70"/>
      <c r="DW161" s="70"/>
      <c r="DX161" s="70"/>
      <c r="DY161" s="70"/>
      <c r="DZ161" s="70"/>
      <c r="EA161" s="70"/>
      <c r="EB161" s="70"/>
      <c r="EC161" s="70"/>
      <c r="ED161" s="70"/>
      <c r="EE161" s="70"/>
      <c r="EF161" s="70"/>
      <c r="EG161" s="70"/>
      <c r="EH161" s="70"/>
      <c r="EI161" s="70"/>
      <c r="EJ161" s="70"/>
      <c r="EK161" s="70"/>
      <c r="EL161" s="70"/>
      <c r="EM161" s="81">
        <v>7.3219429345410587</v>
      </c>
      <c r="EN161" s="82">
        <f t="shared" si="0"/>
        <v>3.5283333850989272E-2</v>
      </c>
      <c r="EO161" s="79">
        <v>35.971002078218298</v>
      </c>
      <c r="EP161" s="79">
        <v>23.828161499850257</v>
      </c>
      <c r="EQ161" s="79">
        <v>63.298804160659678</v>
      </c>
      <c r="ER161" s="79">
        <v>27.923945063344366</v>
      </c>
      <c r="ES161" s="79"/>
      <c r="ET161" s="79"/>
      <c r="EU161" s="79"/>
      <c r="EV161" s="79"/>
      <c r="EW161" s="83">
        <v>10.994879458888045</v>
      </c>
      <c r="EX161" s="70">
        <v>17.634202758777825</v>
      </c>
      <c r="EY161" s="70">
        <v>27.867460165464092</v>
      </c>
      <c r="EZ161" s="70"/>
      <c r="FA161" s="70"/>
      <c r="FB161" s="84">
        <v>173.86973558498212</v>
      </c>
      <c r="FC161" s="70"/>
      <c r="FD161" s="70"/>
      <c r="FE161" s="70"/>
      <c r="FF161" s="70"/>
      <c r="FG161" s="70"/>
      <c r="FH161" s="70"/>
      <c r="FI161" s="70"/>
      <c r="FJ161" s="70"/>
      <c r="FK161" s="70"/>
      <c r="FL161" s="70"/>
      <c r="FM161" s="70">
        <v>4.3324880633057683</v>
      </c>
      <c r="FN161" s="70"/>
      <c r="FO161" s="70"/>
      <c r="FP161" s="70"/>
      <c r="FQ161" s="70"/>
      <c r="FR161" s="70"/>
      <c r="FS161" s="70"/>
      <c r="FT161" s="70"/>
      <c r="FU161" s="70">
        <v>59.967630278648642</v>
      </c>
      <c r="FV161" s="70">
        <v>445.68830911213911</v>
      </c>
      <c r="FW161" s="70"/>
      <c r="FX161" s="75"/>
      <c r="FY161" s="70"/>
      <c r="FZ161" s="70"/>
      <c r="GA161" s="70"/>
      <c r="GB161" s="70"/>
      <c r="GC161" s="70"/>
      <c r="GD161" s="70"/>
      <c r="GE161" s="70"/>
      <c r="GF161" s="70"/>
      <c r="GG161" s="70"/>
      <c r="GH161" s="70"/>
    </row>
    <row r="162" spans="1:190" ht="16" x14ac:dyDescent="0.2">
      <c r="A162" s="73" t="s">
        <v>373</v>
      </c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  <c r="BO162" s="70"/>
      <c r="BP162" s="70"/>
      <c r="BQ162" s="70"/>
      <c r="BR162" s="70"/>
      <c r="BS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70"/>
      <c r="CE162" s="70"/>
      <c r="CF162" s="70"/>
      <c r="CG162" s="70"/>
      <c r="CH162" s="70"/>
      <c r="CI162" s="70"/>
      <c r="CJ162" s="70"/>
      <c r="CK162" s="70"/>
      <c r="CL162" s="70"/>
      <c r="CM162" s="70"/>
      <c r="CN162" s="70"/>
      <c r="CO162" s="70"/>
      <c r="CP162" s="70"/>
      <c r="CQ162" s="70"/>
      <c r="CR162" s="70"/>
      <c r="CS162" s="70"/>
      <c r="CT162" s="70"/>
      <c r="CU162" s="70"/>
      <c r="CV162" s="70"/>
      <c r="CW162" s="70"/>
      <c r="CX162" s="70"/>
      <c r="CY162" s="70"/>
      <c r="CZ162" s="70"/>
      <c r="DA162" s="70"/>
      <c r="DB162" s="70"/>
      <c r="DC162" s="70"/>
      <c r="DD162" s="70"/>
      <c r="DE162" s="70"/>
      <c r="DF162" s="70"/>
      <c r="DG162" s="70"/>
      <c r="DH162" s="70"/>
      <c r="DI162" s="70"/>
      <c r="DJ162" s="70"/>
      <c r="DK162" s="70"/>
      <c r="DL162" s="70"/>
      <c r="DM162" s="70"/>
      <c r="DN162" s="70"/>
      <c r="DO162" s="70"/>
      <c r="DP162" s="70"/>
      <c r="DQ162" s="70"/>
      <c r="DR162" s="70"/>
      <c r="DS162" s="70"/>
      <c r="DT162" s="70"/>
      <c r="DU162" s="70"/>
      <c r="DV162" s="70"/>
      <c r="DW162" s="70"/>
      <c r="DX162" s="70"/>
      <c r="DY162" s="70"/>
      <c r="DZ162" s="70"/>
      <c r="EA162" s="70"/>
      <c r="EB162" s="70"/>
      <c r="EC162" s="70"/>
      <c r="ED162" s="70"/>
      <c r="EE162" s="70"/>
      <c r="EF162" s="70"/>
      <c r="EG162" s="70"/>
      <c r="EH162" s="70"/>
      <c r="EI162" s="70"/>
      <c r="EJ162" s="70"/>
      <c r="EK162" s="70"/>
      <c r="EL162" s="70"/>
      <c r="EM162" s="81">
        <v>9.1533113267838981</v>
      </c>
      <c r="EN162" s="82">
        <f t="shared" si="0"/>
        <v>3.7188706810925898E-2</v>
      </c>
      <c r="EO162" s="79">
        <v>37.937348874453122</v>
      </c>
      <c r="EP162" s="79">
        <v>22.79754133460202</v>
      </c>
      <c r="EQ162" s="79">
        <v>66.388154884226736</v>
      </c>
      <c r="ER162" s="79">
        <v>40.69907723209878</v>
      </c>
      <c r="ES162" s="79"/>
      <c r="ET162" s="79"/>
      <c r="EU162" s="79"/>
      <c r="EV162" s="79"/>
      <c r="EW162" s="83">
        <v>15.243140620520144</v>
      </c>
      <c r="EX162" s="70">
        <v>24.4447765894068</v>
      </c>
      <c r="EY162" s="70">
        <v>38.621437241257517</v>
      </c>
      <c r="EZ162" s="70"/>
      <c r="FA162" s="70"/>
      <c r="FB162" s="84">
        <v>203.34342077348896</v>
      </c>
      <c r="FC162" s="70"/>
      <c r="FD162" s="70"/>
      <c r="FE162" s="70"/>
      <c r="FF162" s="70"/>
      <c r="FG162" s="70"/>
      <c r="FH162" s="70"/>
      <c r="FI162" s="70"/>
      <c r="FJ162" s="70"/>
      <c r="FK162" s="70"/>
      <c r="FL162" s="70"/>
      <c r="FM162" s="70">
        <v>6.2492642259330191</v>
      </c>
      <c r="FN162" s="70"/>
      <c r="FO162" s="70"/>
      <c r="FP162" s="70"/>
      <c r="FQ162" s="70"/>
      <c r="FR162" s="70"/>
      <c r="FS162" s="70"/>
      <c r="FT162" s="70"/>
      <c r="FU162" s="70">
        <v>88.822946122600086</v>
      </c>
      <c r="FV162" s="70">
        <v>544.54710789858723</v>
      </c>
      <c r="FW162" s="70"/>
      <c r="FX162" s="75"/>
      <c r="FY162" s="70"/>
      <c r="FZ162" s="70"/>
      <c r="GA162" s="70"/>
      <c r="GB162" s="70"/>
      <c r="GC162" s="70"/>
      <c r="GD162" s="70"/>
      <c r="GE162" s="70"/>
      <c r="GF162" s="70"/>
      <c r="GG162" s="70"/>
      <c r="GH162" s="70"/>
    </row>
    <row r="163" spans="1:190" ht="16" x14ac:dyDescent="0.2">
      <c r="A163" s="73" t="s">
        <v>374</v>
      </c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  <c r="BO163" s="70"/>
      <c r="BP163" s="70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70"/>
      <c r="CE163" s="70"/>
      <c r="CF163" s="70"/>
      <c r="CG163" s="70"/>
      <c r="CH163" s="70"/>
      <c r="CI163" s="70"/>
      <c r="CJ163" s="70"/>
      <c r="CK163" s="70"/>
      <c r="CL163" s="70"/>
      <c r="CM163" s="70"/>
      <c r="CN163" s="70"/>
      <c r="CO163" s="70"/>
      <c r="CP163" s="70"/>
      <c r="CQ163" s="70"/>
      <c r="CR163" s="70"/>
      <c r="CS163" s="70"/>
      <c r="CT163" s="70"/>
      <c r="CU163" s="70"/>
      <c r="CV163" s="70"/>
      <c r="CW163" s="70"/>
      <c r="CX163" s="70"/>
      <c r="CY163" s="70"/>
      <c r="CZ163" s="70"/>
      <c r="DA163" s="70"/>
      <c r="DB163" s="70"/>
      <c r="DC163" s="70"/>
      <c r="DD163" s="70"/>
      <c r="DE163" s="70"/>
      <c r="DF163" s="70"/>
      <c r="DG163" s="70"/>
      <c r="DH163" s="70"/>
      <c r="DI163" s="70"/>
      <c r="DJ163" s="70"/>
      <c r="DK163" s="70"/>
      <c r="DL163" s="70"/>
      <c r="DM163" s="70"/>
      <c r="DN163" s="70"/>
      <c r="DO163" s="70"/>
      <c r="DP163" s="70"/>
      <c r="DQ163" s="70"/>
      <c r="DR163" s="70"/>
      <c r="DS163" s="70"/>
      <c r="DT163" s="70"/>
      <c r="DU163" s="70"/>
      <c r="DV163" s="70"/>
      <c r="DW163" s="70"/>
      <c r="DX163" s="70"/>
      <c r="DY163" s="70"/>
      <c r="DZ163" s="70"/>
      <c r="EA163" s="70"/>
      <c r="EB163" s="70"/>
      <c r="EC163" s="70"/>
      <c r="ED163" s="70"/>
      <c r="EE163" s="70"/>
      <c r="EF163" s="70"/>
      <c r="EG163" s="70"/>
      <c r="EH163" s="70"/>
      <c r="EI163" s="70"/>
      <c r="EJ163" s="70"/>
      <c r="EK163" s="70"/>
      <c r="EL163" s="70"/>
      <c r="EM163" s="81">
        <v>10.295193784426878</v>
      </c>
      <c r="EN163" s="82">
        <f>EM163/SUM(EO163:EY163)</f>
        <v>4.0542074254996945E-2</v>
      </c>
      <c r="EO163" s="79">
        <v>33.118079695016135</v>
      </c>
      <c r="EP163" s="79">
        <v>16.926963430370861</v>
      </c>
      <c r="EQ163" s="79">
        <v>57.680498336451912</v>
      </c>
      <c r="ER163" s="79">
        <v>48.440856175867282</v>
      </c>
      <c r="ES163" s="79"/>
      <c r="ET163" s="79"/>
      <c r="EU163" s="79"/>
      <c r="EV163" s="79"/>
      <c r="EW163" s="83">
        <v>19.035608226783314</v>
      </c>
      <c r="EX163" s="70">
        <v>30.522836070811444</v>
      </c>
      <c r="EY163" s="70">
        <v>48.213664507988909</v>
      </c>
      <c r="EZ163" s="70"/>
      <c r="FA163" s="70"/>
      <c r="FB163" s="84">
        <v>246.56787097909569</v>
      </c>
      <c r="FC163" s="70"/>
      <c r="FD163" s="70"/>
      <c r="FE163" s="70"/>
      <c r="FF163" s="70"/>
      <c r="FG163" s="70"/>
      <c r="FH163" s="70"/>
      <c r="FI163" s="70"/>
      <c r="FJ163" s="70"/>
      <c r="FK163" s="70"/>
      <c r="FL163" s="70"/>
      <c r="FM163" s="70">
        <v>10.118831163323376</v>
      </c>
      <c r="FN163" s="70"/>
      <c r="FO163" s="70"/>
      <c r="FP163" s="70"/>
      <c r="FQ163" s="70"/>
      <c r="FR163" s="70"/>
      <c r="FS163" s="70"/>
      <c r="FT163" s="70"/>
      <c r="FU163" s="70">
        <v>97.900920983201857</v>
      </c>
      <c r="FV163" s="70">
        <v>608.52612956891073</v>
      </c>
      <c r="FW163" s="70"/>
      <c r="FX163" s="75"/>
      <c r="FY163" s="70"/>
      <c r="FZ163" s="70"/>
      <c r="GA163" s="70"/>
      <c r="GB163" s="70"/>
      <c r="GC163" s="70"/>
      <c r="GD163" s="70"/>
      <c r="GE163" s="70"/>
      <c r="GF163" s="70"/>
      <c r="GG163" s="70"/>
      <c r="GH163" s="70"/>
    </row>
    <row r="164" spans="1:190" ht="16" x14ac:dyDescent="0.2">
      <c r="A164" s="71" t="s">
        <v>375</v>
      </c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  <c r="BO164" s="70"/>
      <c r="BP164" s="70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70"/>
      <c r="CE164" s="70"/>
      <c r="CF164" s="70"/>
      <c r="CG164" s="70"/>
      <c r="CH164" s="70"/>
      <c r="CI164" s="70"/>
      <c r="CJ164" s="70"/>
      <c r="CK164" s="70"/>
      <c r="CL164" s="70"/>
      <c r="CM164" s="70"/>
      <c r="CN164" s="70"/>
      <c r="CO164" s="70"/>
      <c r="CP164" s="70"/>
      <c r="CQ164" s="70"/>
      <c r="CR164" s="70"/>
      <c r="CS164" s="70"/>
      <c r="CT164" s="70"/>
      <c r="CU164" s="70"/>
      <c r="CV164" s="70"/>
      <c r="CW164" s="70"/>
      <c r="CX164" s="70"/>
      <c r="CY164" s="70"/>
      <c r="CZ164" s="70"/>
      <c r="DA164" s="70"/>
      <c r="DB164" s="70"/>
      <c r="DC164" s="70"/>
      <c r="DD164" s="70"/>
      <c r="DE164" s="70"/>
      <c r="DF164" s="70"/>
      <c r="DG164" s="70"/>
      <c r="DH164" s="70"/>
      <c r="DI164" s="70"/>
      <c r="DJ164" s="70"/>
      <c r="DK164" s="70"/>
      <c r="DL164" s="70"/>
      <c r="DM164" s="70"/>
      <c r="DN164" s="70"/>
      <c r="DO164" s="70"/>
      <c r="DP164" s="70"/>
      <c r="DQ164" s="70"/>
      <c r="DR164" s="70"/>
      <c r="DS164" s="70"/>
      <c r="DT164" s="70"/>
      <c r="DU164" s="70"/>
      <c r="DV164" s="70"/>
      <c r="DW164" s="70"/>
      <c r="DX164" s="70"/>
      <c r="DY164" s="70"/>
      <c r="DZ164" s="70"/>
      <c r="EA164" s="70"/>
      <c r="EB164" s="70"/>
      <c r="EC164" s="70"/>
      <c r="ED164" s="70"/>
      <c r="EE164" s="70"/>
      <c r="EF164" s="70"/>
      <c r="EG164" s="70"/>
      <c r="EH164" s="70"/>
      <c r="EI164" s="70"/>
      <c r="EJ164" s="70"/>
      <c r="EK164" s="70"/>
      <c r="EL164" s="70"/>
      <c r="EM164" s="81">
        <v>1.6589630530629935</v>
      </c>
      <c r="EN164" s="82">
        <f t="shared" si="0"/>
        <v>3.0035544400826404E-2</v>
      </c>
      <c r="EO164" s="79"/>
      <c r="EP164" s="79"/>
      <c r="EQ164" s="79"/>
      <c r="ER164" s="79"/>
      <c r="ES164" s="79">
        <v>15.215676107014492</v>
      </c>
      <c r="ET164" s="79">
        <v>11.345232097332774</v>
      </c>
      <c r="EU164" s="79">
        <v>18.055399707990556</v>
      </c>
      <c r="EV164" s="79">
        <v>8.2585121231239338</v>
      </c>
      <c r="EW164" s="83">
        <v>0.45895007418004119</v>
      </c>
      <c r="EX164" s="70">
        <v>0.73611191673856768</v>
      </c>
      <c r="EY164" s="70">
        <v>1.1634452249595104</v>
      </c>
      <c r="EZ164" s="70"/>
      <c r="FA164" s="70"/>
      <c r="FB164" s="84">
        <v>69.478139876066493</v>
      </c>
      <c r="FC164" s="70"/>
      <c r="FD164" s="70"/>
      <c r="FE164" s="70"/>
      <c r="FF164" s="70"/>
      <c r="FG164" s="70"/>
      <c r="FH164" s="70"/>
      <c r="FI164" s="70"/>
      <c r="FJ164" s="70"/>
      <c r="FK164" s="70"/>
      <c r="FL164" s="70"/>
      <c r="FM164" s="70">
        <v>1.1152093982920042</v>
      </c>
      <c r="FN164" s="70"/>
      <c r="FO164" s="70"/>
      <c r="FP164" s="70"/>
      <c r="FQ164" s="70"/>
      <c r="FR164" s="70"/>
      <c r="FS164" s="70"/>
      <c r="FT164" s="70"/>
      <c r="FU164" s="70">
        <v>2.7312614652146974</v>
      </c>
      <c r="FV164" s="70">
        <v>128.55793799091308</v>
      </c>
      <c r="FW164" s="70"/>
      <c r="FX164" s="75"/>
      <c r="FY164" s="70"/>
      <c r="FZ164" s="70"/>
      <c r="GA164" s="70"/>
      <c r="GB164" s="70"/>
      <c r="GC164" s="70"/>
      <c r="GD164" s="70"/>
      <c r="GE164" s="70"/>
      <c r="GF164" s="70"/>
      <c r="GG164" s="70"/>
      <c r="GH164" s="70"/>
    </row>
    <row r="165" spans="1:190" ht="16" x14ac:dyDescent="0.2">
      <c r="A165" s="71" t="s">
        <v>376</v>
      </c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81">
        <v>3.7373788321753212</v>
      </c>
      <c r="EN165" s="82">
        <f t="shared" si="0"/>
        <v>4.4623168129406594E-2</v>
      </c>
      <c r="EO165" s="79"/>
      <c r="EP165" s="79"/>
      <c r="EQ165" s="79"/>
      <c r="ER165" s="79"/>
      <c r="ES165" s="79">
        <v>17.650087275538215</v>
      </c>
      <c r="ET165" s="79">
        <v>13.447487646288454</v>
      </c>
      <c r="EU165" s="79">
        <v>32.399289048574516</v>
      </c>
      <c r="EV165" s="79">
        <v>16.73159869156666</v>
      </c>
      <c r="EW165" s="83">
        <v>0.68610114758355434</v>
      </c>
      <c r="EX165" s="70">
        <v>1.1004298837609663</v>
      </c>
      <c r="EY165" s="70">
        <v>1.7392305997044699</v>
      </c>
      <c r="EZ165" s="70"/>
      <c r="FA165" s="70"/>
      <c r="FB165" s="84">
        <v>111.3081271635328</v>
      </c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>
        <v>2.568037974423266</v>
      </c>
      <c r="FN165" s="70"/>
      <c r="FO165" s="70"/>
      <c r="FP165" s="70"/>
      <c r="FQ165" s="70"/>
      <c r="FR165" s="70"/>
      <c r="FS165" s="70"/>
      <c r="FT165" s="70"/>
      <c r="FU165" s="70">
        <v>10.873604218491584</v>
      </c>
      <c r="FV165" s="70">
        <v>208.50399364946452</v>
      </c>
      <c r="FW165" s="70"/>
      <c r="FX165" s="75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</row>
    <row r="166" spans="1:190" ht="16" x14ac:dyDescent="0.2">
      <c r="A166" s="71" t="s">
        <v>377</v>
      </c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81">
        <v>6.1862736359668409</v>
      </c>
      <c r="EN166" s="82">
        <f t="shared" si="0"/>
        <v>4.839225554973265E-2</v>
      </c>
      <c r="EO166" s="79"/>
      <c r="EP166" s="79"/>
      <c r="EQ166" s="79"/>
      <c r="ER166" s="79"/>
      <c r="ES166" s="79">
        <v>19.964487303600947</v>
      </c>
      <c r="ET166" s="79">
        <v>17.391530716026562</v>
      </c>
      <c r="EU166" s="79">
        <v>48.632222601847644</v>
      </c>
      <c r="EV166" s="79">
        <v>36.211132845953109</v>
      </c>
      <c r="EW166" s="83">
        <v>0.97611942344579661</v>
      </c>
      <c r="EX166" s="70">
        <v>1.5655922876130195</v>
      </c>
      <c r="EY166" s="70">
        <v>3.0949407659786905</v>
      </c>
      <c r="EZ166" s="70"/>
      <c r="FA166" s="70"/>
      <c r="FB166" s="84">
        <v>167.82087748560812</v>
      </c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>
        <v>4.2662050709706278</v>
      </c>
      <c r="FN166" s="70"/>
      <c r="FO166" s="70"/>
      <c r="FP166" s="70"/>
      <c r="FQ166" s="70"/>
      <c r="FR166" s="70"/>
      <c r="FS166" s="70"/>
      <c r="FT166" s="70"/>
      <c r="FU166" s="70">
        <v>8.472840492599655</v>
      </c>
      <c r="FV166" s="70">
        <v>308.39594899364414</v>
      </c>
      <c r="FW166" s="70"/>
      <c r="FX166" s="75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</row>
    <row r="167" spans="1:190" ht="16" x14ac:dyDescent="0.2">
      <c r="A167" s="71" t="s">
        <v>378</v>
      </c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81">
        <v>9.6216013307986721</v>
      </c>
      <c r="EN167" s="82">
        <f t="shared" si="0"/>
        <v>5.4988759818972784E-2</v>
      </c>
      <c r="EO167" s="79"/>
      <c r="EP167" s="79"/>
      <c r="EQ167" s="79"/>
      <c r="ER167" s="79"/>
      <c r="ES167" s="79">
        <v>21.952808113032795</v>
      </c>
      <c r="ET167" s="79">
        <v>19.997914030621036</v>
      </c>
      <c r="EU167" s="79">
        <v>63.700729302710016</v>
      </c>
      <c r="EV167" s="79">
        <v>62.21375434534724</v>
      </c>
      <c r="EW167" s="83">
        <v>1.3833391638908865</v>
      </c>
      <c r="EX167" s="70">
        <v>2.2187274537805295</v>
      </c>
      <c r="EY167" s="70">
        <v>3.5066924967859774</v>
      </c>
      <c r="EZ167" s="70"/>
      <c r="FA167" s="70"/>
      <c r="FB167" s="84">
        <v>231.50390517073873</v>
      </c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>
        <v>8.853938715820572</v>
      </c>
      <c r="FN167" s="70"/>
      <c r="FO167" s="70"/>
      <c r="FP167" s="70"/>
      <c r="FQ167" s="70"/>
      <c r="FR167" s="70"/>
      <c r="FS167" s="70"/>
      <c r="FT167" s="70"/>
      <c r="FU167" s="70">
        <v>35.460212812383183</v>
      </c>
      <c r="FV167" s="70">
        <v>450.79202160511102</v>
      </c>
      <c r="FW167" s="70"/>
      <c r="FX167" s="75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</row>
    <row r="168" spans="1:190" ht="16" x14ac:dyDescent="0.2">
      <c r="A168" s="71" t="s">
        <v>379</v>
      </c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81">
        <v>28.972067669629649</v>
      </c>
      <c r="EN168" s="82">
        <f t="shared" si="0"/>
        <v>6.5644214039459914E-2</v>
      </c>
      <c r="EO168" s="79"/>
      <c r="EP168" s="79"/>
      <c r="EQ168" s="79"/>
      <c r="ER168" s="79"/>
      <c r="ES168" s="79">
        <v>19.499982834542443</v>
      </c>
      <c r="ET168" s="79">
        <v>19.221642122326184</v>
      </c>
      <c r="EU168" s="79">
        <v>81.592338420251252</v>
      </c>
      <c r="EV168" s="79">
        <v>310.79603990795476</v>
      </c>
      <c r="EW168" s="83">
        <v>1.9927991676404406</v>
      </c>
      <c r="EX168" s="70">
        <v>3.1960868979797583</v>
      </c>
      <c r="EY168" s="70">
        <v>5.0510162512523298</v>
      </c>
      <c r="EZ168" s="70"/>
      <c r="FA168" s="70"/>
      <c r="FB168" s="84">
        <v>771.66845174060938</v>
      </c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>
        <v>31.542887671065497</v>
      </c>
      <c r="FN168" s="70"/>
      <c r="FO168" s="70"/>
      <c r="FP168" s="70"/>
      <c r="FQ168" s="70"/>
      <c r="FR168" s="70"/>
      <c r="FS168" s="70"/>
      <c r="FT168" s="70"/>
      <c r="FU168" s="70">
        <v>93.233560260231116</v>
      </c>
      <c r="FV168" s="70">
        <v>1337.7948052738532</v>
      </c>
      <c r="FW168" s="70"/>
      <c r="FX168" s="75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</row>
    <row r="169" spans="1:190" x14ac:dyDescent="0.2">
      <c r="A169" s="71" t="s">
        <v>380</v>
      </c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0"/>
      <c r="BQ169" s="70"/>
      <c r="BR169" s="70"/>
      <c r="BS169" s="70"/>
      <c r="BT169" s="70"/>
      <c r="BU169" s="70"/>
      <c r="BV169" s="70"/>
      <c r="BW169" s="70"/>
      <c r="BX169" s="70"/>
      <c r="BY169" s="70"/>
      <c r="BZ169" s="70"/>
      <c r="CA169" s="70"/>
      <c r="CB169" s="70"/>
      <c r="CC169" s="70"/>
      <c r="CD169" s="70"/>
      <c r="CE169" s="70"/>
      <c r="CF169" s="70"/>
      <c r="CG169" s="70"/>
      <c r="CH169" s="70"/>
      <c r="CI169" s="70"/>
      <c r="CJ169" s="70"/>
      <c r="CK169" s="70"/>
      <c r="CL169" s="70"/>
      <c r="CM169" s="70"/>
      <c r="CN169" s="70"/>
      <c r="CO169" s="70"/>
      <c r="CP169" s="70"/>
      <c r="CQ169" s="70"/>
      <c r="CR169" s="70"/>
      <c r="CS169" s="70"/>
      <c r="CT169" s="70"/>
      <c r="CU169" s="70"/>
      <c r="CV169" s="70"/>
      <c r="CW169" s="70"/>
      <c r="CX169" s="70"/>
      <c r="CY169" s="70"/>
      <c r="CZ169" s="70"/>
      <c r="DA169" s="70"/>
      <c r="DB169" s="70"/>
      <c r="DC169" s="70"/>
      <c r="DD169" s="70"/>
      <c r="DE169" s="70"/>
      <c r="DF169" s="70"/>
      <c r="DG169" s="70"/>
      <c r="DH169" s="70"/>
      <c r="DI169" s="70"/>
      <c r="DJ169" s="70"/>
      <c r="DK169" s="70"/>
      <c r="DL169" s="70"/>
      <c r="DM169" s="70"/>
      <c r="DN169" s="70"/>
      <c r="DO169" s="70"/>
      <c r="DP169" s="70"/>
      <c r="DQ169" s="70"/>
      <c r="DR169" s="70"/>
      <c r="DS169" s="70"/>
      <c r="DT169" s="70"/>
      <c r="DU169" s="70"/>
      <c r="DV169" s="70"/>
      <c r="DW169" s="70"/>
      <c r="DX169" s="70"/>
      <c r="DY169" s="70"/>
      <c r="DZ169" s="70"/>
      <c r="EA169" s="70"/>
      <c r="EB169" s="70"/>
      <c r="EC169" s="70"/>
      <c r="ED169" s="70"/>
      <c r="EE169" s="70"/>
      <c r="EF169" s="70"/>
      <c r="EG169" s="70"/>
      <c r="EH169" s="70"/>
      <c r="EI169" s="70"/>
      <c r="EJ169" s="70"/>
      <c r="EK169" s="70"/>
      <c r="EL169" s="70"/>
      <c r="EM169" s="70"/>
      <c r="EN169" s="70"/>
      <c r="EO169" s="70"/>
      <c r="EP169" s="70"/>
      <c r="EQ169" s="70"/>
      <c r="ER169" s="70"/>
      <c r="ES169" s="70"/>
      <c r="ET169" s="70"/>
      <c r="EU169" s="70"/>
      <c r="EV169" s="70"/>
      <c r="EW169" s="70"/>
      <c r="EX169" s="70"/>
      <c r="EY169" s="70"/>
      <c r="EZ169" s="70"/>
      <c r="FA169" s="70"/>
      <c r="FB169" s="70">
        <v>200.5356988626917</v>
      </c>
      <c r="FC169" s="70">
        <v>6.5607264424748485E-2</v>
      </c>
      <c r="FD169" s="70">
        <v>0.10954696075165286</v>
      </c>
      <c r="FE169" s="70">
        <v>0.12536636676334398</v>
      </c>
      <c r="FF169" s="70">
        <v>0.15548016120175706</v>
      </c>
      <c r="FG169" s="70">
        <v>0.17648141247233759</v>
      </c>
      <c r="FH169" s="70">
        <v>2.957228944497443E-2</v>
      </c>
      <c r="FI169" s="70">
        <v>6.6634059132051462E-2</v>
      </c>
      <c r="FJ169" s="70">
        <v>0.11032003960374931</v>
      </c>
      <c r="FK169" s="70">
        <v>0.17162242189894886</v>
      </c>
      <c r="FL169" s="70">
        <v>0.51699996327437681</v>
      </c>
      <c r="FM169" s="70"/>
      <c r="FN169" s="70">
        <v>285.6742396414619</v>
      </c>
      <c r="FO169" s="70">
        <v>4.8563916766908672</v>
      </c>
      <c r="FP169" s="70">
        <v>40.42012492275186</v>
      </c>
      <c r="FQ169" s="70">
        <v>309.89915980604241</v>
      </c>
      <c r="FR169" s="70">
        <v>-200.60727123785821</v>
      </c>
      <c r="FS169" s="70"/>
      <c r="FT169" s="70"/>
      <c r="FU169" s="70">
        <v>2.6107840807819684</v>
      </c>
      <c r="FV169" s="70">
        <v>644.9167586915305</v>
      </c>
      <c r="FW169" s="70"/>
      <c r="FX169" s="75"/>
      <c r="FY169" s="70"/>
      <c r="FZ169" s="70"/>
      <c r="GA169" s="70"/>
      <c r="GB169" s="70"/>
      <c r="GC169" s="70"/>
      <c r="GD169" s="70"/>
      <c r="GE169" s="70"/>
      <c r="GF169" s="70"/>
      <c r="GG169" s="70"/>
      <c r="GH169" s="70"/>
    </row>
    <row r="170" spans="1:190" x14ac:dyDescent="0.2">
      <c r="A170" s="71" t="s">
        <v>381</v>
      </c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70"/>
      <c r="BS170" s="70"/>
      <c r="BT170" s="70"/>
      <c r="BU170" s="70"/>
      <c r="BV170" s="70"/>
      <c r="BW170" s="70"/>
      <c r="BX170" s="70"/>
      <c r="BY170" s="70"/>
      <c r="BZ170" s="70"/>
      <c r="CA170" s="70"/>
      <c r="CB170" s="70"/>
      <c r="CC170" s="70"/>
      <c r="CD170" s="70"/>
      <c r="CE170" s="70"/>
      <c r="CF170" s="70"/>
      <c r="CG170" s="70"/>
      <c r="CH170" s="70"/>
      <c r="CI170" s="70"/>
      <c r="CJ170" s="70"/>
      <c r="CK170" s="70"/>
      <c r="CL170" s="70"/>
      <c r="CM170" s="70"/>
      <c r="CN170" s="70"/>
      <c r="CO170" s="70"/>
      <c r="CP170" s="70"/>
      <c r="CQ170" s="70"/>
      <c r="CR170" s="70"/>
      <c r="CS170" s="70"/>
      <c r="CT170" s="70"/>
      <c r="CU170" s="70"/>
      <c r="CV170" s="70"/>
      <c r="CW170" s="70"/>
      <c r="CX170" s="70"/>
      <c r="CY170" s="70"/>
      <c r="CZ170" s="70"/>
      <c r="DA170" s="70"/>
      <c r="DB170" s="70"/>
      <c r="DC170" s="70"/>
      <c r="DD170" s="70"/>
      <c r="DE170" s="70"/>
      <c r="DF170" s="70"/>
      <c r="DG170" s="70"/>
      <c r="DH170" s="70"/>
      <c r="DI170" s="70"/>
      <c r="DJ170" s="70"/>
      <c r="DK170" s="70"/>
      <c r="DL170" s="70"/>
      <c r="DM170" s="70"/>
      <c r="DN170" s="70"/>
      <c r="DO170" s="70"/>
      <c r="DP170" s="70"/>
      <c r="DQ170" s="70"/>
      <c r="DR170" s="70"/>
      <c r="DS170" s="70"/>
      <c r="DT170" s="70"/>
      <c r="DU170" s="70"/>
      <c r="DV170" s="70"/>
      <c r="DW170" s="70"/>
      <c r="DX170" s="70"/>
      <c r="DY170" s="70"/>
      <c r="DZ170" s="70"/>
      <c r="EA170" s="70"/>
      <c r="EB170" s="70"/>
      <c r="EC170" s="70"/>
      <c r="ED170" s="70"/>
      <c r="EE170" s="70"/>
      <c r="EF170" s="70"/>
      <c r="EG170" s="70"/>
      <c r="EH170" s="70"/>
      <c r="EI170" s="70"/>
      <c r="EJ170" s="70"/>
      <c r="EK170" s="70"/>
      <c r="EL170" s="70"/>
      <c r="EM170" s="85"/>
      <c r="EN170" s="70"/>
      <c r="EO170" s="70"/>
      <c r="EP170" s="70"/>
      <c r="EQ170" s="70"/>
      <c r="ER170" s="70"/>
      <c r="ES170" s="70"/>
      <c r="ET170" s="70"/>
      <c r="EU170" s="70"/>
      <c r="EV170" s="70"/>
      <c r="EW170" s="70"/>
      <c r="EX170" s="70"/>
      <c r="EY170" s="70"/>
      <c r="EZ170" s="70"/>
      <c r="FA170" s="70"/>
      <c r="FB170" s="70">
        <v>198.90590401562633</v>
      </c>
      <c r="FC170" s="81">
        <v>3.679292488673148</v>
      </c>
      <c r="FD170" s="81">
        <v>6.1423105697771678</v>
      </c>
      <c r="FE170" s="81">
        <v>7.3219429345410587</v>
      </c>
      <c r="FF170" s="81">
        <v>9.1533113267838981</v>
      </c>
      <c r="FG170" s="81">
        <v>10.295193784426878</v>
      </c>
      <c r="FH170" s="81">
        <v>1.6589630530629935</v>
      </c>
      <c r="FI170" s="81">
        <v>3.7373788321753212</v>
      </c>
      <c r="FJ170" s="81">
        <v>6.1862736359668409</v>
      </c>
      <c r="FK170" s="81">
        <v>9.6216013307986721</v>
      </c>
      <c r="FL170" s="81">
        <v>28.972067669629649</v>
      </c>
      <c r="FM170" s="70"/>
      <c r="FN170" s="70"/>
      <c r="FO170" s="70"/>
      <c r="FP170" s="70"/>
      <c r="FQ170" s="70"/>
      <c r="FR170" s="70"/>
      <c r="FS170" s="70"/>
      <c r="FT170" s="70"/>
      <c r="FU170" s="70"/>
      <c r="FV170" s="70">
        <v>285.67423964146201</v>
      </c>
      <c r="FW170" s="70"/>
      <c r="FX170" s="75"/>
      <c r="FY170" s="70"/>
      <c r="FZ170" s="70"/>
      <c r="GA170" s="70"/>
      <c r="GB170" s="70"/>
      <c r="GC170" s="70"/>
      <c r="GD170" s="70"/>
      <c r="GE170" s="70"/>
      <c r="GF170" s="70"/>
      <c r="GG170" s="70"/>
      <c r="GH170" s="70"/>
    </row>
    <row r="171" spans="1:190" x14ac:dyDescent="0.2">
      <c r="A171" s="71" t="s">
        <v>382</v>
      </c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>
        <v>4.8563916766908672</v>
      </c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>
        <v>4.8563916766908672</v>
      </c>
      <c r="FW171" s="70"/>
      <c r="FX171" s="75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</row>
    <row r="172" spans="1:190" x14ac:dyDescent="0.2">
      <c r="A172" s="71" t="s">
        <v>383</v>
      </c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86"/>
      <c r="BT172" s="86"/>
      <c r="BU172" s="86"/>
      <c r="BV172" s="86"/>
      <c r="BW172" s="86">
        <v>2.697002158140276E-3</v>
      </c>
      <c r="BX172" s="86">
        <v>1.6715552593885284E-3</v>
      </c>
      <c r="BY172" s="86">
        <v>3.1238395633282965E-5</v>
      </c>
      <c r="BZ172" s="86">
        <v>4.6304756424315696E-2</v>
      </c>
      <c r="CA172" s="86">
        <v>5.1043821136370921E-3</v>
      </c>
      <c r="CB172" s="86">
        <v>2.2505594976778321E-4</v>
      </c>
      <c r="CC172" s="86">
        <v>1.6375532965491588E-4</v>
      </c>
      <c r="CD172" s="86">
        <v>0.18359452112878186</v>
      </c>
      <c r="CE172" s="86"/>
      <c r="CF172" s="86">
        <v>0.61701757875162466</v>
      </c>
      <c r="CG172" s="86">
        <v>1.6349709622349818E-2</v>
      </c>
      <c r="CH172" s="86"/>
      <c r="CI172" s="86"/>
      <c r="CJ172" s="86"/>
      <c r="CK172" s="86"/>
      <c r="CL172" s="86"/>
      <c r="CM172" s="86"/>
      <c r="CN172" s="86">
        <v>1.2578381942527646E-4</v>
      </c>
      <c r="CO172" s="86">
        <v>1.3218132395974452E-2</v>
      </c>
      <c r="CP172" s="86">
        <v>7.2103170264511843E-4</v>
      </c>
      <c r="CQ172" s="86">
        <v>2.17382733168868E-4</v>
      </c>
      <c r="CR172" s="86"/>
      <c r="CS172" s="86"/>
      <c r="CT172" s="86">
        <v>3.0056374660932576E-2</v>
      </c>
      <c r="CU172" s="86">
        <v>0.81210214640857425</v>
      </c>
      <c r="CV172" s="86">
        <v>0.19837823283676428</v>
      </c>
      <c r="CW172" s="86">
        <v>6.3383316211087254E-2</v>
      </c>
      <c r="CX172" s="86">
        <v>0.15790276378186047</v>
      </c>
      <c r="CY172" s="86">
        <v>0.26453614550883681</v>
      </c>
      <c r="CZ172" s="86">
        <v>1.0741852454166948E-3</v>
      </c>
      <c r="DA172" s="86"/>
      <c r="DB172" s="86"/>
      <c r="DC172" s="86">
        <v>1.1469341857041507E-3</v>
      </c>
      <c r="DD172" s="86">
        <v>4.3584636354353209E-2</v>
      </c>
      <c r="DE172" s="86">
        <v>0.31390616360557877</v>
      </c>
      <c r="DF172" s="86">
        <v>5.8529958859657842</v>
      </c>
      <c r="DG172" s="86">
        <v>1.7978328403496245E-2</v>
      </c>
      <c r="DH172" s="86">
        <v>2.3318648792408275E-2</v>
      </c>
      <c r="DI172" s="86">
        <v>0.53282703861970659</v>
      </c>
      <c r="DJ172" s="86"/>
      <c r="DK172" s="86">
        <v>5.6961685215221234</v>
      </c>
      <c r="DL172" s="86">
        <v>1.3499358476810739</v>
      </c>
      <c r="DM172" s="86">
        <v>0.58047925264083522</v>
      </c>
      <c r="DN172" s="86">
        <v>0.39775425134428299</v>
      </c>
      <c r="DO172" s="86">
        <v>0.45613818713327042</v>
      </c>
      <c r="DP172" s="86">
        <v>5.704386712239827E-2</v>
      </c>
      <c r="DQ172" s="86">
        <v>2.8510796481799126E-2</v>
      </c>
      <c r="DR172" s="86">
        <v>1.7422158223769288</v>
      </c>
      <c r="DS172" s="86">
        <v>0.45692818446731825</v>
      </c>
      <c r="DT172" s="86">
        <v>1.9579082910745875</v>
      </c>
      <c r="DU172" s="86">
        <v>2.9919400285823645</v>
      </c>
      <c r="DV172" s="86">
        <v>2.366628399395033</v>
      </c>
      <c r="DW172" s="86">
        <v>12.79955153208134</v>
      </c>
      <c r="DX172" s="86">
        <v>0.33828851229424395</v>
      </c>
      <c r="DY172" s="86">
        <v>7.4218922680033301E-7</v>
      </c>
      <c r="DZ172" s="86"/>
      <c r="EA172" s="86"/>
      <c r="EB172" s="86"/>
      <c r="EC172" s="86"/>
      <c r="ED172" s="86"/>
      <c r="EE172" s="86"/>
      <c r="EF172" s="86"/>
      <c r="EG172" s="86"/>
      <c r="EH172" s="86"/>
      <c r="EI172" s="86"/>
      <c r="EJ172" s="86"/>
      <c r="EK172" s="86"/>
      <c r="EL172" s="86"/>
      <c r="EM172" s="86"/>
      <c r="EN172" s="70"/>
      <c r="EO172" s="70"/>
      <c r="EP172" s="70"/>
      <c r="EQ172" s="70"/>
      <c r="ER172" s="70"/>
      <c r="ES172" s="70"/>
      <c r="ET172" s="70"/>
      <c r="EU172" s="70"/>
      <c r="EV172" s="70"/>
      <c r="EW172" s="70"/>
      <c r="EX172" s="70"/>
      <c r="EY172" s="70"/>
      <c r="EZ172" s="70"/>
      <c r="FA172" s="70"/>
      <c r="FB172" s="70"/>
      <c r="FC172" s="70"/>
      <c r="FD172" s="70"/>
      <c r="FE172" s="70"/>
      <c r="FF172" s="70"/>
      <c r="FG172" s="70"/>
      <c r="FH172" s="70"/>
      <c r="FI172" s="70"/>
      <c r="FJ172" s="70"/>
      <c r="FK172" s="70"/>
      <c r="FL172" s="70"/>
      <c r="FM172" s="70"/>
      <c r="FN172" s="70"/>
      <c r="FO172" s="70"/>
      <c r="FP172" s="70"/>
      <c r="FQ172" s="70"/>
      <c r="FR172" s="70"/>
      <c r="FS172" s="70"/>
      <c r="FT172" s="70"/>
      <c r="FU172" s="70"/>
      <c r="FV172" s="70">
        <v>40.420124922751832</v>
      </c>
      <c r="FW172" s="70"/>
      <c r="FX172" s="75"/>
      <c r="FY172" s="70"/>
      <c r="FZ172" s="81"/>
      <c r="GA172" s="70"/>
      <c r="GB172" s="70"/>
      <c r="GC172" s="70"/>
      <c r="GD172" s="70"/>
      <c r="GE172" s="70"/>
      <c r="GF172" s="70"/>
      <c r="GG172" s="70"/>
      <c r="GH172" s="70"/>
    </row>
    <row r="173" spans="1:190" x14ac:dyDescent="0.2">
      <c r="A173" s="71" t="s">
        <v>384</v>
      </c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86">
        <v>2.3201439014593106</v>
      </c>
      <c r="BT173" s="86">
        <v>0.24576414257648516</v>
      </c>
      <c r="BU173" s="86">
        <v>0.78402533150214182</v>
      </c>
      <c r="BV173" s="86">
        <v>1.9875331401858005</v>
      </c>
      <c r="BW173" s="86">
        <v>4.2760053918217571E-2</v>
      </c>
      <c r="BX173" s="86">
        <v>0.29960442765973427</v>
      </c>
      <c r="BY173" s="86">
        <v>0.38155548885301221</v>
      </c>
      <c r="BZ173" s="86">
        <v>0.6679769872997513</v>
      </c>
      <c r="CA173" s="86">
        <v>0.13415520999573713</v>
      </c>
      <c r="CB173" s="86">
        <v>0.45013869328746586</v>
      </c>
      <c r="CC173" s="86"/>
      <c r="CD173" s="86"/>
      <c r="CE173" s="86">
        <v>3.6886645954934176E-2</v>
      </c>
      <c r="CF173" s="86">
        <v>1.1834819806597106</v>
      </c>
      <c r="CG173" s="86">
        <v>0.2815912267489904</v>
      </c>
      <c r="CH173" s="86"/>
      <c r="CI173" s="86">
        <v>6.8633374757534932E-5</v>
      </c>
      <c r="CJ173" s="86">
        <v>0.18469133513858851</v>
      </c>
      <c r="CK173" s="86"/>
      <c r="CL173" s="86">
        <v>4.8622587338736983E-3</v>
      </c>
      <c r="CM173" s="86"/>
      <c r="CN173" s="86">
        <v>9.7316914731136704E-3</v>
      </c>
      <c r="CO173" s="86">
        <v>2.4063066401069373E-2</v>
      </c>
      <c r="CP173" s="86">
        <v>7.8603583619191674E-4</v>
      </c>
      <c r="CQ173" s="86">
        <v>5.9940319727681109E-2</v>
      </c>
      <c r="CR173" s="86"/>
      <c r="CS173" s="86"/>
      <c r="CT173" s="86">
        <v>0.61136186509247359</v>
      </c>
      <c r="CU173" s="86">
        <v>0.79230407268455172</v>
      </c>
      <c r="CV173" s="86">
        <v>0.22364948311997399</v>
      </c>
      <c r="CW173" s="86">
        <v>2.8365146387475058</v>
      </c>
      <c r="CX173" s="86">
        <v>2.7602797967963121E-2</v>
      </c>
      <c r="CY173" s="86">
        <v>6.2905073449510435E-2</v>
      </c>
      <c r="CZ173" s="86">
        <v>6.9113675055226557E-3</v>
      </c>
      <c r="DA173" s="86">
        <v>7.2926549878962743E-4</v>
      </c>
      <c r="DB173" s="86">
        <v>9.0224964213355876E-3</v>
      </c>
      <c r="DC173" s="86">
        <v>1.0563605836535419E-2</v>
      </c>
      <c r="DD173" s="86">
        <v>4.0517193192958082E-3</v>
      </c>
      <c r="DE173" s="86">
        <v>7.0583586793235786E-2</v>
      </c>
      <c r="DF173" s="86">
        <v>0.19445948026403209</v>
      </c>
      <c r="DG173" s="86">
        <v>1.3593217020478632E-2</v>
      </c>
      <c r="DH173" s="86">
        <v>0.52826909562010005</v>
      </c>
      <c r="DI173" s="86">
        <v>82.094386592776615</v>
      </c>
      <c r="DJ173" s="86">
        <v>0.46435351958518034</v>
      </c>
      <c r="DK173" s="86">
        <v>2.6429825842866226</v>
      </c>
      <c r="DL173" s="86">
        <v>4.4982936550732413</v>
      </c>
      <c r="DM173" s="86">
        <v>0.10569058963400113</v>
      </c>
      <c r="DN173" s="86">
        <v>1.8336909913397546</v>
      </c>
      <c r="DO173" s="86">
        <v>2.23659184390372</v>
      </c>
      <c r="DP173" s="86">
        <v>51.943577617009282</v>
      </c>
      <c r="DQ173" s="86">
        <v>0.18123615095136428</v>
      </c>
      <c r="DR173" s="86">
        <v>36.921424758398871</v>
      </c>
      <c r="DS173" s="86">
        <v>3.867796452062366</v>
      </c>
      <c r="DT173" s="86">
        <v>11.038649172292271</v>
      </c>
      <c r="DU173" s="86">
        <v>8.6662463513232222</v>
      </c>
      <c r="DV173" s="86">
        <v>10.604246655822735</v>
      </c>
      <c r="DW173" s="86">
        <v>12.934192760349736</v>
      </c>
      <c r="DX173" s="86">
        <v>1.0737042792405536</v>
      </c>
      <c r="DY173" s="86">
        <v>0.63809484731210631</v>
      </c>
      <c r="DZ173" s="86">
        <v>0.48428085062163384</v>
      </c>
      <c r="EA173" s="86">
        <v>2.7725120977517843</v>
      </c>
      <c r="EB173" s="86"/>
      <c r="EC173" s="86">
        <v>0.7073890198059023</v>
      </c>
      <c r="ED173" s="86">
        <v>1.4596588305886822</v>
      </c>
      <c r="EE173" s="86">
        <v>1.5688563575910153</v>
      </c>
      <c r="EF173" s="86">
        <v>5.0593976655499597</v>
      </c>
      <c r="EG173" s="86">
        <v>41.841018588593826</v>
      </c>
      <c r="EH173" s="86"/>
      <c r="EI173" s="86">
        <v>0.47934333458464934</v>
      </c>
      <c r="EJ173" s="86">
        <v>7.4202464025820429</v>
      </c>
      <c r="EK173" s="86"/>
      <c r="EL173" s="86"/>
      <c r="EM173" s="86">
        <v>1.8690155008834084</v>
      </c>
      <c r="EN173" s="70"/>
      <c r="EO173" s="70"/>
      <c r="EP173" s="70"/>
      <c r="EQ173" s="70"/>
      <c r="ER173" s="70"/>
      <c r="ES173" s="70"/>
      <c r="ET173" s="70"/>
      <c r="EU173" s="70"/>
      <c r="EV173" s="70"/>
      <c r="EW173" s="70"/>
      <c r="EX173" s="70"/>
      <c r="EY173" s="70"/>
      <c r="EZ173" s="70"/>
      <c r="FA173" s="70"/>
      <c r="FB173" s="70"/>
      <c r="FC173" s="70"/>
      <c r="FD173" s="70"/>
      <c r="FE173" s="70"/>
      <c r="FF173" s="70"/>
      <c r="FG173" s="70"/>
      <c r="FH173" s="70"/>
      <c r="FI173" s="70"/>
      <c r="FJ173" s="70"/>
      <c r="FK173" s="70"/>
      <c r="FL173" s="70"/>
      <c r="FM173" s="70"/>
      <c r="FN173" s="70"/>
      <c r="FO173" s="70"/>
      <c r="FP173" s="70"/>
      <c r="FQ173" s="70"/>
      <c r="FR173" s="70"/>
      <c r="FS173" s="70"/>
      <c r="FT173" s="70"/>
      <c r="FU173" s="70"/>
      <c r="FV173" s="70">
        <v>309.89915980604246</v>
      </c>
      <c r="FW173" s="70"/>
      <c r="FX173" s="75"/>
      <c r="FY173" s="70"/>
      <c r="FZ173" s="70"/>
      <c r="GA173" s="70"/>
      <c r="GB173" s="70"/>
      <c r="GC173" s="70"/>
      <c r="GD173" s="70"/>
      <c r="GE173" s="70"/>
      <c r="GF173" s="70"/>
      <c r="GG173" s="70"/>
      <c r="GH173" s="70"/>
    </row>
    <row r="174" spans="1:190" x14ac:dyDescent="0.2">
      <c r="A174" s="71" t="s">
        <v>385</v>
      </c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87">
        <v>-1.8253731235881514E-5</v>
      </c>
      <c r="BT174" s="87"/>
      <c r="BU174" s="87">
        <v>-1.1088339841014076E-3</v>
      </c>
      <c r="BV174" s="87">
        <v>-3.7789452533882732E-3</v>
      </c>
      <c r="BW174" s="87"/>
      <c r="BX174" s="87"/>
      <c r="BY174" s="87">
        <v>-0.13697390122686867</v>
      </c>
      <c r="BZ174" s="87"/>
      <c r="CA174" s="87">
        <v>-0.19868761776676128</v>
      </c>
      <c r="CB174" s="87">
        <v>-0.75766249829538723</v>
      </c>
      <c r="CC174" s="87">
        <v>-9.3543907798351259E-4</v>
      </c>
      <c r="CD174" s="87">
        <v>-3.9177757771989655E-5</v>
      </c>
      <c r="CE174" s="87">
        <v>-2.0077002637373449E-2</v>
      </c>
      <c r="CF174" s="87">
        <v>-1.4704389555385864</v>
      </c>
      <c r="CG174" s="87">
        <v>-9.2848629360315557E-2</v>
      </c>
      <c r="CH174" s="87"/>
      <c r="CI174" s="87"/>
      <c r="CJ174" s="87">
        <v>-3.3913648530151372E-7</v>
      </c>
      <c r="CK174" s="87">
        <v>-3.3480983782378848E-2</v>
      </c>
      <c r="CL174" s="87"/>
      <c r="CM174" s="87"/>
      <c r="CN174" s="87">
        <v>-2.3213630737923476E-3</v>
      </c>
      <c r="CO174" s="87">
        <v>-9.2029035234200002E-3</v>
      </c>
      <c r="CP174" s="87">
        <v>-2.6694596720175691E-2</v>
      </c>
      <c r="CQ174" s="87"/>
      <c r="CR174" s="87"/>
      <c r="CS174" s="87"/>
      <c r="CT174" s="87"/>
      <c r="CU174" s="87">
        <v>-9.0504205407308386E-3</v>
      </c>
      <c r="CV174" s="87">
        <v>-1.4349321619381516E-3</v>
      </c>
      <c r="CW174" s="87">
        <v>-0.21037712486413787</v>
      </c>
      <c r="CX174" s="87">
        <v>-1.7122910671133946E-3</v>
      </c>
      <c r="CY174" s="87">
        <v>-1.643469861036833E-2</v>
      </c>
      <c r="CZ174" s="87">
        <v>-1.6003825311910838</v>
      </c>
      <c r="DA174" s="87">
        <v>-0.17143570588677987</v>
      </c>
      <c r="DB174" s="87">
        <v>-2.3285097686125553</v>
      </c>
      <c r="DC174" s="87">
        <v>-1.8483772329333956</v>
      </c>
      <c r="DD174" s="87">
        <v>-1.4049781702095716E-3</v>
      </c>
      <c r="DE174" s="87">
        <v>-19.823534102798138</v>
      </c>
      <c r="DF174" s="87">
        <v>-54.267842744235978</v>
      </c>
      <c r="DG174" s="87">
        <v>-3.4610724291595639E-2</v>
      </c>
      <c r="DH174" s="87"/>
      <c r="DI174" s="87"/>
      <c r="DJ174" s="87"/>
      <c r="DK174" s="87"/>
      <c r="DL174" s="87"/>
      <c r="DM174" s="87"/>
      <c r="DN174" s="87"/>
      <c r="DO174" s="87"/>
      <c r="DP174" s="87">
        <v>-104.31721718317206</v>
      </c>
      <c r="DQ174" s="87"/>
      <c r="DR174" s="87"/>
      <c r="DS174" s="87"/>
      <c r="DT174" s="87"/>
      <c r="DU174" s="87"/>
      <c r="DV174" s="87"/>
      <c r="DW174" s="87"/>
      <c r="DX174" s="87"/>
      <c r="DY174" s="87">
        <v>-6.6069516074811672</v>
      </c>
      <c r="DZ174" s="87"/>
      <c r="EA174" s="87"/>
      <c r="EB174" s="87"/>
      <c r="EC174" s="87">
        <v>-1.8851365315995106</v>
      </c>
      <c r="ED174" s="87"/>
      <c r="EE174" s="87"/>
      <c r="EF174" s="87"/>
      <c r="EG174" s="87">
        <v>-2.6463370680041063</v>
      </c>
      <c r="EH174" s="87"/>
      <c r="EI174" s="87"/>
      <c r="EJ174" s="87"/>
      <c r="EK174" s="87"/>
      <c r="EL174" s="87">
        <v>-2.082252151371033</v>
      </c>
      <c r="EM174" s="87"/>
      <c r="EN174" s="70"/>
      <c r="EO174" s="70"/>
      <c r="EP174" s="70"/>
      <c r="EQ174" s="70"/>
      <c r="ER174" s="70"/>
      <c r="ES174" s="70"/>
      <c r="ET174" s="70"/>
      <c r="EU174" s="70"/>
      <c r="EV174" s="70"/>
      <c r="EW174" s="70"/>
      <c r="EX174" s="70"/>
      <c r="EY174" s="70"/>
      <c r="EZ174" s="70"/>
      <c r="FA174" s="70"/>
      <c r="FB174" s="70"/>
      <c r="FC174" s="70"/>
      <c r="FD174" s="70"/>
      <c r="FE174" s="70"/>
      <c r="FF174" s="70"/>
      <c r="FG174" s="70"/>
      <c r="FH174" s="70"/>
      <c r="FI174" s="70"/>
      <c r="FJ174" s="70"/>
      <c r="FK174" s="70"/>
      <c r="FL174" s="70"/>
      <c r="FM174" s="70"/>
      <c r="FN174" s="70"/>
      <c r="FO174" s="70"/>
      <c r="FP174" s="70"/>
      <c r="FQ174" s="70"/>
      <c r="FR174" s="70"/>
      <c r="FS174" s="70"/>
      <c r="FT174" s="70"/>
      <c r="FU174" s="70"/>
      <c r="FV174" s="70">
        <v>-200.6072712378579</v>
      </c>
      <c r="FW174" s="70"/>
      <c r="FX174" s="75"/>
      <c r="FY174" s="70"/>
      <c r="FZ174" s="70"/>
      <c r="GA174" s="70"/>
      <c r="GB174" s="70"/>
      <c r="GC174" s="70"/>
      <c r="GD174" s="70"/>
      <c r="GE174" s="70"/>
      <c r="GF174" s="70"/>
      <c r="GG174" s="70"/>
      <c r="GH174" s="70"/>
    </row>
    <row r="175" spans="1:190" x14ac:dyDescent="0.2">
      <c r="A175" s="71" t="s">
        <v>386</v>
      </c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>
        <v>672.07956336489815</v>
      </c>
      <c r="FC175" s="70">
        <v>19.694712240307538</v>
      </c>
      <c r="FD175" s="70">
        <v>36.481654219723467</v>
      </c>
      <c r="FE175" s="70">
        <v>43.322246371662963</v>
      </c>
      <c r="FF175" s="70">
        <v>56.23690830938191</v>
      </c>
      <c r="FG175" s="70">
        <v>63.233282889316804</v>
      </c>
      <c r="FH175" s="70">
        <v>10.660840107826822</v>
      </c>
      <c r="FI175" s="70">
        <v>24.490927586578636</v>
      </c>
      <c r="FJ175" s="70">
        <v>36.812343464703012</v>
      </c>
      <c r="FK175" s="70">
        <v>55.677504506543627</v>
      </c>
      <c r="FL175" s="70">
        <v>206.47960139980083</v>
      </c>
      <c r="FM175" s="70">
        <v>-440.8292028808512</v>
      </c>
      <c r="FN175" s="70"/>
      <c r="FO175" s="70"/>
      <c r="FP175" s="70"/>
      <c r="FQ175" s="70"/>
      <c r="FR175" s="70"/>
      <c r="FS175" s="70"/>
      <c r="FT175" s="70"/>
      <c r="FU175" s="70">
        <v>225.56265392854692</v>
      </c>
      <c r="FV175" s="70">
        <v>1009.9030355084396</v>
      </c>
      <c r="FW175" s="70"/>
      <c r="FX175" s="75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</row>
    <row r="176" spans="1:190" x14ac:dyDescent="0.2">
      <c r="A176" s="71" t="s">
        <v>387</v>
      </c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>
        <v>51.960150128292057</v>
      </c>
      <c r="FT176" s="70"/>
      <c r="FU176" s="70"/>
      <c r="FV176" s="70">
        <v>51.960150128292057</v>
      </c>
      <c r="FW176" s="70"/>
      <c r="FX176" s="75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</row>
    <row r="177" spans="1:190" x14ac:dyDescent="0.2">
      <c r="A177" s="71" t="s">
        <v>388</v>
      </c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70"/>
      <c r="BS177" s="70">
        <v>25.547171466852966</v>
      </c>
      <c r="BT177" s="70">
        <v>1.7183454001318797E-2</v>
      </c>
      <c r="BU177" s="70">
        <v>2.9314358075938171E-2</v>
      </c>
      <c r="BV177" s="70">
        <v>14.803147158978497</v>
      </c>
      <c r="BW177" s="70">
        <v>7.821718550279777E-2</v>
      </c>
      <c r="BX177" s="70">
        <v>12.057953022284932</v>
      </c>
      <c r="BY177" s="70">
        <v>8.1054662969002218E-3</v>
      </c>
      <c r="BZ177" s="70">
        <v>26.529983662401481</v>
      </c>
      <c r="CA177" s="70">
        <v>1.281837313050247</v>
      </c>
      <c r="CB177" s="70">
        <v>5.5709714317557862E-2</v>
      </c>
      <c r="CC177" s="70">
        <v>0.65706568910393159</v>
      </c>
      <c r="CD177" s="70">
        <v>2.815286406524677</v>
      </c>
      <c r="CE177" s="70">
        <v>3.2532166071280768</v>
      </c>
      <c r="CF177" s="70">
        <v>7.4422981715101333</v>
      </c>
      <c r="CG177" s="70">
        <v>1.9945075836148285</v>
      </c>
      <c r="CH177" s="70">
        <v>2.9517796018486893E-5</v>
      </c>
      <c r="CI177" s="70">
        <v>14.660784837730867</v>
      </c>
      <c r="CJ177" s="70">
        <v>2.3092194993861841</v>
      </c>
      <c r="CK177" s="70"/>
      <c r="CL177" s="70">
        <v>0.36666818801345863</v>
      </c>
      <c r="CM177" s="70">
        <v>2.039847017626812E-2</v>
      </c>
      <c r="CN177" s="70">
        <v>0.17225642103632818</v>
      </c>
      <c r="CO177" s="70">
        <v>0.438347433453386</v>
      </c>
      <c r="CP177" s="70">
        <v>0.3686847504033367</v>
      </c>
      <c r="CQ177" s="70">
        <v>2.4371821470515718</v>
      </c>
      <c r="CR177" s="70">
        <v>35.847548752640719</v>
      </c>
      <c r="CS177" s="70"/>
      <c r="CT177" s="70">
        <v>29.14365124653731</v>
      </c>
      <c r="CU177" s="70">
        <v>30.026000198493723</v>
      </c>
      <c r="CV177" s="70">
        <v>15.940846237644585</v>
      </c>
      <c r="CW177" s="70">
        <v>8.1442493035529004</v>
      </c>
      <c r="CX177" s="70">
        <v>1.4802565546839423</v>
      </c>
      <c r="CY177" s="70">
        <v>17.837426133226362</v>
      </c>
      <c r="CZ177" s="70">
        <v>6.498401131883251E-2</v>
      </c>
      <c r="DA177" s="70"/>
      <c r="DB177" s="70">
        <v>3.7389587115654459</v>
      </c>
      <c r="DC177" s="70">
        <v>0.12094753720525313</v>
      </c>
      <c r="DD177" s="70">
        <v>4.2500128705827711</v>
      </c>
      <c r="DE177" s="70">
        <v>4.5066775911738706</v>
      </c>
      <c r="DF177" s="70">
        <v>9.2251535608640527</v>
      </c>
      <c r="DG177" s="70">
        <v>1.5660007875591864</v>
      </c>
      <c r="DH177" s="70">
        <v>1.0451036727092355</v>
      </c>
      <c r="DI177" s="70">
        <v>3.0547487018846216</v>
      </c>
      <c r="DJ177" s="70"/>
      <c r="DK177" s="70">
        <v>52.268806336627215</v>
      </c>
      <c r="DL177" s="70">
        <v>5.2311398847643087</v>
      </c>
      <c r="DM177" s="70">
        <v>2.2172700248741091</v>
      </c>
      <c r="DN177" s="70">
        <v>17.481500359330337</v>
      </c>
      <c r="DO177" s="70">
        <v>21.554255264267539</v>
      </c>
      <c r="DP177" s="70">
        <v>95.058315587262001</v>
      </c>
      <c r="DQ177" s="70">
        <v>2.7618402287988948</v>
      </c>
      <c r="DR177" s="70">
        <v>159.16959961019163</v>
      </c>
      <c r="DS177" s="70">
        <v>7.4635606529309406</v>
      </c>
      <c r="DT177" s="70">
        <v>95.763312810546992</v>
      </c>
      <c r="DU177" s="70">
        <v>75.845281531464437</v>
      </c>
      <c r="DV177" s="70">
        <v>108.150270464318</v>
      </c>
      <c r="DW177" s="70">
        <v>61.408966361870689</v>
      </c>
      <c r="DX177" s="70">
        <v>6.6811052042394072</v>
      </c>
      <c r="DY177" s="70">
        <v>5.9408732531832109E-4</v>
      </c>
      <c r="DZ177" s="70"/>
      <c r="EA177" s="70">
        <v>6.9983873071189571</v>
      </c>
      <c r="EB177" s="70"/>
      <c r="EC177" s="70">
        <v>149.91299392538804</v>
      </c>
      <c r="ED177" s="70">
        <v>62.828924316439839</v>
      </c>
      <c r="EE177" s="70"/>
      <c r="EF177" s="70"/>
      <c r="EG177" s="70">
        <v>30.241429114409026</v>
      </c>
      <c r="EH177" s="70"/>
      <c r="EI177" s="70">
        <v>104.00485625724055</v>
      </c>
      <c r="EJ177" s="70">
        <v>13.2456453228061</v>
      </c>
      <c r="EK177" s="70"/>
      <c r="EL177" s="70"/>
      <c r="EM177" s="70">
        <v>1.9993408351567745</v>
      </c>
      <c r="EN177" s="70"/>
      <c r="EO177" s="70"/>
      <c r="EP177" s="70"/>
      <c r="EQ177" s="70"/>
      <c r="ER177" s="70"/>
      <c r="ES177" s="70"/>
      <c r="ET177" s="70"/>
      <c r="EU177" s="70"/>
      <c r="EV177" s="70"/>
      <c r="EW177" s="70"/>
      <c r="EX177" s="70"/>
      <c r="EY177" s="70"/>
      <c r="EZ177" s="70">
        <v>210.85045064569715</v>
      </c>
      <c r="FA177" s="70"/>
      <c r="FB177" s="70">
        <v>1.5172486618267506E-2</v>
      </c>
      <c r="FC177" s="70">
        <v>0.32186000510638929</v>
      </c>
      <c r="FD177" s="70">
        <v>0.77687761858528781</v>
      </c>
      <c r="FE177" s="70">
        <v>1.0615528526503784</v>
      </c>
      <c r="FF177" s="70">
        <v>1.5774300978915914</v>
      </c>
      <c r="FG177" s="70">
        <v>1.7630994637595028</v>
      </c>
      <c r="FH177" s="70">
        <v>4.5387669445086237E-2</v>
      </c>
      <c r="FI177" s="70">
        <v>0.17576595044457111</v>
      </c>
      <c r="FJ177" s="70">
        <v>0.12392741767309441</v>
      </c>
      <c r="FK177" s="70">
        <v>0.55755537854986514</v>
      </c>
      <c r="FL177" s="70">
        <v>1.5791199289356965</v>
      </c>
      <c r="FM177" s="70">
        <v>35.012669931464146</v>
      </c>
      <c r="FN177" s="70"/>
      <c r="FO177" s="70"/>
      <c r="FP177" s="70"/>
      <c r="FQ177" s="70"/>
      <c r="FR177" s="70"/>
      <c r="FS177" s="70"/>
      <c r="FT177" s="70"/>
      <c r="FU177" s="70"/>
      <c r="FV177" s="70">
        <v>1617.4853993305271</v>
      </c>
      <c r="FW177" s="70"/>
      <c r="FX177" s="75"/>
      <c r="FY177" s="70"/>
      <c r="FZ177" s="70"/>
      <c r="GA177" s="70"/>
      <c r="GB177" s="70"/>
      <c r="GC177" s="70"/>
      <c r="GD177" s="70"/>
      <c r="GE177" s="70"/>
      <c r="GF177" s="70"/>
      <c r="GG177" s="70"/>
      <c r="GH177" s="70"/>
    </row>
    <row r="178" spans="1:190" x14ac:dyDescent="0.2">
      <c r="A178" s="71" t="s">
        <v>389</v>
      </c>
      <c r="B178" s="70">
        <v>55.057779068910762</v>
      </c>
      <c r="C178" s="70">
        <v>7.8211119697185021</v>
      </c>
      <c r="D178" s="70">
        <v>25.714953845220627</v>
      </c>
      <c r="E178" s="70">
        <v>21.049468638474675</v>
      </c>
      <c r="F178" s="70">
        <v>1.615473665760913</v>
      </c>
      <c r="G178" s="70">
        <v>3.8336724332837471</v>
      </c>
      <c r="H178" s="70">
        <v>19.152592375582806</v>
      </c>
      <c r="I178" s="70">
        <v>7.582212677345991</v>
      </c>
      <c r="J178" s="70">
        <v>34.654623623799928</v>
      </c>
      <c r="K178" s="70">
        <v>117.4207306157756</v>
      </c>
      <c r="L178" s="70">
        <v>27.932591565444298</v>
      </c>
      <c r="M178" s="70">
        <v>1.53535121801303</v>
      </c>
      <c r="N178" s="70">
        <v>103.50877903186097</v>
      </c>
      <c r="O178" s="70">
        <v>0.85604406943427591</v>
      </c>
      <c r="P178" s="70">
        <v>142.38787815919949</v>
      </c>
      <c r="Q178" s="70">
        <v>39.007377562508324</v>
      </c>
      <c r="R178" s="70">
        <v>134.57482243875094</v>
      </c>
      <c r="S178" s="70">
        <v>5.513627846217287</v>
      </c>
      <c r="T178" s="70">
        <v>22.424418540942757</v>
      </c>
      <c r="U178" s="70">
        <v>6.3359279315266015</v>
      </c>
      <c r="V178" s="70">
        <v>72.70389657070416</v>
      </c>
      <c r="W178" s="70">
        <v>299.77128219367103</v>
      </c>
      <c r="X178" s="70">
        <v>167.98515370707412</v>
      </c>
      <c r="Y178" s="70">
        <v>106.48252089148639</v>
      </c>
      <c r="Z178" s="70">
        <v>24.669296424017013</v>
      </c>
      <c r="AA178" s="70">
        <v>2.2966605059375484</v>
      </c>
      <c r="AB178" s="70">
        <v>80.329639102197319</v>
      </c>
      <c r="AC178" s="70">
        <v>35.344032150776798</v>
      </c>
      <c r="AD178" s="70">
        <v>60.347296220355858</v>
      </c>
      <c r="AE178" s="70">
        <v>9.1416252497754176</v>
      </c>
      <c r="AF178" s="70">
        <v>0.99011215447804113</v>
      </c>
      <c r="AG178" s="70">
        <v>8.028883958109871</v>
      </c>
      <c r="AH178" s="70">
        <v>18.392424032078601</v>
      </c>
      <c r="AI178" s="70">
        <v>1.9234475414475618</v>
      </c>
      <c r="AJ178" s="70">
        <v>64.831307513471302</v>
      </c>
      <c r="AK178" s="70">
        <v>215.23004336354037</v>
      </c>
      <c r="AL178" s="70">
        <v>18.815943643033222</v>
      </c>
      <c r="AM178" s="70">
        <v>18.155035214624714</v>
      </c>
      <c r="AN178" s="70">
        <v>49.885998691053508</v>
      </c>
      <c r="AO178" s="70">
        <v>15.666274985734344</v>
      </c>
      <c r="AP178" s="70">
        <v>80.96690466702546</v>
      </c>
      <c r="AQ178" s="70">
        <v>115.03579684190611</v>
      </c>
      <c r="AR178" s="70">
        <v>10.678210498984221</v>
      </c>
      <c r="AS178" s="70">
        <v>9.6534324511979932</v>
      </c>
      <c r="AT178" s="70">
        <v>52.03967841048901</v>
      </c>
      <c r="AU178" s="70">
        <v>614.11923094793724</v>
      </c>
      <c r="AV178" s="70">
        <v>63.477185602970536</v>
      </c>
      <c r="AW178" s="70">
        <v>561.88746364639792</v>
      </c>
      <c r="AX178" s="70">
        <v>206.28512323747015</v>
      </c>
      <c r="AY178" s="70">
        <v>246.7035489426458</v>
      </c>
      <c r="AZ178" s="70">
        <v>88.054007147862336</v>
      </c>
      <c r="BA178" s="70">
        <v>72.421451647364393</v>
      </c>
      <c r="BB178" s="70">
        <v>11.321718642857544</v>
      </c>
      <c r="BC178" s="70">
        <v>72.720041773097023</v>
      </c>
      <c r="BD178" s="70">
        <v>241.05338229814978</v>
      </c>
      <c r="BE178" s="70">
        <v>55.771842541823261</v>
      </c>
      <c r="BF178" s="70">
        <v>598.49667640002269</v>
      </c>
      <c r="BG178" s="70">
        <v>680.53823044102444</v>
      </c>
      <c r="BH178" s="70">
        <v>490.12071741931942</v>
      </c>
      <c r="BI178" s="70">
        <v>150.01935870680941</v>
      </c>
      <c r="BJ178" s="70">
        <v>217.28937083352977</v>
      </c>
      <c r="BK178" s="70">
        <v>166.65433548452421</v>
      </c>
      <c r="BL178" s="70">
        <v>131.56570357575498</v>
      </c>
      <c r="BM178" s="70">
        <v>513.4084214699551</v>
      </c>
      <c r="BN178" s="70">
        <v>351.27282159733272</v>
      </c>
      <c r="BO178" s="70">
        <v>222.19030018611841</v>
      </c>
      <c r="BP178" s="70">
        <v>238.4374144649658</v>
      </c>
      <c r="BQ178" s="70">
        <v>196.04316161969416</v>
      </c>
      <c r="BR178" s="70">
        <v>163.17295045023238</v>
      </c>
      <c r="BS178" s="70">
        <v>89.639472727145403</v>
      </c>
      <c r="BT178" s="70">
        <v>8.6120840959378491</v>
      </c>
      <c r="BU178" s="70">
        <v>28.332559863310625</v>
      </c>
      <c r="BV178" s="70">
        <v>39.421773848971654</v>
      </c>
      <c r="BW178" s="70">
        <v>2.144756927771116</v>
      </c>
      <c r="BX178" s="70">
        <v>17.383923242261922</v>
      </c>
      <c r="BY178" s="70">
        <v>20.6812691132697</v>
      </c>
      <c r="BZ178" s="70">
        <v>36.955999997436678</v>
      </c>
      <c r="CA178" s="70">
        <v>39.205044826050035</v>
      </c>
      <c r="CB178" s="70">
        <v>155.66835719083659</v>
      </c>
      <c r="CC178" s="70">
        <v>37.88316763652378</v>
      </c>
      <c r="CD178" s="70">
        <v>4.6835787917194445</v>
      </c>
      <c r="CE178" s="70">
        <v>16.664997210186172</v>
      </c>
      <c r="CF178" s="70">
        <v>133.46190712689304</v>
      </c>
      <c r="CG178" s="70">
        <v>2.359447319996741</v>
      </c>
      <c r="CH178" s="70">
        <v>3.1904049722091412E-5</v>
      </c>
      <c r="CI178" s="70">
        <v>16.77143319284092</v>
      </c>
      <c r="CJ178" s="70">
        <v>158.93494851843013</v>
      </c>
      <c r="CK178" s="70">
        <v>43.877489247070038</v>
      </c>
      <c r="CL178" s="70">
        <v>149.0350653536928</v>
      </c>
      <c r="CM178" s="70">
        <v>5.9537655455601968</v>
      </c>
      <c r="CN178" s="70">
        <v>25.868048116495579</v>
      </c>
      <c r="CO178" s="70">
        <v>6.8089620403595896</v>
      </c>
      <c r="CP178" s="70">
        <v>73.790351996101151</v>
      </c>
      <c r="CQ178" s="70">
        <v>2.749522198875006</v>
      </c>
      <c r="CR178" s="70">
        <v>372.64716430086742</v>
      </c>
      <c r="CS178" s="70">
        <v>177.92982458393701</v>
      </c>
      <c r="CT178" s="70">
        <v>137.14305105017436</v>
      </c>
      <c r="CU178" s="70">
        <v>73.267006345086372</v>
      </c>
      <c r="CV178" s="70">
        <v>25.029311215506766</v>
      </c>
      <c r="CW178" s="70">
        <v>111.86176826263606</v>
      </c>
      <c r="CX178" s="70">
        <v>40.031539249544274</v>
      </c>
      <c r="CY178" s="70">
        <v>85.014383266807755</v>
      </c>
      <c r="CZ178" s="70">
        <v>8.3449950000656248</v>
      </c>
      <c r="DA178" s="70">
        <v>0.89650545240842194</v>
      </c>
      <c r="DB178" s="70">
        <v>10.165057204628877</v>
      </c>
      <c r="DC178" s="70">
        <v>18.025610332825167</v>
      </c>
      <c r="DD178" s="70">
        <v>8.9965532311910543</v>
      </c>
      <c r="DE178" s="70">
        <v>58.663432873674637</v>
      </c>
      <c r="DF178" s="70">
        <v>191.16659127803888</v>
      </c>
      <c r="DG178" s="70">
        <v>25.036418894020528</v>
      </c>
      <c r="DH178" s="70">
        <v>21.783320022021453</v>
      </c>
      <c r="DI178" s="70">
        <v>144.20515411155924</v>
      </c>
      <c r="DJ178" s="70">
        <v>18.209159700706795</v>
      </c>
      <c r="DK178" s="70">
        <v>150.22927215320627</v>
      </c>
      <c r="DL178" s="70">
        <v>176.48295859522167</v>
      </c>
      <c r="DM178" s="70">
        <v>15.909991852227312</v>
      </c>
      <c r="DN178" s="70">
        <v>33.688342995702378</v>
      </c>
      <c r="DO178" s="70">
        <v>88.40193546196798</v>
      </c>
      <c r="DP178" s="70">
        <v>723.10817013071028</v>
      </c>
      <c r="DQ178" s="70">
        <v>72.734783129358732</v>
      </c>
      <c r="DR178" s="70">
        <v>826.36896043132913</v>
      </c>
      <c r="DS178" s="70">
        <v>245.94609188773296</v>
      </c>
      <c r="DT178" s="70">
        <v>386.49045266500269</v>
      </c>
      <c r="DU178" s="70">
        <v>194.66767510230704</v>
      </c>
      <c r="DV178" s="70">
        <v>210.2047429082275</v>
      </c>
      <c r="DW178" s="70">
        <v>115.57774466563184</v>
      </c>
      <c r="DX178" s="70">
        <v>86.96822607650671</v>
      </c>
      <c r="DY178" s="70">
        <v>235.08512036749534</v>
      </c>
      <c r="DZ178" s="70">
        <v>56.256123392444863</v>
      </c>
      <c r="EA178" s="70">
        <v>608.26757580489345</v>
      </c>
      <c r="EB178" s="70">
        <v>680.53823044102467</v>
      </c>
      <c r="EC178" s="70">
        <v>638.85596383291363</v>
      </c>
      <c r="ED178" s="70">
        <v>214.30794185383789</v>
      </c>
      <c r="EE178" s="70">
        <v>218.85822719112079</v>
      </c>
      <c r="EF178" s="70">
        <v>171.71373315007395</v>
      </c>
      <c r="EG178" s="70">
        <v>201.00181421075396</v>
      </c>
      <c r="EH178" s="70">
        <v>513.40842146995442</v>
      </c>
      <c r="EI178" s="70">
        <v>455.75702118915763</v>
      </c>
      <c r="EJ178" s="70">
        <v>242.85619191150627</v>
      </c>
      <c r="EK178" s="70">
        <v>238.43741446496603</v>
      </c>
      <c r="EL178" s="70">
        <v>193.96090946832319</v>
      </c>
      <c r="EM178" s="70">
        <v>167.0413067862728</v>
      </c>
      <c r="EN178" s="70">
        <v>624.72481128391428</v>
      </c>
      <c r="EO178" s="70">
        <v>181.0257582216197</v>
      </c>
      <c r="EP178" s="70">
        <v>107.67057712827079</v>
      </c>
      <c r="EQ178" s="70">
        <v>286.4228412911458</v>
      </c>
      <c r="ER178" s="70">
        <v>148.18252605510668</v>
      </c>
      <c r="ES178" s="70">
        <v>94.283041633728885</v>
      </c>
      <c r="ET178" s="70">
        <v>81.403806612595005</v>
      </c>
      <c r="EU178" s="70">
        <v>244.37997908137399</v>
      </c>
      <c r="EV178" s="70">
        <v>434.21103791394569</v>
      </c>
      <c r="EW178" s="70">
        <v>67.115166078759387</v>
      </c>
      <c r="EX178" s="70">
        <v>107.64148496753064</v>
      </c>
      <c r="EY178" s="70">
        <v>170.72051362742957</v>
      </c>
      <c r="EZ178" s="70">
        <v>435.18271151698031</v>
      </c>
      <c r="FA178" s="70">
        <v>2543.7535458433877</v>
      </c>
      <c r="FB178" s="70">
        <v>3309.0090468494791</v>
      </c>
      <c r="FC178" s="70">
        <v>275.53699333301932</v>
      </c>
      <c r="FD178" s="70">
        <v>389.07522143210588</v>
      </c>
      <c r="FE178" s="70">
        <v>445.68830911213945</v>
      </c>
      <c r="FF178" s="70">
        <v>544.54710789858711</v>
      </c>
      <c r="FG178" s="70">
        <v>608.52612956891073</v>
      </c>
      <c r="FH178" s="70">
        <v>128.55793799091302</v>
      </c>
      <c r="FI178" s="70">
        <v>208.50399364946441</v>
      </c>
      <c r="FJ178" s="70">
        <v>308.39594899364391</v>
      </c>
      <c r="FK178" s="70">
        <v>450.79202160511079</v>
      </c>
      <c r="FL178" s="70">
        <v>1337.7948052738525</v>
      </c>
      <c r="FM178" s="70">
        <v>644.9167586915305</v>
      </c>
      <c r="FN178" s="70">
        <v>285.6742396414619</v>
      </c>
      <c r="FO178" s="70">
        <v>4.8563916766908672</v>
      </c>
      <c r="FP178" s="70">
        <v>40.42012492275186</v>
      </c>
      <c r="FQ178" s="70">
        <v>309.89915980604241</v>
      </c>
      <c r="FR178" s="70">
        <v>-200.60727123785821</v>
      </c>
      <c r="FS178" s="70">
        <v>1009.9030355084395</v>
      </c>
      <c r="FT178" s="70">
        <v>51.960150128292021</v>
      </c>
      <c r="FU178" s="70">
        <v>1617.485399330528</v>
      </c>
      <c r="FV178" s="70"/>
      <c r="FW178" s="70"/>
      <c r="FX178" s="75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</row>
    <row r="179" spans="1:190" x14ac:dyDescent="0.2">
      <c r="A179" s="71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</row>
    <row r="180" spans="1:190" x14ac:dyDescent="0.2">
      <c r="A180" s="71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</row>
    <row r="181" spans="1:190" x14ac:dyDescent="0.2">
      <c r="A181" s="71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0"/>
      <c r="BS181" s="70"/>
      <c r="BT181" s="70"/>
      <c r="BU181" s="70"/>
      <c r="BV181" s="70"/>
      <c r="BW181" s="70"/>
      <c r="BX181" s="70"/>
      <c r="BY181" s="70"/>
      <c r="BZ181" s="70"/>
      <c r="CA181" s="70"/>
      <c r="CB181" s="70"/>
      <c r="CC181" s="70"/>
      <c r="CD181" s="70"/>
      <c r="CE181" s="70"/>
      <c r="CF181" s="70"/>
      <c r="CG181" s="70"/>
      <c r="CH181" s="70"/>
      <c r="CI181" s="70"/>
      <c r="CJ181" s="70"/>
      <c r="CK181" s="70"/>
      <c r="CL181" s="70"/>
      <c r="CM181" s="70"/>
      <c r="CN181" s="70"/>
      <c r="CO181" s="70"/>
      <c r="CP181" s="70"/>
      <c r="CQ181" s="70"/>
      <c r="CR181" s="70"/>
      <c r="CS181" s="70"/>
      <c r="CT181" s="70"/>
      <c r="CU181" s="70"/>
      <c r="CV181" s="70"/>
      <c r="CW181" s="70"/>
      <c r="CX181" s="70"/>
      <c r="CY181" s="70"/>
      <c r="CZ181" s="70"/>
      <c r="DA181" s="70"/>
      <c r="DB181" s="70"/>
      <c r="DC181" s="70"/>
      <c r="DD181" s="70"/>
      <c r="DE181" s="70"/>
      <c r="DF181" s="70"/>
      <c r="DG181" s="70"/>
      <c r="DH181" s="70"/>
      <c r="DI181" s="70"/>
      <c r="DJ181" s="70"/>
      <c r="DK181" s="70"/>
      <c r="DL181" s="70"/>
      <c r="DM181" s="70"/>
      <c r="DN181" s="70"/>
      <c r="DO181" s="70"/>
      <c r="DP181" s="70"/>
      <c r="DQ181" s="70"/>
      <c r="DR181" s="70"/>
      <c r="DS181" s="70"/>
      <c r="DT181" s="70"/>
      <c r="DU181" s="70"/>
      <c r="DV181" s="70"/>
      <c r="DW181" s="70"/>
      <c r="DX181" s="70"/>
      <c r="DY181" s="70"/>
      <c r="DZ181" s="70"/>
      <c r="EA181" s="70"/>
      <c r="EB181" s="70"/>
      <c r="EC181" s="70"/>
      <c r="ED181" s="70"/>
      <c r="EE181" s="70"/>
      <c r="EF181" s="70"/>
      <c r="EG181" s="70"/>
      <c r="EH181" s="70"/>
      <c r="EI181" s="70"/>
      <c r="EJ181" s="70"/>
      <c r="EK181" s="70"/>
      <c r="EL181" s="70"/>
      <c r="EM181" s="70"/>
      <c r="EN181" s="70"/>
      <c r="EO181" s="70"/>
      <c r="EP181" s="70"/>
      <c r="EQ181" s="70"/>
      <c r="ER181" s="70"/>
      <c r="ES181" s="70"/>
      <c r="ET181" s="70"/>
      <c r="EU181" s="70"/>
      <c r="EV181" s="70"/>
      <c r="EW181" s="70"/>
      <c r="EX181" s="70"/>
      <c r="EY181" s="70"/>
      <c r="EZ181" s="70"/>
      <c r="FA181" s="70"/>
      <c r="FB181" s="70"/>
      <c r="FC181" s="70"/>
      <c r="FD181" s="70"/>
      <c r="FE181" s="70"/>
      <c r="FF181" s="70"/>
      <c r="FG181" s="70"/>
      <c r="FH181" s="70"/>
      <c r="FI181" s="70"/>
      <c r="FJ181" s="70"/>
      <c r="FK181" s="70"/>
      <c r="FL181" s="70"/>
      <c r="FM181" s="70"/>
      <c r="FN181" s="70"/>
      <c r="FO181" s="70"/>
      <c r="FP181" s="70"/>
      <c r="FQ181" s="70"/>
      <c r="FR181" s="70"/>
      <c r="FS181" s="70"/>
      <c r="FT181" s="70"/>
      <c r="FU181" s="70"/>
      <c r="FV181" s="70"/>
      <c r="FW181" s="70"/>
      <c r="FX181" s="70"/>
      <c r="FY181" s="70"/>
      <c r="FZ181" s="70"/>
      <c r="GA181" s="70"/>
      <c r="GB181" s="70"/>
      <c r="GC181" s="70"/>
      <c r="GD181" s="70"/>
      <c r="GE181" s="70"/>
      <c r="GF181" s="70"/>
      <c r="GG181" s="70"/>
      <c r="GH181" s="70"/>
    </row>
    <row r="182" spans="1:190" x14ac:dyDescent="0.2">
      <c r="A182" s="71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</row>
    <row r="183" spans="1:190" x14ac:dyDescent="0.2">
      <c r="A183" s="71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</row>
    <row r="184" spans="1:190" x14ac:dyDescent="0.2">
      <c r="A184" s="71"/>
      <c r="B184" s="70"/>
      <c r="C184" s="70"/>
      <c r="D184" s="71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G184" s="70"/>
      <c r="CH184" s="70"/>
      <c r="CI184" s="70"/>
      <c r="CJ184" s="70"/>
      <c r="CK184" s="70"/>
      <c r="CL184" s="70"/>
      <c r="CM184" s="70"/>
      <c r="CN184" s="70"/>
      <c r="CO184" s="70"/>
      <c r="CP184" s="70"/>
      <c r="CQ184" s="70"/>
      <c r="CR184" s="70"/>
      <c r="CS184" s="70"/>
      <c r="CT184" s="70"/>
      <c r="CU184" s="70"/>
      <c r="CV184" s="70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  <c r="DK184" s="70"/>
      <c r="DL184" s="70"/>
      <c r="DM184" s="70"/>
      <c r="DN184" s="70"/>
      <c r="DO184" s="70"/>
      <c r="DP184" s="70"/>
      <c r="DQ184" s="70"/>
      <c r="DR184" s="70"/>
      <c r="DS184" s="70"/>
      <c r="DT184" s="70"/>
      <c r="DU184" s="70"/>
      <c r="DV184" s="70"/>
      <c r="DW184" s="70"/>
      <c r="DX184" s="70"/>
      <c r="DY184" s="70"/>
      <c r="DZ184" s="70"/>
      <c r="EA184" s="70"/>
      <c r="EB184" s="70"/>
      <c r="EC184" s="70"/>
      <c r="ED184" s="70"/>
      <c r="EE184" s="70"/>
      <c r="EF184" s="70"/>
      <c r="EG184" s="70"/>
      <c r="EH184" s="70"/>
      <c r="EI184" s="70"/>
      <c r="EJ184" s="70"/>
      <c r="EK184" s="70"/>
      <c r="EL184" s="70"/>
      <c r="EM184" s="70"/>
      <c r="EN184" s="70"/>
      <c r="EO184" s="70"/>
      <c r="EP184" s="70"/>
      <c r="EQ184" s="70"/>
      <c r="ER184" s="70"/>
      <c r="ES184" s="70"/>
      <c r="ET184" s="70"/>
      <c r="EU184" s="70"/>
      <c r="EV184" s="70"/>
      <c r="EW184" s="70"/>
      <c r="EX184" s="70"/>
      <c r="EY184" s="70"/>
      <c r="EZ184" s="70"/>
      <c r="FA184" s="70"/>
      <c r="FB184" s="70"/>
      <c r="FC184" s="70"/>
      <c r="FD184" s="70"/>
      <c r="FE184" s="70"/>
      <c r="FF184" s="70"/>
      <c r="FG184" s="70"/>
      <c r="FH184" s="70"/>
      <c r="FI184" s="70"/>
      <c r="FJ184" s="70"/>
      <c r="FK184" s="70"/>
      <c r="FL184" s="70"/>
      <c r="FM184" s="70"/>
      <c r="FN184" s="70"/>
      <c r="FO184" s="70"/>
      <c r="FP184" s="70"/>
      <c r="FQ184" s="70"/>
      <c r="FR184" s="70"/>
      <c r="FS184" s="70"/>
      <c r="FT184" s="70"/>
      <c r="FU184" s="70"/>
      <c r="FV184" s="70"/>
      <c r="FW184" s="70"/>
      <c r="FX184" s="70"/>
      <c r="FY184" s="70"/>
      <c r="FZ184" s="70"/>
      <c r="GA184" s="70"/>
      <c r="GB184" s="70"/>
      <c r="GC184" s="70"/>
      <c r="GD184" s="70"/>
      <c r="GE184" s="70"/>
      <c r="GF184" s="70"/>
      <c r="GG184" s="70"/>
      <c r="GH184" s="70"/>
    </row>
    <row r="185" spans="1:190" x14ac:dyDescent="0.2">
      <c r="A185" s="71"/>
      <c r="B185" s="70"/>
      <c r="C185" s="71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G185" s="70"/>
      <c r="CH185" s="70"/>
      <c r="CI185" s="70"/>
      <c r="CJ185" s="70"/>
      <c r="CK185" s="70"/>
      <c r="CL185" s="70"/>
      <c r="CM185" s="70"/>
      <c r="CN185" s="70"/>
      <c r="CO185" s="70"/>
      <c r="CP185" s="70"/>
      <c r="CQ185" s="70"/>
      <c r="CR185" s="70"/>
      <c r="CS185" s="70"/>
      <c r="CT185" s="70"/>
      <c r="CU185" s="70"/>
      <c r="CV185" s="70"/>
      <c r="CW185" s="70"/>
      <c r="CX185" s="70"/>
      <c r="CY185" s="70"/>
      <c r="CZ185" s="70"/>
      <c r="DA185" s="70"/>
      <c r="DB185" s="70"/>
      <c r="DC185" s="70"/>
      <c r="DD185" s="70"/>
      <c r="DE185" s="70"/>
      <c r="DF185" s="70"/>
      <c r="DG185" s="70"/>
      <c r="DH185" s="70"/>
      <c r="DI185" s="70"/>
      <c r="DJ185" s="70"/>
      <c r="DK185" s="70"/>
      <c r="DL185" s="70"/>
      <c r="DM185" s="70"/>
      <c r="DN185" s="70"/>
      <c r="DO185" s="70"/>
      <c r="DP185" s="70"/>
      <c r="DQ185" s="70"/>
      <c r="DR185" s="70"/>
      <c r="DS185" s="70"/>
      <c r="DT185" s="70"/>
      <c r="DU185" s="70"/>
      <c r="DV185" s="70"/>
      <c r="DW185" s="70"/>
      <c r="DX185" s="70"/>
      <c r="DY185" s="70"/>
      <c r="DZ185" s="70"/>
      <c r="EA185" s="70"/>
      <c r="EB185" s="70"/>
      <c r="EC185" s="70"/>
      <c r="ED185" s="70"/>
      <c r="EE185" s="70"/>
      <c r="EF185" s="70"/>
      <c r="EG185" s="70"/>
      <c r="EH185" s="70"/>
      <c r="EI185" s="70"/>
      <c r="EJ185" s="70"/>
      <c r="EK185" s="70"/>
      <c r="EL185" s="70"/>
      <c r="EM185" s="70"/>
      <c r="EN185" s="70"/>
      <c r="EO185" s="70"/>
      <c r="EP185" s="70"/>
      <c r="EQ185" s="70"/>
      <c r="ER185" s="70"/>
      <c r="ES185" s="70"/>
      <c r="ET185" s="70"/>
      <c r="EU185" s="70"/>
      <c r="EV185" s="70"/>
      <c r="EW185" s="70"/>
      <c r="EX185" s="70"/>
      <c r="EY185" s="70"/>
      <c r="EZ185" s="70"/>
      <c r="FA185" s="70"/>
      <c r="FB185" s="70"/>
      <c r="FC185" s="70"/>
      <c r="FD185" s="70"/>
      <c r="FE185" s="70"/>
      <c r="FF185" s="70"/>
      <c r="FG185" s="70"/>
      <c r="FH185" s="70"/>
      <c r="FI185" s="70"/>
      <c r="FJ185" s="70"/>
      <c r="FK185" s="70"/>
      <c r="FL185" s="70"/>
      <c r="FM185" s="70"/>
      <c r="FN185" s="70"/>
      <c r="FO185" s="70"/>
      <c r="FP185" s="70"/>
      <c r="FQ185" s="70"/>
      <c r="FR185" s="70"/>
      <c r="FS185" s="70"/>
      <c r="FT185" s="70"/>
      <c r="FU185" s="70"/>
      <c r="FV185" s="70"/>
      <c r="FW185" s="70"/>
      <c r="FX185" s="70"/>
      <c r="FY185" s="70"/>
      <c r="FZ185" s="70"/>
      <c r="GA185" s="70"/>
      <c r="GB185" s="70"/>
      <c r="GC185" s="70"/>
      <c r="GD185" s="70"/>
      <c r="GE185" s="70"/>
      <c r="GF185" s="70"/>
      <c r="GG185" s="70"/>
      <c r="GH185" s="70"/>
    </row>
    <row r="186" spans="1:190" x14ac:dyDescent="0.2">
      <c r="A186" s="71"/>
      <c r="B186" s="70"/>
      <c r="C186" s="71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</row>
    <row r="187" spans="1:190" x14ac:dyDescent="0.2">
      <c r="A187" s="71"/>
      <c r="B187" s="70"/>
      <c r="C187" s="71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</row>
    <row r="188" spans="1:190" x14ac:dyDescent="0.2">
      <c r="A188" s="71"/>
      <c r="B188" s="70"/>
      <c r="C188" s="71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G188" s="70"/>
      <c r="CH188" s="70"/>
      <c r="CI188" s="70"/>
      <c r="CJ188" s="70"/>
      <c r="CK188" s="70"/>
      <c r="CL188" s="70"/>
      <c r="CM188" s="70"/>
      <c r="CN188" s="70"/>
      <c r="CO188" s="70"/>
      <c r="CP188" s="70"/>
      <c r="CQ188" s="70"/>
      <c r="CR188" s="70"/>
      <c r="CS188" s="70"/>
      <c r="CT188" s="70"/>
      <c r="CU188" s="70"/>
      <c r="CV188" s="70"/>
      <c r="CW188" s="70"/>
      <c r="CX188" s="70"/>
      <c r="CY188" s="70"/>
      <c r="CZ188" s="70"/>
      <c r="DA188" s="70"/>
      <c r="DB188" s="70"/>
      <c r="DC188" s="70"/>
      <c r="DD188" s="70"/>
      <c r="DE188" s="70"/>
      <c r="DF188" s="70"/>
      <c r="DG188" s="70"/>
      <c r="DH188" s="70"/>
      <c r="DI188" s="70"/>
      <c r="DJ188" s="70"/>
      <c r="DK188" s="70"/>
      <c r="DL188" s="70"/>
      <c r="DM188" s="70"/>
      <c r="DN188" s="70"/>
      <c r="DO188" s="70"/>
      <c r="DP188" s="70"/>
      <c r="DQ188" s="70"/>
      <c r="DR188" s="70"/>
      <c r="DS188" s="70"/>
      <c r="DT188" s="70"/>
      <c r="DU188" s="70"/>
      <c r="DV188" s="70"/>
      <c r="DW188" s="70"/>
      <c r="DX188" s="70"/>
      <c r="DY188" s="70"/>
      <c r="DZ188" s="70"/>
      <c r="EA188" s="70"/>
      <c r="EB188" s="70"/>
      <c r="EC188" s="70"/>
      <c r="ED188" s="70"/>
      <c r="EE188" s="70"/>
      <c r="EF188" s="70"/>
      <c r="EG188" s="70"/>
      <c r="EH188" s="70"/>
      <c r="EI188" s="70"/>
      <c r="EJ188" s="70"/>
      <c r="EK188" s="70"/>
      <c r="EL188" s="70"/>
      <c r="EM188" s="70"/>
      <c r="EN188" s="70"/>
      <c r="EO188" s="70"/>
      <c r="EP188" s="70"/>
      <c r="EQ188" s="70"/>
      <c r="ER188" s="70"/>
      <c r="ES188" s="70"/>
      <c r="ET188" s="70"/>
      <c r="EU188" s="70"/>
      <c r="EV188" s="70"/>
      <c r="EW188" s="70"/>
      <c r="EX188" s="70"/>
      <c r="EY188" s="70"/>
      <c r="EZ188" s="70"/>
      <c r="FA188" s="70"/>
      <c r="FB188" s="70"/>
      <c r="FC188" s="70"/>
      <c r="FD188" s="70"/>
      <c r="FE188" s="70"/>
      <c r="FF188" s="70"/>
      <c r="FG188" s="70"/>
      <c r="FH188" s="70"/>
      <c r="FI188" s="70"/>
      <c r="FJ188" s="70"/>
      <c r="FK188" s="70"/>
      <c r="FL188" s="70"/>
      <c r="FM188" s="70"/>
      <c r="FN188" s="70"/>
      <c r="FO188" s="70"/>
      <c r="FP188" s="70"/>
      <c r="FQ188" s="70"/>
      <c r="FR188" s="70"/>
      <c r="FS188" s="70"/>
      <c r="FT188" s="70"/>
      <c r="FU188" s="70"/>
      <c r="FV188" s="70"/>
      <c r="FW188" s="70"/>
      <c r="FX188" s="70"/>
      <c r="FY188" s="70"/>
      <c r="FZ188" s="70"/>
      <c r="GA188" s="70"/>
      <c r="GB188" s="70"/>
      <c r="GC188" s="70"/>
      <c r="GD188" s="70"/>
      <c r="GE188" s="70"/>
      <c r="GF188" s="70"/>
      <c r="GG188" s="70"/>
      <c r="GH188" s="70"/>
    </row>
    <row r="189" spans="1:190" x14ac:dyDescent="0.2">
      <c r="A189" s="71"/>
      <c r="B189" s="70"/>
      <c r="C189" s="71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G189" s="70"/>
      <c r="CH189" s="70"/>
      <c r="CI189" s="70"/>
      <c r="CJ189" s="70"/>
      <c r="CK189" s="70"/>
      <c r="CL189" s="70"/>
      <c r="CM189" s="70"/>
      <c r="CN189" s="70"/>
      <c r="CO189" s="70"/>
      <c r="CP189" s="70"/>
      <c r="CQ189" s="70"/>
      <c r="CR189" s="70"/>
      <c r="CS189" s="70"/>
      <c r="CT189" s="70"/>
      <c r="CU189" s="70"/>
      <c r="CV189" s="70"/>
      <c r="CW189" s="70"/>
      <c r="CX189" s="70"/>
      <c r="CY189" s="70"/>
      <c r="CZ189" s="70"/>
      <c r="DA189" s="70"/>
      <c r="DB189" s="70"/>
      <c r="DC189" s="70"/>
      <c r="DD189" s="70"/>
      <c r="DE189" s="70"/>
      <c r="DF189" s="70"/>
      <c r="DG189" s="70"/>
      <c r="DH189" s="70"/>
      <c r="DI189" s="70"/>
      <c r="DJ189" s="70"/>
      <c r="DK189" s="70"/>
      <c r="DL189" s="70"/>
      <c r="DM189" s="70"/>
      <c r="DN189" s="70"/>
      <c r="DO189" s="70"/>
      <c r="DP189" s="70"/>
      <c r="DQ189" s="70"/>
      <c r="DR189" s="70"/>
      <c r="DS189" s="70"/>
      <c r="DT189" s="70"/>
      <c r="DU189" s="70"/>
      <c r="DV189" s="70"/>
      <c r="DW189" s="70"/>
      <c r="DX189" s="70"/>
      <c r="DY189" s="70"/>
      <c r="DZ189" s="70"/>
      <c r="EA189" s="70"/>
      <c r="EB189" s="70"/>
      <c r="EC189" s="70"/>
      <c r="ED189" s="70"/>
      <c r="EE189" s="70"/>
      <c r="EF189" s="70"/>
      <c r="EG189" s="70"/>
      <c r="EH189" s="70"/>
      <c r="EI189" s="70"/>
      <c r="EJ189" s="70"/>
      <c r="EK189" s="70"/>
      <c r="EL189" s="70"/>
      <c r="EM189" s="70"/>
      <c r="EN189" s="70"/>
      <c r="EO189" s="70"/>
      <c r="EP189" s="70"/>
      <c r="EQ189" s="70"/>
      <c r="ER189" s="70"/>
      <c r="ES189" s="70"/>
      <c r="ET189" s="70"/>
      <c r="EU189" s="70"/>
      <c r="EV189" s="70"/>
      <c r="EW189" s="70"/>
      <c r="EX189" s="70"/>
      <c r="EY189" s="70"/>
      <c r="EZ189" s="70"/>
      <c r="FA189" s="70"/>
      <c r="FB189" s="70"/>
      <c r="FC189" s="70"/>
      <c r="FD189" s="70"/>
      <c r="FE189" s="70"/>
      <c r="FF189" s="70"/>
      <c r="FG189" s="70"/>
      <c r="FH189" s="70"/>
      <c r="FI189" s="70"/>
      <c r="FJ189" s="70"/>
      <c r="FK189" s="70"/>
      <c r="FL189" s="70"/>
      <c r="FM189" s="70"/>
      <c r="FN189" s="70"/>
      <c r="FO189" s="70"/>
      <c r="FP189" s="70"/>
      <c r="FQ189" s="70"/>
      <c r="FR189" s="70"/>
      <c r="FS189" s="70"/>
      <c r="FT189" s="70"/>
      <c r="FU189" s="70"/>
      <c r="FV189" s="70"/>
      <c r="FW189" s="70"/>
      <c r="FX189" s="70"/>
      <c r="FY189" s="70"/>
      <c r="FZ189" s="70"/>
      <c r="GA189" s="70"/>
      <c r="GB189" s="70"/>
      <c r="GC189" s="70"/>
      <c r="GD189" s="70"/>
      <c r="GE189" s="70"/>
      <c r="GF189" s="70"/>
      <c r="GG189" s="70"/>
      <c r="GH189" s="70"/>
    </row>
    <row r="190" spans="1:190" x14ac:dyDescent="0.2">
      <c r="A190" s="71"/>
      <c r="B190" s="70"/>
      <c r="C190" s="71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</row>
    <row r="191" spans="1:190" x14ac:dyDescent="0.2">
      <c r="A191" s="71"/>
      <c r="B191" s="70"/>
      <c r="C191" s="71"/>
      <c r="D191" s="70"/>
    </row>
    <row r="192" spans="1:190" x14ac:dyDescent="0.2">
      <c r="A192" s="71"/>
      <c r="B192" s="70"/>
      <c r="C192" s="71"/>
      <c r="D192" s="70"/>
    </row>
    <row r="193" spans="1:4" x14ac:dyDescent="0.2">
      <c r="A193" s="71"/>
      <c r="B193" s="70"/>
      <c r="C193" s="71"/>
      <c r="D193" s="70"/>
    </row>
    <row r="194" spans="1:4" x14ac:dyDescent="0.2">
      <c r="A194" s="71"/>
      <c r="B194" s="70"/>
      <c r="C194" s="71"/>
      <c r="D194" s="70"/>
    </row>
    <row r="195" spans="1:4" x14ac:dyDescent="0.2">
      <c r="A195" s="71"/>
      <c r="B195" s="70"/>
      <c r="C195" s="71"/>
      <c r="D195" s="70"/>
    </row>
    <row r="196" spans="1:4" x14ac:dyDescent="0.2">
      <c r="A196" s="71"/>
      <c r="B196" s="70"/>
      <c r="C196" s="71"/>
      <c r="D196" s="70"/>
    </row>
    <row r="197" spans="1:4" x14ac:dyDescent="0.2">
      <c r="A197" s="71"/>
      <c r="B197" s="70"/>
      <c r="C197" s="71"/>
      <c r="D197" s="70"/>
    </row>
    <row r="198" spans="1:4" x14ac:dyDescent="0.2">
      <c r="A198" s="71"/>
      <c r="B198" s="70"/>
      <c r="C198" s="71"/>
      <c r="D198" s="70"/>
    </row>
    <row r="199" spans="1:4" x14ac:dyDescent="0.2">
      <c r="A199" s="71"/>
      <c r="B199" s="70"/>
      <c r="C199" s="71"/>
      <c r="D199" s="70"/>
    </row>
    <row r="200" spans="1:4" x14ac:dyDescent="0.2">
      <c r="A200" s="71"/>
      <c r="B200" s="70"/>
      <c r="C200" s="71"/>
      <c r="D200" s="70"/>
    </row>
    <row r="201" spans="1:4" x14ac:dyDescent="0.2">
      <c r="A201" s="71"/>
      <c r="B201" s="70"/>
      <c r="C201" s="71"/>
      <c r="D201" s="70"/>
    </row>
    <row r="202" spans="1:4" x14ac:dyDescent="0.2">
      <c r="A202" s="71"/>
      <c r="B202" s="70"/>
      <c r="C202" s="71"/>
      <c r="D202" s="70"/>
    </row>
    <row r="203" spans="1:4" x14ac:dyDescent="0.2">
      <c r="A203" s="71"/>
      <c r="B203" s="70"/>
      <c r="C203" s="71"/>
      <c r="D203" s="70"/>
    </row>
    <row r="204" spans="1:4" x14ac:dyDescent="0.2">
      <c r="A204" s="71"/>
      <c r="B204" s="70"/>
      <c r="C204" s="71"/>
      <c r="D204" s="70"/>
    </row>
    <row r="205" spans="1:4" x14ac:dyDescent="0.2">
      <c r="A205" s="71"/>
      <c r="B205" s="70"/>
      <c r="C205" s="71"/>
      <c r="D205" s="70"/>
    </row>
    <row r="206" spans="1:4" x14ac:dyDescent="0.2">
      <c r="A206" s="71"/>
      <c r="B206" s="70"/>
      <c r="C206" s="71"/>
      <c r="D206" s="70"/>
    </row>
    <row r="207" spans="1:4" x14ac:dyDescent="0.2">
      <c r="A207" s="71"/>
      <c r="B207" s="70"/>
      <c r="C207" s="71"/>
      <c r="D207" s="70"/>
    </row>
    <row r="208" spans="1:4" x14ac:dyDescent="0.2">
      <c r="A208" s="71"/>
      <c r="B208" s="70"/>
      <c r="C208" s="71"/>
      <c r="D208" s="70"/>
    </row>
    <row r="209" spans="1:4" x14ac:dyDescent="0.2">
      <c r="A209" s="71"/>
      <c r="B209" s="70"/>
      <c r="C209" s="71"/>
      <c r="D209" s="70"/>
    </row>
    <row r="210" spans="1:4" x14ac:dyDescent="0.2">
      <c r="A210" s="71"/>
      <c r="B210" s="70"/>
      <c r="C210" s="71"/>
      <c r="D210" s="70"/>
    </row>
    <row r="211" spans="1:4" x14ac:dyDescent="0.2">
      <c r="A211" s="71"/>
      <c r="B211" s="70"/>
      <c r="C211" s="71"/>
      <c r="D211" s="70"/>
    </row>
    <row r="212" spans="1:4" x14ac:dyDescent="0.2">
      <c r="A212" s="71"/>
      <c r="B212" s="70"/>
      <c r="C212" s="71"/>
      <c r="D212" s="70"/>
    </row>
    <row r="213" spans="1:4" x14ac:dyDescent="0.2">
      <c r="A213" s="71"/>
      <c r="B213" s="70"/>
      <c r="C213" s="71"/>
      <c r="D213" s="70"/>
    </row>
    <row r="214" spans="1:4" x14ac:dyDescent="0.2">
      <c r="A214" s="71"/>
      <c r="B214" s="70"/>
      <c r="C214" s="71"/>
      <c r="D214" s="70"/>
    </row>
    <row r="215" spans="1:4" x14ac:dyDescent="0.2">
      <c r="A215" s="71"/>
      <c r="B215" s="70"/>
      <c r="C215" s="71"/>
      <c r="D215" s="70"/>
    </row>
    <row r="216" spans="1:4" x14ac:dyDescent="0.2">
      <c r="A216" s="71"/>
      <c r="B216" s="70"/>
      <c r="C216" s="71"/>
      <c r="D216" s="70"/>
    </row>
    <row r="217" spans="1:4" x14ac:dyDescent="0.2">
      <c r="A217" s="71"/>
      <c r="B217" s="70"/>
      <c r="C217" s="71"/>
      <c r="D217" s="70"/>
    </row>
    <row r="218" spans="1:4" x14ac:dyDescent="0.2">
      <c r="A218" s="71"/>
      <c r="B218" s="70"/>
      <c r="C218" s="71"/>
      <c r="D218" s="70"/>
    </row>
    <row r="219" spans="1:4" x14ac:dyDescent="0.2">
      <c r="A219" s="71"/>
      <c r="B219" s="70"/>
      <c r="C219" s="71"/>
      <c r="D219" s="70"/>
    </row>
    <row r="220" spans="1:4" x14ac:dyDescent="0.2">
      <c r="A220" s="71"/>
      <c r="B220" s="70"/>
      <c r="C220" s="71"/>
      <c r="D220" s="70"/>
    </row>
    <row r="221" spans="1:4" x14ac:dyDescent="0.2">
      <c r="A221" s="71"/>
      <c r="B221" s="70"/>
      <c r="C221" s="71"/>
      <c r="D221" s="70"/>
    </row>
    <row r="222" spans="1:4" x14ac:dyDescent="0.2">
      <c r="A222" s="71"/>
      <c r="B222" s="70"/>
      <c r="C222" s="71"/>
      <c r="D222" s="70"/>
    </row>
    <row r="223" spans="1:4" x14ac:dyDescent="0.2">
      <c r="A223" s="71"/>
      <c r="B223" s="70"/>
      <c r="C223" s="71"/>
      <c r="D223" s="70"/>
    </row>
    <row r="224" spans="1:4" x14ac:dyDescent="0.2">
      <c r="A224" s="71"/>
      <c r="B224" s="70"/>
      <c r="C224" s="71"/>
      <c r="D224" s="70"/>
    </row>
    <row r="225" spans="1:4" x14ac:dyDescent="0.2">
      <c r="A225" s="71"/>
      <c r="B225" s="70"/>
      <c r="C225" s="71"/>
      <c r="D225" s="70"/>
    </row>
    <row r="226" spans="1:4" x14ac:dyDescent="0.2">
      <c r="A226" s="71"/>
      <c r="B226" s="70"/>
      <c r="C226" s="71"/>
      <c r="D226" s="70"/>
    </row>
    <row r="227" spans="1:4" x14ac:dyDescent="0.2">
      <c r="A227" s="71"/>
      <c r="B227" s="70"/>
      <c r="C227" s="71"/>
      <c r="D227" s="70"/>
    </row>
    <row r="228" spans="1:4" x14ac:dyDescent="0.2">
      <c r="A228" s="71"/>
      <c r="B228" s="70"/>
      <c r="C228" s="71"/>
      <c r="D228" s="70"/>
    </row>
    <row r="229" spans="1:4" x14ac:dyDescent="0.2">
      <c r="A229" s="71"/>
      <c r="B229" s="70"/>
      <c r="C229" s="71"/>
      <c r="D229" s="70"/>
    </row>
    <row r="230" spans="1:4" x14ac:dyDescent="0.2">
      <c r="A230" s="71"/>
      <c r="B230" s="70"/>
      <c r="C230" s="71"/>
      <c r="D230" s="70"/>
    </row>
    <row r="231" spans="1:4" x14ac:dyDescent="0.2">
      <c r="A231" s="71"/>
      <c r="B231" s="70"/>
      <c r="C231" s="71"/>
      <c r="D231" s="70"/>
    </row>
    <row r="232" spans="1:4" x14ac:dyDescent="0.2">
      <c r="A232" s="71"/>
      <c r="B232" s="70"/>
      <c r="C232" s="71"/>
      <c r="D232" s="70"/>
    </row>
    <row r="233" spans="1:4" x14ac:dyDescent="0.2">
      <c r="A233" s="71"/>
      <c r="B233" s="70"/>
      <c r="C233" s="71"/>
      <c r="D233" s="70"/>
    </row>
    <row r="234" spans="1:4" x14ac:dyDescent="0.2">
      <c r="A234" s="71"/>
      <c r="B234" s="70"/>
      <c r="C234" s="71"/>
      <c r="D234" s="70"/>
    </row>
    <row r="235" spans="1:4" x14ac:dyDescent="0.2">
      <c r="A235" s="71"/>
      <c r="B235" s="70"/>
      <c r="C235" s="71"/>
      <c r="D235" s="70"/>
    </row>
    <row r="236" spans="1:4" x14ac:dyDescent="0.2">
      <c r="A236" s="71"/>
      <c r="B236" s="70"/>
      <c r="C236" s="71"/>
      <c r="D236" s="70"/>
    </row>
    <row r="237" spans="1:4" x14ac:dyDescent="0.2">
      <c r="A237" s="71"/>
      <c r="B237" s="70"/>
      <c r="C237" s="71"/>
      <c r="D237" s="70"/>
    </row>
    <row r="238" spans="1:4" x14ac:dyDescent="0.2">
      <c r="A238" s="71"/>
      <c r="B238" s="70"/>
      <c r="C238" s="71"/>
      <c r="D238" s="70"/>
    </row>
    <row r="239" spans="1:4" x14ac:dyDescent="0.2">
      <c r="A239" s="71"/>
      <c r="B239" s="70"/>
      <c r="C239" s="71"/>
      <c r="D239" s="70"/>
    </row>
    <row r="240" spans="1:4" x14ac:dyDescent="0.2">
      <c r="A240" s="71"/>
      <c r="B240" s="70"/>
      <c r="C240" s="71"/>
      <c r="D240" s="70"/>
    </row>
    <row r="241" spans="1:4" x14ac:dyDescent="0.2">
      <c r="A241" s="71"/>
      <c r="B241" s="70"/>
      <c r="C241" s="71"/>
      <c r="D241" s="70"/>
    </row>
    <row r="242" spans="1:4" x14ac:dyDescent="0.2">
      <c r="A242" s="71"/>
      <c r="B242" s="70"/>
      <c r="C242" s="71"/>
      <c r="D242" s="70"/>
    </row>
    <row r="243" spans="1:4" x14ac:dyDescent="0.2">
      <c r="A243" s="71"/>
      <c r="B243" s="70"/>
      <c r="C243" s="71"/>
      <c r="D243" s="70"/>
    </row>
    <row r="244" spans="1:4" x14ac:dyDescent="0.2">
      <c r="A244" s="71"/>
      <c r="B244" s="70"/>
      <c r="C244" s="71"/>
      <c r="D244" s="70"/>
    </row>
    <row r="245" spans="1:4" x14ac:dyDescent="0.2">
      <c r="A245" s="71"/>
      <c r="B245" s="70"/>
      <c r="C245" s="71"/>
      <c r="D245" s="70"/>
    </row>
    <row r="246" spans="1:4" x14ac:dyDescent="0.2">
      <c r="A246" s="71"/>
      <c r="B246" s="70"/>
      <c r="C246" s="71"/>
      <c r="D246" s="70"/>
    </row>
    <row r="247" spans="1:4" x14ac:dyDescent="0.2">
      <c r="A247" s="71"/>
      <c r="B247" s="70"/>
      <c r="C247" s="71"/>
      <c r="D247" s="70"/>
    </row>
    <row r="248" spans="1:4" x14ac:dyDescent="0.2">
      <c r="A248" s="71"/>
      <c r="B248" s="70"/>
      <c r="C248" s="71"/>
      <c r="D248" s="70"/>
    </row>
    <row r="249" spans="1:4" x14ac:dyDescent="0.2">
      <c r="A249" s="71"/>
      <c r="B249" s="70"/>
      <c r="C249" s="71"/>
      <c r="D249" s="70"/>
    </row>
    <row r="250" spans="1:4" x14ac:dyDescent="0.2">
      <c r="A250" s="71"/>
      <c r="B250" s="70"/>
      <c r="C250" s="71"/>
      <c r="D250" s="70"/>
    </row>
    <row r="251" spans="1:4" x14ac:dyDescent="0.2">
      <c r="A251" s="71"/>
      <c r="B251" s="70"/>
      <c r="C251" s="71"/>
      <c r="D251" s="70"/>
    </row>
    <row r="252" spans="1:4" x14ac:dyDescent="0.2">
      <c r="A252" s="71"/>
      <c r="B252" s="70"/>
      <c r="C252" s="71"/>
      <c r="D252" s="70"/>
    </row>
    <row r="253" spans="1:4" x14ac:dyDescent="0.2">
      <c r="A253" s="71"/>
      <c r="B253" s="70"/>
      <c r="C253" s="71"/>
      <c r="D253" s="70"/>
    </row>
    <row r="254" spans="1:4" x14ac:dyDescent="0.2">
      <c r="A254" s="71"/>
      <c r="B254" s="70"/>
      <c r="C254" s="71"/>
      <c r="D254" s="70"/>
    </row>
    <row r="255" spans="1:4" x14ac:dyDescent="0.2">
      <c r="A255" s="71"/>
      <c r="B255" s="70"/>
      <c r="C255" s="71"/>
      <c r="D255" s="70"/>
    </row>
    <row r="256" spans="1:4" x14ac:dyDescent="0.2">
      <c r="A256" s="71"/>
      <c r="B256" s="70"/>
      <c r="C256" s="71"/>
      <c r="D256" s="70"/>
    </row>
    <row r="257" spans="1:4" x14ac:dyDescent="0.2">
      <c r="A257" s="71"/>
      <c r="B257" s="70"/>
      <c r="C257" s="71"/>
      <c r="D257" s="70"/>
    </row>
    <row r="258" spans="1:4" x14ac:dyDescent="0.2">
      <c r="A258" s="71"/>
      <c r="B258" s="70"/>
      <c r="C258" s="71"/>
      <c r="D258" s="70"/>
    </row>
    <row r="259" spans="1:4" x14ac:dyDescent="0.2">
      <c r="A259" s="71"/>
      <c r="B259" s="70"/>
      <c r="C259" s="71"/>
      <c r="D259" s="70"/>
    </row>
    <row r="260" spans="1:4" x14ac:dyDescent="0.2">
      <c r="A260" s="71"/>
      <c r="B260" s="70"/>
      <c r="C260" s="71"/>
      <c r="D260" s="70"/>
    </row>
    <row r="261" spans="1:4" x14ac:dyDescent="0.2">
      <c r="A261" s="71"/>
      <c r="B261" s="70"/>
      <c r="C261" s="71"/>
      <c r="D261" s="70"/>
    </row>
    <row r="262" spans="1:4" x14ac:dyDescent="0.2">
      <c r="A262" s="71"/>
      <c r="B262" s="70"/>
      <c r="C262" s="71"/>
      <c r="D262" s="70"/>
    </row>
    <row r="263" spans="1:4" x14ac:dyDescent="0.2">
      <c r="A263" s="71"/>
      <c r="B263" s="70"/>
      <c r="C263" s="71"/>
      <c r="D263" s="70"/>
    </row>
    <row r="264" spans="1:4" x14ac:dyDescent="0.2">
      <c r="A264" s="71"/>
      <c r="B264" s="70"/>
      <c r="C264" s="71"/>
      <c r="D264" s="70"/>
    </row>
    <row r="265" spans="1:4" x14ac:dyDescent="0.2">
      <c r="A265" s="71"/>
      <c r="B265" s="70"/>
      <c r="C265" s="71"/>
      <c r="D265" s="70"/>
    </row>
    <row r="266" spans="1:4" x14ac:dyDescent="0.2">
      <c r="A266" s="71"/>
      <c r="B266" s="70"/>
      <c r="C266" s="71"/>
      <c r="D266" s="70"/>
    </row>
    <row r="267" spans="1:4" x14ac:dyDescent="0.2">
      <c r="A267" s="71"/>
      <c r="B267" s="70"/>
      <c r="C267" s="71"/>
      <c r="D267" s="70"/>
    </row>
    <row r="268" spans="1:4" x14ac:dyDescent="0.2">
      <c r="A268" s="71"/>
      <c r="B268" s="70"/>
      <c r="C268" s="71"/>
      <c r="D268" s="70"/>
    </row>
    <row r="269" spans="1:4" x14ac:dyDescent="0.2">
      <c r="A269" s="71"/>
      <c r="B269" s="70"/>
      <c r="C269" s="71"/>
      <c r="D269" s="70"/>
    </row>
    <row r="270" spans="1:4" x14ac:dyDescent="0.2">
      <c r="A270" s="71"/>
      <c r="B270" s="70"/>
      <c r="C270" s="71"/>
      <c r="D270" s="70"/>
    </row>
    <row r="271" spans="1:4" x14ac:dyDescent="0.2">
      <c r="A271" s="71"/>
      <c r="B271" s="70"/>
      <c r="C271" s="71"/>
      <c r="D271" s="70"/>
    </row>
    <row r="272" spans="1:4" x14ac:dyDescent="0.2">
      <c r="A272" s="71"/>
      <c r="B272" s="70"/>
      <c r="C272" s="71"/>
      <c r="D272" s="70"/>
    </row>
    <row r="273" spans="1:4" x14ac:dyDescent="0.2">
      <c r="A273" s="71"/>
      <c r="B273" s="70"/>
      <c r="C273" s="71"/>
      <c r="D273" s="70"/>
    </row>
    <row r="274" spans="1:4" x14ac:dyDescent="0.2">
      <c r="A274" s="71"/>
      <c r="B274" s="70"/>
      <c r="C274" s="71"/>
      <c r="D274" s="70"/>
    </row>
    <row r="275" spans="1:4" x14ac:dyDescent="0.2">
      <c r="A275" s="71"/>
      <c r="B275" s="70"/>
      <c r="C275" s="71"/>
      <c r="D275" s="70"/>
    </row>
    <row r="276" spans="1:4" x14ac:dyDescent="0.2">
      <c r="A276" s="71"/>
      <c r="B276" s="70"/>
      <c r="C276" s="71"/>
      <c r="D276" s="70"/>
    </row>
    <row r="277" spans="1:4" x14ac:dyDescent="0.2">
      <c r="A277" s="71"/>
      <c r="B277" s="70"/>
      <c r="C277" s="71"/>
      <c r="D277" s="70"/>
    </row>
    <row r="278" spans="1:4" x14ac:dyDescent="0.2">
      <c r="A278" s="71"/>
      <c r="B278" s="70"/>
      <c r="C278" s="71"/>
      <c r="D278" s="70"/>
    </row>
    <row r="279" spans="1:4" x14ac:dyDescent="0.2">
      <c r="A279" s="71"/>
      <c r="B279" s="70"/>
      <c r="C279" s="71"/>
      <c r="D279" s="70"/>
    </row>
    <row r="280" spans="1:4" x14ac:dyDescent="0.2">
      <c r="A280" s="71"/>
      <c r="B280" s="70"/>
      <c r="C280" s="71"/>
      <c r="D280" s="70"/>
    </row>
    <row r="281" spans="1:4" x14ac:dyDescent="0.2">
      <c r="A281" s="71"/>
      <c r="B281" s="70"/>
      <c r="C281" s="71"/>
      <c r="D281" s="70"/>
    </row>
    <row r="282" spans="1:4" x14ac:dyDescent="0.2">
      <c r="A282" s="71"/>
      <c r="B282" s="70"/>
      <c r="C282" s="71"/>
      <c r="D282" s="70"/>
    </row>
    <row r="283" spans="1:4" x14ac:dyDescent="0.2">
      <c r="A283" s="71"/>
      <c r="B283" s="70"/>
      <c r="C283" s="71"/>
      <c r="D283" s="70"/>
    </row>
    <row r="284" spans="1:4" x14ac:dyDescent="0.2">
      <c r="A284" s="71"/>
      <c r="B284" s="70"/>
      <c r="C284" s="71"/>
      <c r="D284" s="70"/>
    </row>
    <row r="285" spans="1:4" x14ac:dyDescent="0.2">
      <c r="A285" s="71"/>
      <c r="B285" s="70"/>
      <c r="C285" s="71"/>
      <c r="D285" s="70"/>
    </row>
    <row r="286" spans="1:4" x14ac:dyDescent="0.2">
      <c r="A286" s="71"/>
      <c r="B286" s="70"/>
      <c r="C286" s="71"/>
      <c r="D286" s="70"/>
    </row>
    <row r="287" spans="1:4" x14ac:dyDescent="0.2">
      <c r="A287" s="71"/>
      <c r="B287" s="70"/>
      <c r="C287" s="71"/>
      <c r="D287" s="70"/>
    </row>
    <row r="288" spans="1:4" x14ac:dyDescent="0.2">
      <c r="A288" s="71"/>
      <c r="B288" s="70"/>
      <c r="C288" s="71"/>
      <c r="D288" s="70"/>
    </row>
    <row r="289" spans="1:4" x14ac:dyDescent="0.2">
      <c r="A289" s="71"/>
      <c r="B289" s="70"/>
      <c r="C289" s="71"/>
      <c r="D289" s="70"/>
    </row>
    <row r="290" spans="1:4" x14ac:dyDescent="0.2">
      <c r="A290" s="71"/>
      <c r="B290" s="70"/>
      <c r="C290" s="71"/>
      <c r="D290" s="70"/>
    </row>
    <row r="291" spans="1:4" x14ac:dyDescent="0.2">
      <c r="A291" s="71"/>
      <c r="B291" s="70"/>
      <c r="C291" s="71"/>
      <c r="D291" s="70"/>
    </row>
    <row r="292" spans="1:4" x14ac:dyDescent="0.2">
      <c r="A292" s="71"/>
      <c r="B292" s="70"/>
      <c r="C292" s="71"/>
      <c r="D292" s="70"/>
    </row>
    <row r="293" spans="1:4" x14ac:dyDescent="0.2">
      <c r="A293" s="71"/>
      <c r="B293" s="70"/>
      <c r="C293" s="71"/>
      <c r="D293" s="70"/>
    </row>
    <row r="294" spans="1:4" x14ac:dyDescent="0.2">
      <c r="A294" s="71"/>
      <c r="B294" s="70"/>
      <c r="C294" s="71"/>
      <c r="D294" s="70"/>
    </row>
    <row r="295" spans="1:4" x14ac:dyDescent="0.2">
      <c r="A295" s="71"/>
      <c r="B295" s="70"/>
      <c r="C295" s="71"/>
      <c r="D295" s="70"/>
    </row>
    <row r="296" spans="1:4" x14ac:dyDescent="0.2">
      <c r="A296" s="71"/>
      <c r="B296" s="70"/>
      <c r="C296" s="71"/>
      <c r="D296" s="70"/>
    </row>
    <row r="297" spans="1:4" x14ac:dyDescent="0.2">
      <c r="A297" s="71"/>
      <c r="B297" s="70"/>
      <c r="C297" s="71"/>
      <c r="D297" s="70"/>
    </row>
    <row r="298" spans="1:4" x14ac:dyDescent="0.2">
      <c r="A298" s="71"/>
      <c r="B298" s="70"/>
      <c r="C298" s="71"/>
      <c r="D298" s="70"/>
    </row>
    <row r="299" spans="1:4" x14ac:dyDescent="0.2">
      <c r="A299" s="71"/>
      <c r="B299" s="70"/>
      <c r="C299" s="71"/>
      <c r="D299" s="70"/>
    </row>
    <row r="300" spans="1:4" x14ac:dyDescent="0.2">
      <c r="A300" s="71"/>
      <c r="B300" s="70"/>
      <c r="C300" s="71"/>
      <c r="D300" s="70"/>
    </row>
    <row r="301" spans="1:4" x14ac:dyDescent="0.2">
      <c r="A301" s="71"/>
      <c r="B301" s="70"/>
      <c r="C301" s="71"/>
      <c r="D301" s="70"/>
    </row>
    <row r="302" spans="1:4" x14ac:dyDescent="0.2">
      <c r="A302" s="71"/>
      <c r="B302" s="70"/>
      <c r="C302" s="71"/>
      <c r="D302" s="70"/>
    </row>
    <row r="303" spans="1:4" x14ac:dyDescent="0.2">
      <c r="A303" s="71"/>
      <c r="B303" s="70"/>
      <c r="C303" s="71"/>
      <c r="D303" s="70"/>
    </row>
    <row r="304" spans="1:4" x14ac:dyDescent="0.2">
      <c r="A304" s="71"/>
      <c r="B304" s="70"/>
      <c r="C304" s="71"/>
      <c r="D304" s="70"/>
    </row>
    <row r="305" spans="1:4" x14ac:dyDescent="0.2">
      <c r="A305" s="71"/>
      <c r="B305" s="70"/>
      <c r="C305" s="71"/>
      <c r="D305" s="70"/>
    </row>
    <row r="306" spans="1:4" x14ac:dyDescent="0.2">
      <c r="A306" s="71"/>
      <c r="B306" s="70"/>
      <c r="C306" s="71"/>
      <c r="D306" s="70"/>
    </row>
    <row r="307" spans="1:4" x14ac:dyDescent="0.2">
      <c r="A307" s="71"/>
      <c r="B307" s="70"/>
      <c r="C307" s="71"/>
      <c r="D307" s="70"/>
    </row>
    <row r="308" spans="1:4" x14ac:dyDescent="0.2">
      <c r="A308" s="71"/>
      <c r="B308" s="70"/>
      <c r="C308" s="71"/>
      <c r="D308" s="70"/>
    </row>
    <row r="309" spans="1:4" x14ac:dyDescent="0.2">
      <c r="A309" s="71"/>
      <c r="B309" s="70"/>
      <c r="C309" s="71"/>
      <c r="D309" s="70"/>
    </row>
    <row r="310" spans="1:4" x14ac:dyDescent="0.2">
      <c r="A310" s="71"/>
      <c r="B310" s="70"/>
      <c r="C310" s="71"/>
      <c r="D310" s="70"/>
    </row>
    <row r="311" spans="1:4" x14ac:dyDescent="0.2">
      <c r="A311" s="71"/>
      <c r="B311" s="70"/>
      <c r="C311" s="71"/>
      <c r="D311" s="70"/>
    </row>
    <row r="312" spans="1:4" x14ac:dyDescent="0.2">
      <c r="A312" s="71"/>
      <c r="B312" s="70"/>
      <c r="C312" s="71"/>
      <c r="D312" s="70"/>
    </row>
    <row r="313" spans="1:4" x14ac:dyDescent="0.2">
      <c r="A313" s="71"/>
      <c r="B313" s="70"/>
      <c r="C313" s="71"/>
      <c r="D313" s="70"/>
    </row>
    <row r="314" spans="1:4" x14ac:dyDescent="0.2">
      <c r="A314" s="71"/>
      <c r="B314" s="70"/>
      <c r="C314" s="71"/>
      <c r="D314" s="70"/>
    </row>
    <row r="315" spans="1:4" x14ac:dyDescent="0.2">
      <c r="A315" s="71"/>
      <c r="B315" s="70"/>
      <c r="C315" s="71"/>
      <c r="D315" s="70"/>
    </row>
    <row r="316" spans="1:4" x14ac:dyDescent="0.2">
      <c r="A316" s="71"/>
      <c r="B316" s="70"/>
      <c r="C316" s="71"/>
      <c r="D316" s="70"/>
    </row>
    <row r="317" spans="1:4" x14ac:dyDescent="0.2">
      <c r="A317" s="71"/>
      <c r="B317" s="70"/>
      <c r="C317" s="71"/>
      <c r="D317" s="70"/>
    </row>
    <row r="318" spans="1:4" x14ac:dyDescent="0.2">
      <c r="A318" s="71"/>
      <c r="B318" s="70"/>
      <c r="C318" s="71"/>
      <c r="D318" s="70"/>
    </row>
    <row r="319" spans="1:4" x14ac:dyDescent="0.2">
      <c r="A319" s="71"/>
      <c r="B319" s="70"/>
      <c r="C319" s="71"/>
      <c r="D319" s="70"/>
    </row>
    <row r="320" spans="1:4" x14ac:dyDescent="0.2">
      <c r="A320" s="71"/>
      <c r="B320" s="70"/>
      <c r="C320" s="71"/>
      <c r="D320" s="70"/>
    </row>
    <row r="321" spans="1:4" x14ac:dyDescent="0.2">
      <c r="A321" s="71"/>
      <c r="B321" s="70"/>
      <c r="C321" s="71"/>
      <c r="D321" s="70"/>
    </row>
    <row r="322" spans="1:4" x14ac:dyDescent="0.2">
      <c r="A322" s="71"/>
      <c r="B322" s="70"/>
      <c r="C322" s="71"/>
      <c r="D322" s="70"/>
    </row>
    <row r="323" spans="1:4" x14ac:dyDescent="0.2">
      <c r="A323" s="71"/>
      <c r="B323" s="70"/>
      <c r="C323" s="71"/>
      <c r="D323" s="70"/>
    </row>
    <row r="324" spans="1:4" x14ac:dyDescent="0.2">
      <c r="A324" s="71"/>
      <c r="B324" s="70"/>
      <c r="C324" s="71"/>
      <c r="D324" s="70"/>
    </row>
    <row r="325" spans="1:4" x14ac:dyDescent="0.2">
      <c r="A325" s="71"/>
      <c r="B325" s="70"/>
      <c r="C325" s="71"/>
      <c r="D325" s="70"/>
    </row>
    <row r="326" spans="1:4" x14ac:dyDescent="0.2">
      <c r="A326" s="71"/>
      <c r="B326" s="70"/>
      <c r="C326" s="71"/>
      <c r="D326" s="70"/>
    </row>
    <row r="327" spans="1:4" x14ac:dyDescent="0.2">
      <c r="A327" s="71"/>
      <c r="B327" s="70"/>
      <c r="C327" s="71"/>
      <c r="D327" s="70"/>
    </row>
    <row r="328" spans="1:4" x14ac:dyDescent="0.2">
      <c r="A328" s="71"/>
      <c r="B328" s="70"/>
      <c r="C328" s="71"/>
      <c r="D328" s="70"/>
    </row>
    <row r="329" spans="1:4" x14ac:dyDescent="0.2">
      <c r="A329" s="71"/>
      <c r="B329" s="70"/>
      <c r="C329" s="71"/>
      <c r="D329" s="70"/>
    </row>
    <row r="330" spans="1:4" x14ac:dyDescent="0.2">
      <c r="A330" s="71"/>
      <c r="B330" s="70"/>
      <c r="C330" s="71"/>
      <c r="D330" s="70"/>
    </row>
    <row r="331" spans="1:4" x14ac:dyDescent="0.2">
      <c r="A331" s="71"/>
      <c r="B331" s="70"/>
      <c r="C331" s="71"/>
      <c r="D331" s="70"/>
    </row>
    <row r="332" spans="1:4" x14ac:dyDescent="0.2">
      <c r="A332" s="71"/>
      <c r="B332" s="70"/>
      <c r="C332" s="71"/>
      <c r="D332" s="70"/>
    </row>
    <row r="333" spans="1:4" x14ac:dyDescent="0.2">
      <c r="A333" s="71"/>
      <c r="B333" s="70"/>
      <c r="C333" s="71"/>
      <c r="D333" s="70"/>
    </row>
    <row r="334" spans="1:4" x14ac:dyDescent="0.2">
      <c r="A334" s="71"/>
      <c r="B334" s="70"/>
      <c r="C334" s="71"/>
      <c r="D334" s="70"/>
    </row>
    <row r="335" spans="1:4" x14ac:dyDescent="0.2">
      <c r="A335" s="71"/>
      <c r="B335" s="70"/>
      <c r="C335" s="71"/>
      <c r="D335" s="70"/>
    </row>
    <row r="336" spans="1:4" x14ac:dyDescent="0.2">
      <c r="A336" s="71"/>
      <c r="B336" s="70"/>
      <c r="C336" s="71"/>
      <c r="D336" s="70"/>
    </row>
    <row r="337" spans="1:4" x14ac:dyDescent="0.2">
      <c r="A337" s="71"/>
      <c r="B337" s="70"/>
      <c r="C337" s="71"/>
      <c r="D337" s="70"/>
    </row>
    <row r="338" spans="1:4" x14ac:dyDescent="0.2">
      <c r="A338" s="71"/>
      <c r="B338" s="70"/>
      <c r="C338" s="71"/>
      <c r="D338" s="70"/>
    </row>
    <row r="339" spans="1:4" x14ac:dyDescent="0.2">
      <c r="A339" s="71"/>
      <c r="B339" s="70"/>
      <c r="C339" s="71"/>
      <c r="D339" s="70"/>
    </row>
    <row r="340" spans="1:4" x14ac:dyDescent="0.2">
      <c r="A340" s="71"/>
      <c r="B340" s="70"/>
      <c r="C340" s="71"/>
      <c r="D340" s="70"/>
    </row>
    <row r="341" spans="1:4" x14ac:dyDescent="0.2">
      <c r="A341" s="71"/>
      <c r="B341" s="70"/>
      <c r="C341" s="71"/>
      <c r="D341" s="70"/>
    </row>
    <row r="342" spans="1:4" x14ac:dyDescent="0.2">
      <c r="A342" s="71"/>
      <c r="B342" s="70"/>
      <c r="C342" s="71"/>
      <c r="D342" s="70"/>
    </row>
    <row r="343" spans="1:4" x14ac:dyDescent="0.2">
      <c r="A343" s="71"/>
      <c r="B343" s="70"/>
      <c r="C343" s="71"/>
      <c r="D343" s="70"/>
    </row>
    <row r="344" spans="1:4" x14ac:dyDescent="0.2">
      <c r="A344" s="71"/>
      <c r="B344" s="70"/>
      <c r="C344" s="71"/>
      <c r="D344" s="70"/>
    </row>
    <row r="345" spans="1:4" x14ac:dyDescent="0.2">
      <c r="A345" s="71"/>
      <c r="B345" s="70"/>
    </row>
    <row r="346" spans="1:4" x14ac:dyDescent="0.2">
      <c r="A346" s="71"/>
      <c r="B346" s="70"/>
    </row>
    <row r="347" spans="1:4" x14ac:dyDescent="0.2">
      <c r="A347" s="71"/>
      <c r="B347" s="70"/>
    </row>
    <row r="348" spans="1:4" x14ac:dyDescent="0.2">
      <c r="A348" s="71"/>
      <c r="B348" s="70"/>
    </row>
    <row r="349" spans="1:4" x14ac:dyDescent="0.2">
      <c r="A349" s="71"/>
      <c r="B349" s="70"/>
    </row>
    <row r="350" spans="1:4" x14ac:dyDescent="0.2">
      <c r="A350" s="71"/>
      <c r="B350" s="70"/>
    </row>
    <row r="351" spans="1:4" x14ac:dyDescent="0.2">
      <c r="A351" s="71"/>
      <c r="B351" s="70"/>
    </row>
    <row r="352" spans="1:4" x14ac:dyDescent="0.2">
      <c r="A352" s="71"/>
      <c r="B352" s="70"/>
    </row>
    <row r="353" spans="1:2" x14ac:dyDescent="0.2">
      <c r="A353" s="71"/>
      <c r="B353" s="70"/>
    </row>
    <row r="354" spans="1:2" x14ac:dyDescent="0.2">
      <c r="A354" s="71"/>
      <c r="B354" s="70"/>
    </row>
    <row r="355" spans="1:2" x14ac:dyDescent="0.2">
      <c r="A355" s="71"/>
      <c r="B355" s="70"/>
    </row>
    <row r="356" spans="1:2" x14ac:dyDescent="0.2">
      <c r="A356" s="71"/>
      <c r="B356" s="70"/>
    </row>
    <row r="357" spans="1:2" x14ac:dyDescent="0.2">
      <c r="A357" s="71"/>
      <c r="B357" s="70"/>
    </row>
    <row r="358" spans="1:2" x14ac:dyDescent="0.2">
      <c r="A358" s="71"/>
      <c r="B358" s="70"/>
    </row>
    <row r="359" spans="1:2" x14ac:dyDescent="0.2">
      <c r="A359" s="71"/>
      <c r="B359" s="70"/>
    </row>
    <row r="360" spans="1:2" x14ac:dyDescent="0.2">
      <c r="A360" s="71"/>
      <c r="B360" s="70"/>
    </row>
    <row r="361" spans="1:2" x14ac:dyDescent="0.2">
      <c r="A361" s="71"/>
      <c r="B361" s="70"/>
    </row>
    <row r="362" spans="1:2" x14ac:dyDescent="0.2">
      <c r="A362" s="71"/>
      <c r="B362" s="70"/>
    </row>
    <row r="363" spans="1:2" x14ac:dyDescent="0.2">
      <c r="A363" s="71"/>
      <c r="B363" s="70"/>
    </row>
    <row r="364" spans="1:2" x14ac:dyDescent="0.2">
      <c r="A364" s="71"/>
      <c r="B364" s="7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D671-FF0B-9442-A061-279809290BC1}">
  <sheetPr>
    <tabColor theme="5" tint="0.59999389629810485"/>
  </sheetPr>
  <dimension ref="A1:O76"/>
  <sheetViews>
    <sheetView topLeftCell="A40" zoomScale="91" workbookViewId="0">
      <selection activeCell="A79" sqref="A79"/>
    </sheetView>
  </sheetViews>
  <sheetFormatPr baseColWidth="10" defaultColWidth="8.83203125" defaultRowHeight="15" x14ac:dyDescent="0.2"/>
  <cols>
    <col min="1" max="1" width="76.6640625" style="73" customWidth="1"/>
    <col min="2" max="6" width="18" style="73" customWidth="1"/>
    <col min="7" max="7" width="18" style="73" hidden="1" customWidth="1"/>
    <col min="8" max="8" width="18" style="61" hidden="1" customWidth="1"/>
    <col min="9" max="9" width="18" style="61" customWidth="1"/>
    <col min="10" max="14" width="10" style="73" customWidth="1"/>
    <col min="15" max="15" width="70" style="73" customWidth="1"/>
    <col min="16" max="16384" width="8.83203125" style="73"/>
  </cols>
  <sheetData>
    <row r="1" spans="1:15" ht="28" customHeight="1" x14ac:dyDescent="0.2">
      <c r="A1" s="88" t="s">
        <v>466</v>
      </c>
      <c r="B1" s="88" t="s">
        <v>467</v>
      </c>
      <c r="C1" s="88" t="s">
        <v>468</v>
      </c>
      <c r="D1" s="88" t="s">
        <v>469</v>
      </c>
      <c r="E1" s="88" t="s">
        <v>470</v>
      </c>
      <c r="F1" s="88" t="s">
        <v>471</v>
      </c>
      <c r="G1" s="88" t="s">
        <v>472</v>
      </c>
      <c r="H1" s="88" t="s">
        <v>473</v>
      </c>
      <c r="I1" s="88" t="s">
        <v>474</v>
      </c>
      <c r="J1" s="88" t="s">
        <v>475</v>
      </c>
      <c r="K1" s="88" t="s">
        <v>476</v>
      </c>
      <c r="L1" s="88" t="s">
        <v>477</v>
      </c>
      <c r="M1" s="88" t="s">
        <v>478</v>
      </c>
      <c r="N1" s="88" t="s">
        <v>479</v>
      </c>
      <c r="O1" s="88" t="s">
        <v>480</v>
      </c>
    </row>
    <row r="2" spans="1:15" ht="42" x14ac:dyDescent="0.2">
      <c r="A2" s="89" t="s">
        <v>105</v>
      </c>
      <c r="B2" s="90">
        <f>I2*J2</f>
        <v>32641993.475599609</v>
      </c>
      <c r="C2" s="90">
        <f>I2*K2</f>
        <v>45170615.544219136</v>
      </c>
      <c r="D2" s="90">
        <f>I2*L2</f>
        <v>53696560.514751114</v>
      </c>
      <c r="E2" s="90">
        <f>I2*M2</f>
        <v>67116677.23612079</v>
      </c>
      <c r="F2" s="90">
        <f>I2*N2</f>
        <v>93810194.22930935</v>
      </c>
      <c r="G2" s="90">
        <v>292436041</v>
      </c>
      <c r="H2" s="91">
        <v>0</v>
      </c>
      <c r="I2" s="91">
        <f>SUM(G2:H2)</f>
        <v>292436041</v>
      </c>
      <c r="J2" s="92">
        <v>0.1116209662939583</v>
      </c>
      <c r="K2" s="92">
        <v>0.15446323028364051</v>
      </c>
      <c r="L2" s="92">
        <v>0.18361813520362599</v>
      </c>
      <c r="M2" s="92">
        <v>0.22950891075741511</v>
      </c>
      <c r="N2" s="92">
        <v>0.3207887574613601</v>
      </c>
      <c r="O2" s="93" t="s">
        <v>481</v>
      </c>
    </row>
    <row r="3" spans="1:15" x14ac:dyDescent="0.2">
      <c r="A3" s="94" t="s">
        <v>106</v>
      </c>
      <c r="B3" s="95">
        <f t="shared" ref="B3:B66" si="0">I3*J3</f>
        <v>3542387.0604569283</v>
      </c>
      <c r="C3" s="95">
        <f t="shared" ref="C3:C66" si="1">I3*K3</f>
        <v>5871439.8132240484</v>
      </c>
      <c r="D3" s="95">
        <f t="shared" ref="D3:D66" si="2">I3*L3</f>
        <v>7524433.3238728317</v>
      </c>
      <c r="E3" s="95">
        <f t="shared" ref="E3:E66" si="3">I3*M3</f>
        <v>9330112.7325194664</v>
      </c>
      <c r="F3" s="95">
        <f t="shared" ref="F3:F66" si="4">I3*N3</f>
        <v>13765183.069926722</v>
      </c>
      <c r="G3" s="95">
        <v>40033556</v>
      </c>
      <c r="H3" s="96">
        <v>0</v>
      </c>
      <c r="I3" s="96">
        <f t="shared" ref="I3:I66" si="5">SUM(G3:H3)</f>
        <v>40033556</v>
      </c>
      <c r="J3" s="92">
        <v>8.8485446070714485E-2</v>
      </c>
      <c r="K3" s="92">
        <v>0.1466629597736471</v>
      </c>
      <c r="L3" s="92">
        <v>0.18795315919157499</v>
      </c>
      <c r="M3" s="92">
        <v>0.23305730653853149</v>
      </c>
      <c r="N3" s="92">
        <v>0.34384112842553188</v>
      </c>
      <c r="O3" s="97" t="s">
        <v>482</v>
      </c>
    </row>
    <row r="4" spans="1:15" x14ac:dyDescent="0.2">
      <c r="A4" s="89" t="s">
        <v>107</v>
      </c>
      <c r="B4" s="90">
        <f t="shared" si="0"/>
        <v>3633332.5252556447</v>
      </c>
      <c r="C4" s="90">
        <f t="shared" si="1"/>
        <v>4904715.9030179735</v>
      </c>
      <c r="D4" s="90">
        <f t="shared" si="2"/>
        <v>6059712.8993074056</v>
      </c>
      <c r="E4" s="90">
        <f t="shared" si="3"/>
        <v>7908310.7111706547</v>
      </c>
      <c r="F4" s="90">
        <f t="shared" si="4"/>
        <v>14351425.961248323</v>
      </c>
      <c r="G4" s="90">
        <v>36857498</v>
      </c>
      <c r="H4" s="91">
        <v>0</v>
      </c>
      <c r="I4" s="91">
        <f t="shared" si="5"/>
        <v>36857498</v>
      </c>
      <c r="J4" s="92">
        <v>9.8577839582481827E-2</v>
      </c>
      <c r="K4" s="92">
        <v>0.13307240505087931</v>
      </c>
      <c r="L4" s="92">
        <v>0.16440923090621631</v>
      </c>
      <c r="M4" s="92">
        <v>0.2145645022125662</v>
      </c>
      <c r="N4" s="92">
        <v>0.38937602224785639</v>
      </c>
      <c r="O4" s="93" t="s">
        <v>483</v>
      </c>
    </row>
    <row r="5" spans="1:15" x14ac:dyDescent="0.2">
      <c r="A5" s="89" t="s">
        <v>484</v>
      </c>
      <c r="B5" s="90">
        <f>I5*J5</f>
        <v>1217884.4000000001</v>
      </c>
      <c r="C5" s="90">
        <f t="shared" si="1"/>
        <v>1217884.4000000001</v>
      </c>
      <c r="D5" s="90">
        <f t="shared" si="2"/>
        <v>1217884.4000000001</v>
      </c>
      <c r="E5" s="90">
        <f t="shared" si="3"/>
        <v>1217884.4000000001</v>
      </c>
      <c r="F5" s="90">
        <f t="shared" si="4"/>
        <v>1217884.4000000001</v>
      </c>
      <c r="G5" s="90">
        <v>6089422</v>
      </c>
      <c r="H5" s="91">
        <v>0</v>
      </c>
      <c r="I5" s="91">
        <f t="shared" si="5"/>
        <v>6089422</v>
      </c>
      <c r="J5" s="92">
        <v>0.2</v>
      </c>
      <c r="K5" s="92">
        <v>0.2</v>
      </c>
      <c r="L5" s="92">
        <v>0.2</v>
      </c>
      <c r="M5" s="92">
        <v>0.2</v>
      </c>
      <c r="N5" s="92">
        <v>0.2</v>
      </c>
      <c r="O5" s="93" t="s">
        <v>485</v>
      </c>
    </row>
    <row r="6" spans="1:15" ht="42" x14ac:dyDescent="0.2">
      <c r="A6" s="89" t="s">
        <v>109</v>
      </c>
      <c r="B6" s="90">
        <f t="shared" si="0"/>
        <v>30356674.843749121</v>
      </c>
      <c r="C6" s="90">
        <f t="shared" si="1"/>
        <v>38403977.982756481</v>
      </c>
      <c r="D6" s="90">
        <f t="shared" si="2"/>
        <v>45213942.148905903</v>
      </c>
      <c r="E6" s="90">
        <f t="shared" si="3"/>
        <v>54790109.846761055</v>
      </c>
      <c r="F6" s="90">
        <f t="shared" si="4"/>
        <v>84710508.177827433</v>
      </c>
      <c r="G6" s="90">
        <v>253475213</v>
      </c>
      <c r="H6" s="91">
        <v>0</v>
      </c>
      <c r="I6" s="91">
        <f t="shared" si="5"/>
        <v>253475213</v>
      </c>
      <c r="J6" s="92">
        <v>0.1197619068328749</v>
      </c>
      <c r="K6" s="92">
        <v>0.15150979667095291</v>
      </c>
      <c r="L6" s="92">
        <v>0.17837618761131449</v>
      </c>
      <c r="M6" s="92">
        <v>0.21615569111588459</v>
      </c>
      <c r="N6" s="92">
        <v>0.33419641776897308</v>
      </c>
      <c r="O6" s="93" t="s">
        <v>486</v>
      </c>
    </row>
    <row r="7" spans="1:15" x14ac:dyDescent="0.2">
      <c r="A7" s="94" t="s">
        <v>110</v>
      </c>
      <c r="B7" s="95">
        <f>I7*J7</f>
        <v>1252789.8806548535</v>
      </c>
      <c r="C7" s="95">
        <f t="shared" si="1"/>
        <v>2148195.199005316</v>
      </c>
      <c r="D7" s="95">
        <f t="shared" si="2"/>
        <v>3168320.3417275646</v>
      </c>
      <c r="E7" s="95">
        <f t="shared" si="3"/>
        <v>4405808.0639519086</v>
      </c>
      <c r="F7" s="95">
        <f t="shared" si="4"/>
        <v>11026593.514660355</v>
      </c>
      <c r="G7" s="95">
        <v>22001707</v>
      </c>
      <c r="H7" s="96">
        <v>0</v>
      </c>
      <c r="I7" s="96">
        <f t="shared" si="5"/>
        <v>22001707</v>
      </c>
      <c r="J7" s="92">
        <v>5.6940576504125498E-2</v>
      </c>
      <c r="K7" s="92">
        <v>9.7637660523581929E-2</v>
      </c>
      <c r="L7" s="92">
        <v>0.14400338763385789</v>
      </c>
      <c r="M7" s="92">
        <v>0.20024846544642691</v>
      </c>
      <c r="N7" s="92">
        <v>0.50116990989200771</v>
      </c>
      <c r="O7" s="97" t="s">
        <v>487</v>
      </c>
    </row>
    <row r="8" spans="1:15" ht="28" x14ac:dyDescent="0.2">
      <c r="A8" s="94" t="s">
        <v>111</v>
      </c>
      <c r="B8" s="95">
        <f t="shared" si="0"/>
        <v>1019923.6425124838</v>
      </c>
      <c r="C8" s="95">
        <f t="shared" si="1"/>
        <v>1645726.6143498369</v>
      </c>
      <c r="D8" s="95">
        <f t="shared" si="2"/>
        <v>2068864.7754959827</v>
      </c>
      <c r="E8" s="95">
        <f t="shared" si="3"/>
        <v>2503676.9570959066</v>
      </c>
      <c r="F8" s="95">
        <f t="shared" si="4"/>
        <v>3405850.0105457893</v>
      </c>
      <c r="G8" s="95">
        <v>10644042</v>
      </c>
      <c r="H8" s="96">
        <v>0</v>
      </c>
      <c r="I8" s="96">
        <f t="shared" si="5"/>
        <v>10644042</v>
      </c>
      <c r="J8" s="92">
        <v>9.5821083993513342E-2</v>
      </c>
      <c r="K8" s="92">
        <v>0.15461481778725009</v>
      </c>
      <c r="L8" s="92">
        <v>0.19436834010012199</v>
      </c>
      <c r="M8" s="92">
        <v>0.2352186281391887</v>
      </c>
      <c r="N8" s="92">
        <v>0.31997712997992578</v>
      </c>
      <c r="O8" s="97" t="s">
        <v>488</v>
      </c>
    </row>
    <row r="9" spans="1:15" x14ac:dyDescent="0.2">
      <c r="A9" s="89" t="s">
        <v>112</v>
      </c>
      <c r="B9" s="90">
        <f t="shared" si="0"/>
        <v>638386.05122439377</v>
      </c>
      <c r="C9" s="90">
        <f t="shared" si="1"/>
        <v>1090736.744289042</v>
      </c>
      <c r="D9" s="90">
        <f t="shared" si="2"/>
        <v>1494511.2540669171</v>
      </c>
      <c r="E9" s="90">
        <f t="shared" si="3"/>
        <v>2208574.3866147646</v>
      </c>
      <c r="F9" s="90">
        <f t="shared" si="4"/>
        <v>3977660.5638048835</v>
      </c>
      <c r="G9" s="90">
        <v>9409869</v>
      </c>
      <c r="H9" s="91">
        <v>0</v>
      </c>
      <c r="I9" s="91">
        <f t="shared" si="5"/>
        <v>9409869</v>
      </c>
      <c r="J9" s="92">
        <v>6.7842182630214493E-2</v>
      </c>
      <c r="K9" s="92">
        <v>0.1159141263591493</v>
      </c>
      <c r="L9" s="92">
        <v>0.15882381083805919</v>
      </c>
      <c r="M9" s="92">
        <v>0.23470830323087011</v>
      </c>
      <c r="N9" s="92">
        <v>0.42271157694170702</v>
      </c>
      <c r="O9" s="93" t="s">
        <v>489</v>
      </c>
    </row>
    <row r="10" spans="1:15" x14ac:dyDescent="0.2">
      <c r="A10" s="94" t="s">
        <v>113</v>
      </c>
      <c r="B10" s="95">
        <f t="shared" si="0"/>
        <v>1847185.0212575402</v>
      </c>
      <c r="C10" s="95">
        <f t="shared" si="1"/>
        <v>2912623.8592789555</v>
      </c>
      <c r="D10" s="95">
        <f t="shared" si="2"/>
        <v>3715988.0786655489</v>
      </c>
      <c r="E10" s="95">
        <f t="shared" si="3"/>
        <v>4644999.2390734609</v>
      </c>
      <c r="F10" s="95">
        <f t="shared" si="4"/>
        <v>7364926.8017244963</v>
      </c>
      <c r="G10" s="95">
        <v>20485723</v>
      </c>
      <c r="H10" s="96">
        <v>0</v>
      </c>
      <c r="I10" s="96">
        <f t="shared" si="5"/>
        <v>20485723</v>
      </c>
      <c r="J10" s="92">
        <v>9.0169383880546475E-2</v>
      </c>
      <c r="K10" s="92">
        <v>0.14217823111632211</v>
      </c>
      <c r="L10" s="92">
        <v>0.18139404104339149</v>
      </c>
      <c r="M10" s="92">
        <v>0.22674324157724191</v>
      </c>
      <c r="N10" s="92">
        <v>0.35951510238249812</v>
      </c>
      <c r="O10" s="97" t="s">
        <v>490</v>
      </c>
    </row>
    <row r="11" spans="1:15" x14ac:dyDescent="0.2">
      <c r="A11" s="94" t="s">
        <v>114</v>
      </c>
      <c r="B11" s="95">
        <f t="shared" si="0"/>
        <v>806736.47063374112</v>
      </c>
      <c r="C11" s="95">
        <f t="shared" si="1"/>
        <v>1292144.1194312733</v>
      </c>
      <c r="D11" s="95">
        <f t="shared" si="2"/>
        <v>1630724.0071095785</v>
      </c>
      <c r="E11" s="95">
        <f t="shared" si="3"/>
        <v>2000969.6347545062</v>
      </c>
      <c r="F11" s="95">
        <f t="shared" si="4"/>
        <v>3207371.7680709003</v>
      </c>
      <c r="G11" s="95">
        <v>8937946</v>
      </c>
      <c r="H11" s="96">
        <v>0</v>
      </c>
      <c r="I11" s="96">
        <f t="shared" si="5"/>
        <v>8937946</v>
      </c>
      <c r="J11" s="92">
        <v>9.0259716341287044E-2</v>
      </c>
      <c r="K11" s="92">
        <v>0.14456835154645969</v>
      </c>
      <c r="L11" s="92">
        <v>0.1824495255520204</v>
      </c>
      <c r="M11" s="92">
        <v>0.22387354261868511</v>
      </c>
      <c r="N11" s="92">
        <v>0.35884886394154769</v>
      </c>
      <c r="O11" s="97" t="s">
        <v>491</v>
      </c>
    </row>
    <row r="12" spans="1:15" x14ac:dyDescent="0.2">
      <c r="A12" s="94" t="s">
        <v>115</v>
      </c>
      <c r="B12" s="95">
        <f t="shared" si="0"/>
        <v>540685.1613967556</v>
      </c>
      <c r="C12" s="95">
        <f t="shared" si="1"/>
        <v>2047122.4349738795</v>
      </c>
      <c r="D12" s="95">
        <f t="shared" si="2"/>
        <v>57809.10530657135</v>
      </c>
      <c r="E12" s="95">
        <f t="shared" si="3"/>
        <v>1049065.2345339565</v>
      </c>
      <c r="F12" s="95">
        <f t="shared" si="4"/>
        <v>2489192.0637888368</v>
      </c>
      <c r="G12" s="95">
        <v>6183874</v>
      </c>
      <c r="H12" s="96">
        <v>0</v>
      </c>
      <c r="I12" s="96">
        <f t="shared" si="5"/>
        <v>6183874</v>
      </c>
      <c r="J12" s="92">
        <v>8.7434698927687654E-2</v>
      </c>
      <c r="K12" s="92">
        <v>0.3310420676381633</v>
      </c>
      <c r="L12" s="92">
        <v>9.3483640362936483E-3</v>
      </c>
      <c r="M12" s="92">
        <v>0.16964531207038769</v>
      </c>
      <c r="N12" s="92">
        <v>0.4025295573274677</v>
      </c>
      <c r="O12" s="97" t="s">
        <v>492</v>
      </c>
    </row>
    <row r="13" spans="1:15" ht="28" x14ac:dyDescent="0.2">
      <c r="A13" s="98" t="s">
        <v>116</v>
      </c>
      <c r="B13" s="99">
        <f t="shared" si="0"/>
        <v>1821298.2838573698</v>
      </c>
      <c r="C13" s="99">
        <f t="shared" si="1"/>
        <v>2696599.5346331745</v>
      </c>
      <c r="D13" s="99">
        <f t="shared" si="2"/>
        <v>3386074.4095694469</v>
      </c>
      <c r="E13" s="99">
        <f t="shared" si="3"/>
        <v>3812580.3727529398</v>
      </c>
      <c r="F13" s="99">
        <f t="shared" si="4"/>
        <v>5304197.3991870685</v>
      </c>
      <c r="G13" s="99">
        <v>17020750</v>
      </c>
      <c r="H13" s="100">
        <v>0</v>
      </c>
      <c r="I13" s="100">
        <f t="shared" si="5"/>
        <v>17020750</v>
      </c>
      <c r="J13" s="92">
        <v>0.10700458463095749</v>
      </c>
      <c r="K13" s="92">
        <v>0.1584301240916631</v>
      </c>
      <c r="L13" s="92">
        <v>0.19893802620739079</v>
      </c>
      <c r="M13" s="92">
        <v>0.22399602677631361</v>
      </c>
      <c r="N13" s="92">
        <v>0.31163123829367501</v>
      </c>
      <c r="O13" s="101" t="s">
        <v>493</v>
      </c>
    </row>
    <row r="14" spans="1:15" ht="28" x14ac:dyDescent="0.2">
      <c r="A14" s="98" t="s">
        <v>117</v>
      </c>
      <c r="B14" s="99">
        <f t="shared" si="0"/>
        <v>2664242.488356208</v>
      </c>
      <c r="C14" s="99">
        <f t="shared" si="1"/>
        <v>3944656.6818245151</v>
      </c>
      <c r="D14" s="99">
        <f t="shared" si="2"/>
        <v>4953237.7406618409</v>
      </c>
      <c r="E14" s="99">
        <f t="shared" si="3"/>
        <v>5577141.6770056142</v>
      </c>
      <c r="F14" s="99">
        <f t="shared" si="4"/>
        <v>7759118.4121518219</v>
      </c>
      <c r="G14" s="99">
        <v>24898397</v>
      </c>
      <c r="H14" s="100">
        <v>0</v>
      </c>
      <c r="I14" s="100">
        <f t="shared" si="5"/>
        <v>24898397</v>
      </c>
      <c r="J14" s="92">
        <v>0.1070045789837879</v>
      </c>
      <c r="K14" s="92">
        <v>0.15843014639956601</v>
      </c>
      <c r="L14" s="92">
        <v>0.1989380176025726</v>
      </c>
      <c r="M14" s="92">
        <v>0.22399601375966549</v>
      </c>
      <c r="N14" s="92">
        <v>0.311631243254408</v>
      </c>
      <c r="O14" s="101" t="s">
        <v>494</v>
      </c>
    </row>
    <row r="15" spans="1:15" x14ac:dyDescent="0.2">
      <c r="A15" s="94" t="s">
        <v>118</v>
      </c>
      <c r="B15" s="95">
        <f t="shared" si="0"/>
        <v>18631074.703820918</v>
      </c>
      <c r="C15" s="95">
        <f t="shared" si="1"/>
        <v>23371832.573382702</v>
      </c>
      <c r="D15" s="95">
        <f t="shared" si="2"/>
        <v>26412403.995438024</v>
      </c>
      <c r="E15" s="95">
        <f t="shared" si="3"/>
        <v>33698512.287242584</v>
      </c>
      <c r="F15" s="95">
        <f t="shared" si="4"/>
        <v>77126169.44011575</v>
      </c>
      <c r="G15" s="95">
        <v>179239993</v>
      </c>
      <c r="H15" s="96">
        <v>0</v>
      </c>
      <c r="I15" s="96">
        <f t="shared" si="5"/>
        <v>179239993</v>
      </c>
      <c r="J15" s="102">
        <v>0.1039448528868271</v>
      </c>
      <c r="K15" s="102">
        <v>0.13039407211638701</v>
      </c>
      <c r="L15" s="102">
        <v>0.14735776069483569</v>
      </c>
      <c r="M15" s="102">
        <v>0.18800777506860639</v>
      </c>
      <c r="N15" s="102">
        <v>0.43029553923334368</v>
      </c>
      <c r="O15" s="97" t="s">
        <v>495</v>
      </c>
    </row>
    <row r="16" spans="1:15" ht="28" x14ac:dyDescent="0.2">
      <c r="A16" s="98" t="s">
        <v>119</v>
      </c>
      <c r="B16" s="99">
        <f t="shared" si="0"/>
        <v>3622214.9877635594</v>
      </c>
      <c r="C16" s="99">
        <f t="shared" si="1"/>
        <v>5297549.2293301234</v>
      </c>
      <c r="D16" s="99">
        <f t="shared" si="2"/>
        <v>6903567.3280006172</v>
      </c>
      <c r="E16" s="99">
        <f t="shared" si="3"/>
        <v>9543837.5986261591</v>
      </c>
      <c r="F16" s="99">
        <f t="shared" si="4"/>
        <v>18397281.856279545</v>
      </c>
      <c r="G16" s="99">
        <v>43764451</v>
      </c>
      <c r="H16" s="100">
        <v>0</v>
      </c>
      <c r="I16" s="100">
        <f t="shared" si="5"/>
        <v>43764451</v>
      </c>
      <c r="J16" s="92">
        <v>8.2766147066795359E-2</v>
      </c>
      <c r="K16" s="92">
        <v>0.1210468567132288</v>
      </c>
      <c r="L16" s="92">
        <v>0.1577437205370317</v>
      </c>
      <c r="M16" s="92">
        <v>0.21807282807286121</v>
      </c>
      <c r="N16" s="92">
        <v>0.42037044761008302</v>
      </c>
      <c r="O16" s="101" t="s">
        <v>496</v>
      </c>
    </row>
    <row r="17" spans="1:15" ht="28" x14ac:dyDescent="0.2">
      <c r="A17" s="98" t="s">
        <v>120</v>
      </c>
      <c r="B17" s="99">
        <f t="shared" si="0"/>
        <v>3301865.5695934091</v>
      </c>
      <c r="C17" s="99">
        <f t="shared" si="1"/>
        <v>4829032.5760716964</v>
      </c>
      <c r="D17" s="99">
        <f t="shared" si="2"/>
        <v>6293014.4158123462</v>
      </c>
      <c r="E17" s="99">
        <f t="shared" si="3"/>
        <v>8699778.5508032367</v>
      </c>
      <c r="F17" s="99">
        <f t="shared" si="4"/>
        <v>16770221.887719307</v>
      </c>
      <c r="G17" s="99">
        <v>39893913</v>
      </c>
      <c r="H17" s="100">
        <v>0</v>
      </c>
      <c r="I17" s="100">
        <f t="shared" si="5"/>
        <v>39893913</v>
      </c>
      <c r="J17" s="92">
        <v>8.276614955252469E-2</v>
      </c>
      <c r="K17" s="92">
        <v>0.1210468518360607</v>
      </c>
      <c r="L17" s="92">
        <v>0.1577437243574564</v>
      </c>
      <c r="M17" s="92">
        <v>0.21807283108085279</v>
      </c>
      <c r="N17" s="92">
        <v>0.42037044317310529</v>
      </c>
      <c r="O17" s="101" t="s">
        <v>497</v>
      </c>
    </row>
    <row r="18" spans="1:15" ht="28" x14ac:dyDescent="0.2">
      <c r="A18" s="98" t="s">
        <v>121</v>
      </c>
      <c r="B18" s="99">
        <f t="shared" si="0"/>
        <v>1144309.5008879693</v>
      </c>
      <c r="C18" s="99">
        <f t="shared" si="1"/>
        <v>1673571.4946691997</v>
      </c>
      <c r="D18" s="99">
        <f t="shared" si="2"/>
        <v>2180935.4159265435</v>
      </c>
      <c r="E18" s="99">
        <f t="shared" si="3"/>
        <v>3015034.3504765118</v>
      </c>
      <c r="F18" s="99">
        <f t="shared" si="4"/>
        <v>5811963.2380397776</v>
      </c>
      <c r="G18" s="99">
        <v>13825814</v>
      </c>
      <c r="H18" s="100">
        <v>0</v>
      </c>
      <c r="I18" s="100">
        <f t="shared" si="5"/>
        <v>13825814</v>
      </c>
      <c r="J18" s="92">
        <v>8.2766157630065701E-2</v>
      </c>
      <c r="K18" s="92">
        <v>0.1210468688982218</v>
      </c>
      <c r="L18" s="92">
        <v>0.1577437260422094</v>
      </c>
      <c r="M18" s="92">
        <v>0.21807282742820869</v>
      </c>
      <c r="N18" s="92">
        <v>0.42037042000129449</v>
      </c>
      <c r="O18" s="101" t="s">
        <v>498</v>
      </c>
    </row>
    <row r="19" spans="1:15" x14ac:dyDescent="0.2">
      <c r="A19" s="94" t="s">
        <v>122</v>
      </c>
      <c r="B19" s="95">
        <f t="shared" si="0"/>
        <v>2650033.0453579719</v>
      </c>
      <c r="C19" s="95">
        <f t="shared" si="1"/>
        <v>4020233.9262930583</v>
      </c>
      <c r="D19" s="95">
        <f t="shared" si="2"/>
        <v>5541205.8625484342</v>
      </c>
      <c r="E19" s="95">
        <f t="shared" si="3"/>
        <v>6753713.681009287</v>
      </c>
      <c r="F19" s="95">
        <f t="shared" si="4"/>
        <v>12816661.484791251</v>
      </c>
      <c r="G19" s="95">
        <v>31781848</v>
      </c>
      <c r="H19" s="96">
        <v>0</v>
      </c>
      <c r="I19" s="96">
        <f t="shared" si="5"/>
        <v>31781848</v>
      </c>
      <c r="J19" s="92">
        <v>8.3381968391453259E-2</v>
      </c>
      <c r="K19" s="92">
        <v>0.12649465588952091</v>
      </c>
      <c r="L19" s="92">
        <v>0.17435127946456841</v>
      </c>
      <c r="M19" s="92">
        <v>0.21250223338206409</v>
      </c>
      <c r="N19" s="92">
        <v>0.40326986287239341</v>
      </c>
      <c r="O19" s="97" t="s">
        <v>499</v>
      </c>
    </row>
    <row r="20" spans="1:15" ht="28" x14ac:dyDescent="0.2">
      <c r="A20" s="98" t="s">
        <v>123</v>
      </c>
      <c r="B20" s="99">
        <f t="shared" si="0"/>
        <v>955941.76258713566</v>
      </c>
      <c r="C20" s="99">
        <f t="shared" si="1"/>
        <v>1423184.4820507423</v>
      </c>
      <c r="D20" s="99">
        <f t="shared" si="2"/>
        <v>1850586.0703178719</v>
      </c>
      <c r="E20" s="99">
        <f t="shared" si="3"/>
        <v>2420235.0046631345</v>
      </c>
      <c r="F20" s="99">
        <f t="shared" si="4"/>
        <v>4017546.6803811165</v>
      </c>
      <c r="G20" s="99">
        <v>10667494</v>
      </c>
      <c r="H20" s="100">
        <v>0</v>
      </c>
      <c r="I20" s="100">
        <f t="shared" si="5"/>
        <v>10667494</v>
      </c>
      <c r="J20" s="92">
        <v>8.9612589666057993E-2</v>
      </c>
      <c r="K20" s="92">
        <v>0.1334131973311391</v>
      </c>
      <c r="L20" s="92">
        <v>0.17347898862824501</v>
      </c>
      <c r="M20" s="92">
        <v>0.22687943435104199</v>
      </c>
      <c r="N20" s="92">
        <v>0.37661579002351597</v>
      </c>
      <c r="O20" s="101" t="s">
        <v>500</v>
      </c>
    </row>
    <row r="21" spans="1:15" ht="28" x14ac:dyDescent="0.2">
      <c r="A21" s="98" t="s">
        <v>124</v>
      </c>
      <c r="B21" s="99">
        <f t="shared" si="0"/>
        <v>959078.0588291164</v>
      </c>
      <c r="C21" s="99">
        <f t="shared" si="1"/>
        <v>1427845.5382689587</v>
      </c>
      <c r="D21" s="99">
        <f t="shared" si="2"/>
        <v>1856646.4661918122</v>
      </c>
      <c r="E21" s="99">
        <f t="shared" si="3"/>
        <v>2428166.0497510224</v>
      </c>
      <c r="F21" s="99">
        <f t="shared" si="4"/>
        <v>4030704.8869590908</v>
      </c>
      <c r="G21" s="99">
        <v>10702441</v>
      </c>
      <c r="H21" s="100">
        <v>0</v>
      </c>
      <c r="I21" s="100">
        <f t="shared" si="5"/>
        <v>10702441</v>
      </c>
      <c r="J21" s="92">
        <v>8.9613019948357242E-2</v>
      </c>
      <c r="K21" s="92">
        <v>0.13341307261296359</v>
      </c>
      <c r="L21" s="92">
        <v>0.17347878546509271</v>
      </c>
      <c r="M21" s="92">
        <v>0.22687964827379309</v>
      </c>
      <c r="N21" s="92">
        <v>0.37661547369979342</v>
      </c>
      <c r="O21" s="101" t="s">
        <v>501</v>
      </c>
    </row>
    <row r="22" spans="1:15" ht="28" x14ac:dyDescent="0.2">
      <c r="A22" s="98" t="s">
        <v>125</v>
      </c>
      <c r="B22" s="99">
        <f t="shared" si="0"/>
        <v>328327.99645704165</v>
      </c>
      <c r="C22" s="99">
        <f t="shared" si="1"/>
        <v>849531.51886625332</v>
      </c>
      <c r="D22" s="99">
        <f t="shared" si="2"/>
        <v>1289408.608680248</v>
      </c>
      <c r="E22" s="99">
        <f t="shared" si="3"/>
        <v>5436232.4166519046</v>
      </c>
      <c r="F22" s="99">
        <f t="shared" si="4"/>
        <v>6055247.4593445528</v>
      </c>
      <c r="G22" s="99">
        <v>13958748</v>
      </c>
      <c r="H22" s="100">
        <v>0</v>
      </c>
      <c r="I22" s="100">
        <f t="shared" si="5"/>
        <v>13958748</v>
      </c>
      <c r="J22" s="92">
        <v>2.3521306957976579E-2</v>
      </c>
      <c r="K22" s="92">
        <v>6.086015155988584E-2</v>
      </c>
      <c r="L22" s="92">
        <v>9.2372797952957386E-2</v>
      </c>
      <c r="M22" s="92">
        <v>0.38944985729751008</v>
      </c>
      <c r="N22" s="92">
        <v>0.43379588623167009</v>
      </c>
      <c r="O22" s="101" t="s">
        <v>502</v>
      </c>
    </row>
    <row r="23" spans="1:15" x14ac:dyDescent="0.2">
      <c r="A23" s="94" t="s">
        <v>126</v>
      </c>
      <c r="B23" s="95">
        <f t="shared" si="0"/>
        <v>1659979.0618393826</v>
      </c>
      <c r="C23" s="95">
        <f t="shared" si="1"/>
        <v>2970300.6663910411</v>
      </c>
      <c r="D23" s="95">
        <f t="shared" si="2"/>
        <v>3925489.9342810232</v>
      </c>
      <c r="E23" s="95">
        <f t="shared" si="3"/>
        <v>5615260.3854873888</v>
      </c>
      <c r="F23" s="95">
        <f t="shared" si="4"/>
        <v>11614861.952001164</v>
      </c>
      <c r="G23" s="95">
        <v>25785892</v>
      </c>
      <c r="H23" s="96">
        <v>0</v>
      </c>
      <c r="I23" s="96">
        <f t="shared" si="5"/>
        <v>25785892</v>
      </c>
      <c r="J23" s="92">
        <v>6.4375475622072048E-2</v>
      </c>
      <c r="K23" s="92">
        <v>0.11519092170210909</v>
      </c>
      <c r="L23" s="92">
        <v>0.1522340175116309</v>
      </c>
      <c r="M23" s="92">
        <v>0.21776482991115409</v>
      </c>
      <c r="N23" s="92">
        <v>0.45043475525303389</v>
      </c>
      <c r="O23" s="97" t="s">
        <v>503</v>
      </c>
    </row>
    <row r="24" spans="1:15" ht="28" x14ac:dyDescent="0.2">
      <c r="A24" s="98" t="s">
        <v>127</v>
      </c>
      <c r="B24" s="99">
        <f t="shared" si="0"/>
        <v>90833.348208268217</v>
      </c>
      <c r="C24" s="99">
        <f t="shared" si="1"/>
        <v>234772.67344451297</v>
      </c>
      <c r="D24" s="99">
        <f t="shared" si="2"/>
        <v>356363.23334815091</v>
      </c>
      <c r="E24" s="99">
        <f t="shared" si="3"/>
        <v>1502345.9626310281</v>
      </c>
      <c r="F24" s="99">
        <f t="shared" si="4"/>
        <v>1673446.7823680399</v>
      </c>
      <c r="G24" s="99">
        <v>3857762</v>
      </c>
      <c r="H24" s="100">
        <v>0</v>
      </c>
      <c r="I24" s="100">
        <f t="shared" si="5"/>
        <v>3857762</v>
      </c>
      <c r="J24" s="92">
        <v>2.3545607066550039E-2</v>
      </c>
      <c r="K24" s="92">
        <v>6.0857220700632382E-2</v>
      </c>
      <c r="L24" s="92">
        <v>9.2375639904211534E-2</v>
      </c>
      <c r="M24" s="92">
        <v>0.38943458995941899</v>
      </c>
      <c r="N24" s="92">
        <v>0.43378694236918708</v>
      </c>
      <c r="O24" s="101" t="s">
        <v>504</v>
      </c>
    </row>
    <row r="25" spans="1:15" ht="28" x14ac:dyDescent="0.2">
      <c r="A25" s="98" t="s">
        <v>128</v>
      </c>
      <c r="B25" s="99">
        <f t="shared" si="0"/>
        <v>536568.98516806681</v>
      </c>
      <c r="C25" s="99">
        <f t="shared" si="1"/>
        <v>1560987.2265957554</v>
      </c>
      <c r="D25" s="99">
        <f t="shared" si="2"/>
        <v>2338961.8758077342</v>
      </c>
      <c r="E25" s="99">
        <f t="shared" si="3"/>
        <v>4418796.4343554666</v>
      </c>
      <c r="F25" s="99">
        <f t="shared" si="4"/>
        <v>25870709.478072975</v>
      </c>
      <c r="G25" s="99">
        <v>34726024</v>
      </c>
      <c r="H25" s="100">
        <v>0</v>
      </c>
      <c r="I25" s="100">
        <f t="shared" si="5"/>
        <v>34726024</v>
      </c>
      <c r="J25" s="92">
        <v>1.5451494970114251E-2</v>
      </c>
      <c r="K25" s="92">
        <v>4.4951510331149788E-2</v>
      </c>
      <c r="L25" s="92">
        <v>6.7354727273347917E-2</v>
      </c>
      <c r="M25" s="92">
        <v>0.12724740483838479</v>
      </c>
      <c r="N25" s="92">
        <v>0.7449948625870032</v>
      </c>
      <c r="O25" s="101" t="s">
        <v>505</v>
      </c>
    </row>
    <row r="26" spans="1:15" ht="28" x14ac:dyDescent="0.2">
      <c r="A26" s="98" t="s">
        <v>129</v>
      </c>
      <c r="B26" s="99">
        <f t="shared" si="0"/>
        <v>15010.365485412885</v>
      </c>
      <c r="C26" s="99">
        <f t="shared" si="1"/>
        <v>43654.879578045162</v>
      </c>
      <c r="D26" s="99">
        <f t="shared" si="2"/>
        <v>65402.306757870443</v>
      </c>
      <c r="E26" s="99">
        <f t="shared" si="3"/>
        <v>123539.46860062637</v>
      </c>
      <c r="F26" s="99">
        <f t="shared" si="4"/>
        <v>723265.9795780452</v>
      </c>
      <c r="G26" s="99">
        <v>970873</v>
      </c>
      <c r="H26" s="100">
        <v>0</v>
      </c>
      <c r="I26" s="100">
        <f t="shared" si="5"/>
        <v>970873</v>
      </c>
      <c r="J26" s="92">
        <v>1.546068897313334E-2</v>
      </c>
      <c r="K26" s="92">
        <v>4.4964562386682047E-2</v>
      </c>
      <c r="L26" s="92">
        <v>6.7364430525795285E-2</v>
      </c>
      <c r="M26" s="92">
        <v>0.1272457557277073</v>
      </c>
      <c r="N26" s="92">
        <v>0.74496456238668207</v>
      </c>
      <c r="O26" s="101" t="s">
        <v>506</v>
      </c>
    </row>
    <row r="27" spans="1:15" ht="28" x14ac:dyDescent="0.2">
      <c r="A27" s="98" t="s">
        <v>130</v>
      </c>
      <c r="B27" s="99">
        <f t="shared" si="0"/>
        <v>1298673.8014889488</v>
      </c>
      <c r="C27" s="99">
        <f t="shared" si="1"/>
        <v>1780024.4428980262</v>
      </c>
      <c r="D27" s="99">
        <f t="shared" si="2"/>
        <v>2198572.6483703195</v>
      </c>
      <c r="E27" s="99">
        <f t="shared" si="3"/>
        <v>3006400.9463344971</v>
      </c>
      <c r="F27" s="99">
        <f t="shared" si="4"/>
        <v>6109703.1609082082</v>
      </c>
      <c r="G27" s="99">
        <v>14393375</v>
      </c>
      <c r="H27" s="100">
        <v>0</v>
      </c>
      <c r="I27" s="100">
        <f t="shared" si="5"/>
        <v>14393375</v>
      </c>
      <c r="J27" s="92">
        <v>9.0227191432791037E-2</v>
      </c>
      <c r="K27" s="92">
        <v>0.12366970518714521</v>
      </c>
      <c r="L27" s="92">
        <v>0.1527489312527687</v>
      </c>
      <c r="M27" s="92">
        <v>0.20887394001299189</v>
      </c>
      <c r="N27" s="92">
        <v>0.42448023211430319</v>
      </c>
      <c r="O27" s="101" t="s">
        <v>507</v>
      </c>
    </row>
    <row r="28" spans="1:15" ht="28" x14ac:dyDescent="0.2">
      <c r="A28" s="98" t="s">
        <v>131</v>
      </c>
      <c r="B28" s="99">
        <f t="shared" si="0"/>
        <v>534484.74707621988</v>
      </c>
      <c r="C28" s="99">
        <f t="shared" si="1"/>
        <v>732590.48627574032</v>
      </c>
      <c r="D28" s="99">
        <f t="shared" si="2"/>
        <v>904848.54873445281</v>
      </c>
      <c r="E28" s="99">
        <f t="shared" si="3"/>
        <v>1237319.5346642388</v>
      </c>
      <c r="F28" s="99">
        <f t="shared" si="4"/>
        <v>2514520.6832493483</v>
      </c>
      <c r="G28" s="99">
        <v>5923764</v>
      </c>
      <c r="H28" s="100">
        <v>0</v>
      </c>
      <c r="I28" s="100">
        <f t="shared" si="5"/>
        <v>5923764</v>
      </c>
      <c r="J28" s="92">
        <v>9.0227218213997026E-2</v>
      </c>
      <c r="K28" s="92">
        <v>0.1236697623800915</v>
      </c>
      <c r="L28" s="92">
        <v>0.15274891922339459</v>
      </c>
      <c r="M28" s="92">
        <v>0.20887387388563061</v>
      </c>
      <c r="N28" s="92">
        <v>0.42448022629688631</v>
      </c>
      <c r="O28" s="101" t="s">
        <v>508</v>
      </c>
    </row>
    <row r="29" spans="1:15" ht="28" x14ac:dyDescent="0.2">
      <c r="A29" s="98" t="s">
        <v>132</v>
      </c>
      <c r="B29" s="99">
        <f t="shared" si="0"/>
        <v>265458.14287982852</v>
      </c>
      <c r="C29" s="99">
        <f t="shared" si="1"/>
        <v>363849.271541283</v>
      </c>
      <c r="D29" s="99">
        <f t="shared" si="2"/>
        <v>449403.23951768642</v>
      </c>
      <c r="E29" s="99">
        <f t="shared" si="3"/>
        <v>614528.3850680691</v>
      </c>
      <c r="F29" s="99">
        <f t="shared" si="4"/>
        <v>1248863.9609931328</v>
      </c>
      <c r="G29" s="99">
        <v>2942103</v>
      </c>
      <c r="H29" s="100">
        <v>0</v>
      </c>
      <c r="I29" s="100">
        <f t="shared" si="5"/>
        <v>2942103</v>
      </c>
      <c r="J29" s="92">
        <v>9.0227345160869124E-2</v>
      </c>
      <c r="K29" s="92">
        <v>0.1236697938655727</v>
      </c>
      <c r="L29" s="92">
        <v>0.15274898245156149</v>
      </c>
      <c r="M29" s="92">
        <v>0.2088738514824495</v>
      </c>
      <c r="N29" s="92">
        <v>0.42448002703954718</v>
      </c>
      <c r="O29" s="101" t="s">
        <v>509</v>
      </c>
    </row>
    <row r="30" spans="1:15" x14ac:dyDescent="0.2">
      <c r="A30" s="94" t="s">
        <v>133</v>
      </c>
      <c r="B30" s="95">
        <f t="shared" si="0"/>
        <v>8776156.4965341985</v>
      </c>
      <c r="C30" s="95">
        <f t="shared" si="1"/>
        <v>11847656.967977798</v>
      </c>
      <c r="D30" s="95">
        <f t="shared" si="2"/>
        <v>14638049.128051888</v>
      </c>
      <c r="E30" s="95">
        <f t="shared" si="3"/>
        <v>19104636.207140937</v>
      </c>
      <c r="F30" s="95">
        <f t="shared" si="4"/>
        <v>34686362.200295173</v>
      </c>
      <c r="G30" s="95">
        <v>89052861</v>
      </c>
      <c r="H30" s="96">
        <v>0</v>
      </c>
      <c r="I30" s="96">
        <f t="shared" si="5"/>
        <v>89052861</v>
      </c>
      <c r="J30" s="92">
        <v>9.8549966817283924E-2</v>
      </c>
      <c r="K30" s="92">
        <v>0.13304072249826759</v>
      </c>
      <c r="L30" s="92">
        <v>0.16437483269686179</v>
      </c>
      <c r="M30" s="92">
        <v>0.21453141418040389</v>
      </c>
      <c r="N30" s="92">
        <v>0.38950306380718269</v>
      </c>
      <c r="O30" s="97" t="s">
        <v>510</v>
      </c>
    </row>
    <row r="31" spans="1:15" x14ac:dyDescent="0.2">
      <c r="A31" s="94" t="s">
        <v>134</v>
      </c>
      <c r="B31" s="95">
        <f t="shared" si="0"/>
        <v>1455992.1862379094</v>
      </c>
      <c r="C31" s="95">
        <f t="shared" si="1"/>
        <v>1965427.3932595777</v>
      </c>
      <c r="D31" s="95">
        <f t="shared" si="2"/>
        <v>2310528.5550773838</v>
      </c>
      <c r="E31" s="95">
        <f t="shared" si="3"/>
        <v>2899684.4596602162</v>
      </c>
      <c r="F31" s="95">
        <f t="shared" si="4"/>
        <v>4307688.4057649132</v>
      </c>
      <c r="G31" s="95">
        <v>12939321</v>
      </c>
      <c r="H31" s="96">
        <v>0</v>
      </c>
      <c r="I31" s="96">
        <f t="shared" si="5"/>
        <v>12939321</v>
      </c>
      <c r="J31" s="92">
        <v>0.112524620591599</v>
      </c>
      <c r="K31" s="92">
        <v>0.1518957133268104</v>
      </c>
      <c r="L31" s="92">
        <v>0.17856644526226559</v>
      </c>
      <c r="M31" s="92">
        <v>0.2240986570825638</v>
      </c>
      <c r="N31" s="92">
        <v>0.3329145637367612</v>
      </c>
      <c r="O31" s="97" t="s">
        <v>511</v>
      </c>
    </row>
    <row r="32" spans="1:15" x14ac:dyDescent="0.2">
      <c r="A32" s="94" t="s">
        <v>135</v>
      </c>
      <c r="B32" s="95">
        <f t="shared" si="0"/>
        <v>1039633.5329407791</v>
      </c>
      <c r="C32" s="95">
        <f t="shared" si="1"/>
        <v>1399102.3109156839</v>
      </c>
      <c r="D32" s="95">
        <f t="shared" si="2"/>
        <v>2312112.6442880514</v>
      </c>
      <c r="E32" s="95">
        <f t="shared" si="3"/>
        <v>4390694.5081088692</v>
      </c>
      <c r="F32" s="95">
        <f t="shared" si="4"/>
        <v>14583573.003746618</v>
      </c>
      <c r="G32" s="95">
        <v>23725116</v>
      </c>
      <c r="H32" s="96">
        <v>0</v>
      </c>
      <c r="I32" s="96">
        <f t="shared" si="5"/>
        <v>23725116</v>
      </c>
      <c r="J32" s="92">
        <v>4.381995573554958E-2</v>
      </c>
      <c r="K32" s="92">
        <v>5.8971358071154799E-2</v>
      </c>
      <c r="L32" s="92">
        <v>9.7454218739670292E-2</v>
      </c>
      <c r="M32" s="92">
        <v>0.185065249337827</v>
      </c>
      <c r="N32" s="92">
        <v>0.61468921811579835</v>
      </c>
      <c r="O32" s="97" t="s">
        <v>512</v>
      </c>
    </row>
    <row r="33" spans="1:15" x14ac:dyDescent="0.2">
      <c r="A33" s="94" t="s">
        <v>136</v>
      </c>
      <c r="B33" s="95">
        <f t="shared" si="0"/>
        <v>2907530.8047028747</v>
      </c>
      <c r="C33" s="95">
        <f t="shared" si="1"/>
        <v>7714447.0576469107</v>
      </c>
      <c r="D33" s="95">
        <f t="shared" si="2"/>
        <v>16638362.63129534</v>
      </c>
      <c r="E33" s="95">
        <f t="shared" si="3"/>
        <v>39734528.087341949</v>
      </c>
      <c r="F33" s="95">
        <f t="shared" si="4"/>
        <v>309787929.4190129</v>
      </c>
      <c r="G33" s="95">
        <v>376782798</v>
      </c>
      <c r="H33" s="96">
        <v>0</v>
      </c>
      <c r="I33" s="96">
        <f t="shared" si="5"/>
        <v>376782798</v>
      </c>
      <c r="J33" s="92">
        <v>7.7167291610347744E-3</v>
      </c>
      <c r="K33" s="92">
        <v>2.0474520330004319E-2</v>
      </c>
      <c r="L33" s="92">
        <v>4.4159029338954429E-2</v>
      </c>
      <c r="M33" s="92">
        <v>0.10545738366575309</v>
      </c>
      <c r="N33" s="92">
        <v>0.82219233750425336</v>
      </c>
      <c r="O33" s="97" t="s">
        <v>513</v>
      </c>
    </row>
    <row r="34" spans="1:15" ht="28" x14ac:dyDescent="0.2">
      <c r="A34" s="98" t="s">
        <v>514</v>
      </c>
      <c r="B34" s="99">
        <f t="shared" si="0"/>
        <v>13033341.492204398</v>
      </c>
      <c r="C34" s="99">
        <f t="shared" si="1"/>
        <v>18933226.015606396</v>
      </c>
      <c r="D34" s="99">
        <f t="shared" si="2"/>
        <v>25816754.475030858</v>
      </c>
      <c r="E34" s="99">
        <f t="shared" si="3"/>
        <v>34656257.760134518</v>
      </c>
      <c r="F34" s="99">
        <f t="shared" si="4"/>
        <v>57846846.257023834</v>
      </c>
      <c r="G34" s="99">
        <v>150286426</v>
      </c>
      <c r="H34" s="100">
        <v>0</v>
      </c>
      <c r="I34" s="100">
        <f t="shared" si="5"/>
        <v>150286426</v>
      </c>
      <c r="J34" s="92">
        <v>8.6723344476928324E-2</v>
      </c>
      <c r="K34" s="92">
        <v>0.1259809453157559</v>
      </c>
      <c r="L34" s="92">
        <v>0.17178367442865969</v>
      </c>
      <c r="M34" s="92">
        <v>0.23060138352171949</v>
      </c>
      <c r="N34" s="92">
        <v>0.3849106522569366</v>
      </c>
      <c r="O34" s="101" t="s">
        <v>515</v>
      </c>
    </row>
    <row r="35" spans="1:15" ht="28" x14ac:dyDescent="0.2">
      <c r="A35" s="98" t="s">
        <v>138</v>
      </c>
      <c r="B35" s="99">
        <f t="shared" si="0"/>
        <v>2187118.9861360355</v>
      </c>
      <c r="C35" s="99">
        <f t="shared" si="1"/>
        <v>3177175.9481534003</v>
      </c>
      <c r="D35" s="99">
        <f t="shared" si="2"/>
        <v>4332297.9181248331</v>
      </c>
      <c r="E35" s="99">
        <f t="shared" si="3"/>
        <v>5815650.6635271115</v>
      </c>
      <c r="F35" s="99">
        <f t="shared" si="4"/>
        <v>9707252.4840586204</v>
      </c>
      <c r="G35" s="99">
        <v>25219496</v>
      </c>
      <c r="H35" s="100">
        <v>0</v>
      </c>
      <c r="I35" s="100">
        <f t="shared" si="5"/>
        <v>25219496</v>
      </c>
      <c r="J35" s="92">
        <v>8.6723342375122622E-2</v>
      </c>
      <c r="K35" s="92">
        <v>0.1259809453826278</v>
      </c>
      <c r="L35" s="92">
        <v>0.1717836834695203</v>
      </c>
      <c r="M35" s="92">
        <v>0.230601383292002</v>
      </c>
      <c r="N35" s="92">
        <v>0.38491064548072729</v>
      </c>
      <c r="O35" s="101" t="s">
        <v>516</v>
      </c>
    </row>
    <row r="36" spans="1:15" ht="28" x14ac:dyDescent="0.2">
      <c r="A36" s="89" t="s">
        <v>139</v>
      </c>
      <c r="B36" s="90">
        <f t="shared" si="0"/>
        <v>7482173.3138048453</v>
      </c>
      <c r="C36" s="90">
        <f t="shared" si="1"/>
        <v>10840407.988523746</v>
      </c>
      <c r="D36" s="90">
        <f t="shared" si="2"/>
        <v>13274754.602449717</v>
      </c>
      <c r="E36" s="90">
        <f t="shared" si="3"/>
        <v>17334235.772597514</v>
      </c>
      <c r="F36" s="90">
        <f t="shared" si="4"/>
        <v>35855132.322624184</v>
      </c>
      <c r="G36" s="90">
        <v>84786704</v>
      </c>
      <c r="H36" s="91">
        <v>0</v>
      </c>
      <c r="I36" s="91">
        <f t="shared" si="5"/>
        <v>84786704</v>
      </c>
      <c r="J36" s="92">
        <v>8.8247012335859229E-2</v>
      </c>
      <c r="K36" s="92">
        <v>0.12785504657102539</v>
      </c>
      <c r="L36" s="92">
        <v>0.15656646592194121</v>
      </c>
      <c r="M36" s="92">
        <v>0.20444521316216649</v>
      </c>
      <c r="N36" s="92">
        <v>0.4228862620090077</v>
      </c>
      <c r="O36" s="93" t="s">
        <v>517</v>
      </c>
    </row>
    <row r="37" spans="1:15" ht="28" x14ac:dyDescent="0.2">
      <c r="A37" s="98" t="s">
        <v>140</v>
      </c>
      <c r="B37" s="99">
        <f t="shared" si="0"/>
        <v>158685.62816929893</v>
      </c>
      <c r="C37" s="99">
        <f t="shared" si="1"/>
        <v>258826.74916901707</v>
      </c>
      <c r="D37" s="99">
        <f t="shared" si="2"/>
        <v>364752.3478752654</v>
      </c>
      <c r="E37" s="99">
        <f t="shared" si="3"/>
        <v>528480.33493344614</v>
      </c>
      <c r="F37" s="99">
        <f t="shared" si="4"/>
        <v>1041820.9398529724</v>
      </c>
      <c r="G37" s="99">
        <v>2352566</v>
      </c>
      <c r="H37" s="100">
        <v>0</v>
      </c>
      <c r="I37" s="100">
        <f t="shared" si="5"/>
        <v>2352566</v>
      </c>
      <c r="J37" s="92">
        <v>6.745214721682577E-2</v>
      </c>
      <c r="K37" s="92">
        <v>0.11001891091217721</v>
      </c>
      <c r="L37" s="92">
        <v>0.15504446968767949</v>
      </c>
      <c r="M37" s="92">
        <v>0.22463996118852611</v>
      </c>
      <c r="N37" s="92">
        <v>0.44284451099479138</v>
      </c>
      <c r="O37" s="101" t="s">
        <v>518</v>
      </c>
    </row>
    <row r="38" spans="1:15" ht="28" x14ac:dyDescent="0.2">
      <c r="A38" s="98" t="s">
        <v>141</v>
      </c>
      <c r="B38" s="99">
        <f t="shared" si="0"/>
        <v>127740.98842146731</v>
      </c>
      <c r="C38" s="99">
        <f t="shared" si="1"/>
        <v>208353.95761029291</v>
      </c>
      <c r="D38" s="99">
        <f t="shared" si="2"/>
        <v>293623.22517430404</v>
      </c>
      <c r="E38" s="99">
        <f t="shared" si="3"/>
        <v>425423.33375324158</v>
      </c>
      <c r="F38" s="99">
        <f t="shared" si="4"/>
        <v>838659.49504069414</v>
      </c>
      <c r="G38" s="99">
        <v>1893801</v>
      </c>
      <c r="H38" s="100">
        <v>0</v>
      </c>
      <c r="I38" s="100">
        <f t="shared" si="5"/>
        <v>1893801</v>
      </c>
      <c r="J38" s="92">
        <v>6.7452170751555893E-2</v>
      </c>
      <c r="K38" s="92">
        <v>0.1100189289214088</v>
      </c>
      <c r="L38" s="92">
        <v>0.15504439229586639</v>
      </c>
      <c r="M38" s="92">
        <v>0.22463993511104999</v>
      </c>
      <c r="N38" s="92">
        <v>0.44284457292011892</v>
      </c>
      <c r="O38" s="101" t="s">
        <v>519</v>
      </c>
    </row>
    <row r="39" spans="1:15" ht="28" x14ac:dyDescent="0.2">
      <c r="A39" s="98" t="s">
        <v>142</v>
      </c>
      <c r="B39" s="99">
        <f t="shared" si="0"/>
        <v>238861.62706540973</v>
      </c>
      <c r="C39" s="99">
        <f t="shared" si="1"/>
        <v>389599.03109649284</v>
      </c>
      <c r="D39" s="99">
        <f t="shared" si="2"/>
        <v>549043.20199812204</v>
      </c>
      <c r="E39" s="99">
        <f t="shared" si="3"/>
        <v>795494.93821525027</v>
      </c>
      <c r="F39" s="99">
        <f t="shared" si="4"/>
        <v>1568201.201624725</v>
      </c>
      <c r="G39" s="99">
        <v>3541200</v>
      </c>
      <c r="H39" s="100">
        <v>0</v>
      </c>
      <c r="I39" s="100">
        <f t="shared" si="5"/>
        <v>3541200</v>
      </c>
      <c r="J39" s="92">
        <v>6.7452170751555893E-2</v>
      </c>
      <c r="K39" s="92">
        <v>0.1100189289214088</v>
      </c>
      <c r="L39" s="92">
        <v>0.15504439229586639</v>
      </c>
      <c r="M39" s="92">
        <v>0.22463993511104999</v>
      </c>
      <c r="N39" s="92">
        <v>0.44284457292011892</v>
      </c>
      <c r="O39" s="101" t="s">
        <v>520</v>
      </c>
    </row>
    <row r="40" spans="1:15" ht="28" x14ac:dyDescent="0.2">
      <c r="A40" s="98" t="s">
        <v>143</v>
      </c>
      <c r="B40" s="99">
        <f t="shared" si="0"/>
        <v>5820410.1491838349</v>
      </c>
      <c r="C40" s="99">
        <f t="shared" si="1"/>
        <v>9493462.5414661281</v>
      </c>
      <c r="D40" s="99">
        <f t="shared" si="2"/>
        <v>13378675.201243991</v>
      </c>
      <c r="E40" s="99">
        <f t="shared" si="3"/>
        <v>19384026.522803579</v>
      </c>
      <c r="F40" s="99">
        <f t="shared" si="4"/>
        <v>38212735.585302465</v>
      </c>
      <c r="G40" s="99">
        <v>86289310</v>
      </c>
      <c r="H40" s="100">
        <v>0</v>
      </c>
      <c r="I40" s="100">
        <f t="shared" si="5"/>
        <v>86289310</v>
      </c>
      <c r="J40" s="92">
        <v>6.7452273626754405E-2</v>
      </c>
      <c r="K40" s="92">
        <v>0.1100189877687761</v>
      </c>
      <c r="L40" s="92">
        <v>0.15504441049817169</v>
      </c>
      <c r="M40" s="92">
        <v>0.2246399527682349</v>
      </c>
      <c r="N40" s="92">
        <v>0.44284437533806292</v>
      </c>
      <c r="O40" s="101" t="s">
        <v>521</v>
      </c>
    </row>
    <row r="41" spans="1:15" ht="28" x14ac:dyDescent="0.2">
      <c r="A41" s="98" t="s">
        <v>144</v>
      </c>
      <c r="B41" s="99">
        <f t="shared" si="0"/>
        <v>1699454.3010246831</v>
      </c>
      <c r="C41" s="99">
        <f t="shared" si="1"/>
        <v>3657597.7289178218</v>
      </c>
      <c r="D41" s="99">
        <f t="shared" si="2"/>
        <v>5509347.5545339109</v>
      </c>
      <c r="E41" s="99">
        <f t="shared" si="3"/>
        <v>8115378.272271568</v>
      </c>
      <c r="F41" s="99">
        <f t="shared" si="4"/>
        <v>16503622.143252019</v>
      </c>
      <c r="G41" s="99">
        <v>35485400</v>
      </c>
      <c r="H41" s="100">
        <v>0</v>
      </c>
      <c r="I41" s="100">
        <f t="shared" si="5"/>
        <v>35485400</v>
      </c>
      <c r="J41" s="92">
        <v>4.7891648425118019E-2</v>
      </c>
      <c r="K41" s="92">
        <v>0.10307331265584781</v>
      </c>
      <c r="L41" s="92">
        <v>0.15525674092821021</v>
      </c>
      <c r="M41" s="92">
        <v>0.2286962602160767</v>
      </c>
      <c r="N41" s="92">
        <v>0.46508203777474733</v>
      </c>
      <c r="O41" s="101" t="s">
        <v>522</v>
      </c>
    </row>
    <row r="42" spans="1:15" ht="28" x14ac:dyDescent="0.2">
      <c r="A42" s="98" t="s">
        <v>145</v>
      </c>
      <c r="B42" s="99">
        <f t="shared" si="0"/>
        <v>341879.04393748351</v>
      </c>
      <c r="C42" s="99">
        <f t="shared" si="1"/>
        <v>735798.96866576956</v>
      </c>
      <c r="D42" s="99">
        <f t="shared" si="2"/>
        <v>1108315.5520479102</v>
      </c>
      <c r="E42" s="99">
        <f t="shared" si="3"/>
        <v>1632571.2172222356</v>
      </c>
      <c r="F42" s="99">
        <f t="shared" si="4"/>
        <v>3320034.1285135662</v>
      </c>
      <c r="G42" s="99">
        <v>6610680</v>
      </c>
      <c r="H42" s="100">
        <v>527918.91038696549</v>
      </c>
      <c r="I42" s="100">
        <f t="shared" si="5"/>
        <v>7138598.9103869656</v>
      </c>
      <c r="J42" s="92">
        <v>4.7891616860562779E-2</v>
      </c>
      <c r="K42" s="92">
        <v>0.1030733030252128</v>
      </c>
      <c r="L42" s="92">
        <v>0.15525673398392839</v>
      </c>
      <c r="M42" s="92">
        <v>0.2286963082975253</v>
      </c>
      <c r="N42" s="92">
        <v>0.46508203783277069</v>
      </c>
      <c r="O42" s="101" t="s">
        <v>523</v>
      </c>
    </row>
    <row r="43" spans="1:15" ht="28" x14ac:dyDescent="0.2">
      <c r="A43" s="98" t="s">
        <v>146</v>
      </c>
      <c r="B43" s="99">
        <f t="shared" si="0"/>
        <v>28858.354834404985</v>
      </c>
      <c r="C43" s="99">
        <f t="shared" si="1"/>
        <v>62109.111030542314</v>
      </c>
      <c r="D43" s="99">
        <f t="shared" si="2"/>
        <v>93553.005123912939</v>
      </c>
      <c r="E43" s="99">
        <f t="shared" si="3"/>
        <v>137805.16287311984</v>
      </c>
      <c r="F43" s="99">
        <f t="shared" si="4"/>
        <v>280243.36613801983</v>
      </c>
      <c r="G43" s="99">
        <v>602569</v>
      </c>
      <c r="H43" s="100">
        <v>0</v>
      </c>
      <c r="I43" s="100">
        <f t="shared" si="5"/>
        <v>602569</v>
      </c>
      <c r="J43" s="92">
        <v>4.7892199622624108E-2</v>
      </c>
      <c r="K43" s="92">
        <v>0.10307385715252911</v>
      </c>
      <c r="L43" s="92">
        <v>0.15525691684091439</v>
      </c>
      <c r="M43" s="92">
        <v>0.22869607111072729</v>
      </c>
      <c r="N43" s="92">
        <v>0.46508095527320498</v>
      </c>
      <c r="O43" s="101" t="s">
        <v>524</v>
      </c>
    </row>
    <row r="44" spans="1:15" x14ac:dyDescent="0.2">
      <c r="A44" s="94" t="s">
        <v>147</v>
      </c>
      <c r="B44" s="95">
        <f t="shared" si="0"/>
        <v>24274321.007418729</v>
      </c>
      <c r="C44" s="95">
        <f t="shared" si="1"/>
        <v>33466176.235897604</v>
      </c>
      <c r="D44" s="95">
        <f t="shared" si="2"/>
        <v>41096103.665931322</v>
      </c>
      <c r="E44" s="95">
        <f t="shared" si="3"/>
        <v>52240270.128817901</v>
      </c>
      <c r="F44" s="95">
        <f t="shared" si="4"/>
        <v>123040060.96193443</v>
      </c>
      <c r="G44" s="95">
        <v>274116932</v>
      </c>
      <c r="H44" s="96">
        <v>0</v>
      </c>
      <c r="I44" s="96">
        <f t="shared" si="5"/>
        <v>274116932</v>
      </c>
      <c r="J44" s="92">
        <v>8.8554620943367079E-2</v>
      </c>
      <c r="K44" s="92">
        <v>0.1220872274898276</v>
      </c>
      <c r="L44" s="92">
        <v>0.14992179930691521</v>
      </c>
      <c r="M44" s="92">
        <v>0.19057658987959891</v>
      </c>
      <c r="N44" s="92">
        <v>0.44885976238029118</v>
      </c>
      <c r="O44" s="97" t="s">
        <v>525</v>
      </c>
    </row>
    <row r="45" spans="1:15" ht="28" x14ac:dyDescent="0.2">
      <c r="A45" s="98" t="s">
        <v>148</v>
      </c>
      <c r="B45" s="99">
        <f t="shared" si="0"/>
        <v>364012.43069063575</v>
      </c>
      <c r="C45" s="99">
        <f t="shared" si="1"/>
        <v>625134.05782690516</v>
      </c>
      <c r="D45" s="99">
        <f t="shared" si="2"/>
        <v>930519.19811494939</v>
      </c>
      <c r="E45" s="99">
        <f t="shared" si="3"/>
        <v>1364458.6264281108</v>
      </c>
      <c r="F45" s="99">
        <f t="shared" si="4"/>
        <v>3137481.6869393988</v>
      </c>
      <c r="G45" s="99">
        <v>6421606</v>
      </c>
      <c r="H45" s="100">
        <v>0</v>
      </c>
      <c r="I45" s="100">
        <f t="shared" si="5"/>
        <v>6421606</v>
      </c>
      <c r="J45" s="92">
        <v>5.6685575335926212E-2</v>
      </c>
      <c r="K45" s="92">
        <v>9.7348553901766194E-2</v>
      </c>
      <c r="L45" s="92">
        <v>0.1449044363847532</v>
      </c>
      <c r="M45" s="92">
        <v>0.21247934339604621</v>
      </c>
      <c r="N45" s="92">
        <v>0.48858209098150818</v>
      </c>
      <c r="O45" s="101" t="s">
        <v>526</v>
      </c>
    </row>
    <row r="46" spans="1:15" x14ac:dyDescent="0.2">
      <c r="A46" s="98" t="s">
        <v>149</v>
      </c>
      <c r="B46" s="99">
        <f t="shared" si="0"/>
        <v>164158.7776962379</v>
      </c>
      <c r="C46" s="99">
        <f t="shared" si="1"/>
        <v>281917.98129956244</v>
      </c>
      <c r="D46" s="99">
        <f t="shared" si="2"/>
        <v>419637.82426176663</v>
      </c>
      <c r="E46" s="99">
        <f t="shared" si="3"/>
        <v>615332.2752807861</v>
      </c>
      <c r="F46" s="99">
        <f t="shared" si="4"/>
        <v>1414915.1414616469</v>
      </c>
      <c r="G46" s="99">
        <v>2895962</v>
      </c>
      <c r="H46" s="100">
        <v>0</v>
      </c>
      <c r="I46" s="100">
        <f t="shared" si="5"/>
        <v>2895962</v>
      </c>
      <c r="J46" s="92">
        <v>5.6685404606910551E-2</v>
      </c>
      <c r="K46" s="92">
        <v>9.7348646598112279E-2</v>
      </c>
      <c r="L46" s="92">
        <v>0.14490446499704299</v>
      </c>
      <c r="M46" s="92">
        <v>0.2124794024509942</v>
      </c>
      <c r="N46" s="92">
        <v>0.48858208134693998</v>
      </c>
      <c r="O46" s="101" t="s">
        <v>527</v>
      </c>
    </row>
    <row r="47" spans="1:15" x14ac:dyDescent="0.2">
      <c r="A47" s="98" t="s">
        <v>150</v>
      </c>
      <c r="B47" s="99">
        <f t="shared" si="0"/>
        <v>438145.79382699879</v>
      </c>
      <c r="C47" s="99">
        <f t="shared" si="1"/>
        <v>752447.67714774783</v>
      </c>
      <c r="D47" s="99">
        <f t="shared" si="2"/>
        <v>1120024.0962374343</v>
      </c>
      <c r="E47" s="99">
        <f t="shared" si="3"/>
        <v>1642337.9653301246</v>
      </c>
      <c r="F47" s="99">
        <f t="shared" si="4"/>
        <v>3776447.4674576954</v>
      </c>
      <c r="G47" s="99">
        <v>7729403</v>
      </c>
      <c r="H47" s="100">
        <v>0</v>
      </c>
      <c r="I47" s="100">
        <f t="shared" si="5"/>
        <v>7729403</v>
      </c>
      <c r="J47" s="92">
        <v>5.6685593159911417E-2</v>
      </c>
      <c r="K47" s="92">
        <v>9.7348744417615152E-2</v>
      </c>
      <c r="L47" s="92">
        <v>0.14490434723580001</v>
      </c>
      <c r="M47" s="92">
        <v>0.21247927754965351</v>
      </c>
      <c r="N47" s="92">
        <v>0.48858203763702002</v>
      </c>
      <c r="O47" s="101" t="s">
        <v>527</v>
      </c>
    </row>
    <row r="48" spans="1:15" x14ac:dyDescent="0.2">
      <c r="A48" s="98" t="s">
        <v>151</v>
      </c>
      <c r="B48" s="99">
        <f t="shared" si="0"/>
        <v>45715.978420580723</v>
      </c>
      <c r="C48" s="99">
        <f t="shared" si="1"/>
        <v>78509.928229794736</v>
      </c>
      <c r="D48" s="99">
        <f t="shared" si="2"/>
        <v>116862.84410829516</v>
      </c>
      <c r="E48" s="99">
        <f t="shared" si="3"/>
        <v>171360.98825178912</v>
      </c>
      <c r="F48" s="99">
        <f t="shared" si="4"/>
        <v>394033.26098954026</v>
      </c>
      <c r="G48" s="99">
        <v>806483</v>
      </c>
      <c r="H48" s="100">
        <v>0</v>
      </c>
      <c r="I48" s="100">
        <f t="shared" si="5"/>
        <v>806483</v>
      </c>
      <c r="J48" s="92">
        <v>5.6685607037694187E-2</v>
      </c>
      <c r="K48" s="92">
        <v>9.7348522200461432E-2</v>
      </c>
      <c r="L48" s="92">
        <v>0.1449042870194352</v>
      </c>
      <c r="M48" s="92">
        <v>0.21247935573569329</v>
      </c>
      <c r="N48" s="92">
        <v>0.48858222800671591</v>
      </c>
      <c r="O48" s="101" t="s">
        <v>527</v>
      </c>
    </row>
    <row r="49" spans="1:15" x14ac:dyDescent="0.2">
      <c r="A49" s="98" t="s">
        <v>152</v>
      </c>
      <c r="B49" s="99">
        <f t="shared" si="0"/>
        <v>321396.38447008783</v>
      </c>
      <c r="C49" s="99">
        <f t="shared" si="1"/>
        <v>551948.50378304871</v>
      </c>
      <c r="D49" s="99">
        <f t="shared" si="2"/>
        <v>821579.82474484493</v>
      </c>
      <c r="E49" s="99">
        <f t="shared" si="3"/>
        <v>1204717.6772161433</v>
      </c>
      <c r="F49" s="99">
        <f t="shared" si="4"/>
        <v>2770166.6097858753</v>
      </c>
      <c r="G49" s="99">
        <v>5669809</v>
      </c>
      <c r="H49" s="100">
        <v>0</v>
      </c>
      <c r="I49" s="100">
        <f t="shared" si="5"/>
        <v>5669809</v>
      </c>
      <c r="J49" s="92">
        <v>5.6685575205458923E-2</v>
      </c>
      <c r="K49" s="92">
        <v>9.7348694423930099E-2</v>
      </c>
      <c r="L49" s="92">
        <v>0.14490432124694941</v>
      </c>
      <c r="M49" s="92">
        <v>0.21247941107295559</v>
      </c>
      <c r="N49" s="92">
        <v>0.48858199805070601</v>
      </c>
      <c r="O49" s="101" t="s">
        <v>527</v>
      </c>
    </row>
    <row r="50" spans="1:15" x14ac:dyDescent="0.2">
      <c r="A50" s="98" t="s">
        <v>153</v>
      </c>
      <c r="B50" s="99">
        <f t="shared" si="0"/>
        <v>280380.81799639331</v>
      </c>
      <c r="C50" s="99">
        <f t="shared" si="1"/>
        <v>481511.50540833257</v>
      </c>
      <c r="D50" s="99">
        <f t="shared" si="2"/>
        <v>716733.62800561532</v>
      </c>
      <c r="E50" s="99">
        <f t="shared" si="3"/>
        <v>1050977.1575585338</v>
      </c>
      <c r="F50" s="99">
        <f t="shared" si="4"/>
        <v>2416651.8910311251</v>
      </c>
      <c r="G50" s="99">
        <v>4946255</v>
      </c>
      <c r="H50" s="100">
        <v>0</v>
      </c>
      <c r="I50" s="100">
        <f t="shared" si="5"/>
        <v>4946255</v>
      </c>
      <c r="J50" s="92">
        <v>5.668547577842091E-2</v>
      </c>
      <c r="K50" s="92">
        <v>9.7348702282501115E-2</v>
      </c>
      <c r="L50" s="92">
        <v>0.1449043019427052</v>
      </c>
      <c r="M50" s="92">
        <v>0.2124793722843917</v>
      </c>
      <c r="N50" s="92">
        <v>0.48858214771198111</v>
      </c>
      <c r="O50" s="101" t="s">
        <v>527</v>
      </c>
    </row>
    <row r="51" spans="1:15" x14ac:dyDescent="0.2">
      <c r="A51" s="98" t="s">
        <v>154</v>
      </c>
      <c r="B51" s="99">
        <f t="shared" si="0"/>
        <v>5569.1428067702682</v>
      </c>
      <c r="C51" s="99">
        <f t="shared" si="1"/>
        <v>9565.568302537713</v>
      </c>
      <c r="D51" s="99">
        <f t="shared" si="2"/>
        <v>14238.836750643128</v>
      </c>
      <c r="E51" s="99">
        <f t="shared" si="3"/>
        <v>20879.797176898202</v>
      </c>
      <c r="F51" s="99">
        <f t="shared" si="4"/>
        <v>48012.761470489124</v>
      </c>
      <c r="G51" s="99">
        <v>85986</v>
      </c>
      <c r="H51" s="100">
        <v>12280.106507338431</v>
      </c>
      <c r="I51" s="100">
        <f t="shared" si="5"/>
        <v>98266.106507338438</v>
      </c>
      <c r="J51" s="92">
        <v>5.6674096539628023E-2</v>
      </c>
      <c r="K51" s="92">
        <v>9.7343515913326267E-2</v>
      </c>
      <c r="L51" s="92">
        <v>0.1449007929257865</v>
      </c>
      <c r="M51" s="92">
        <v>0.2124821865750722</v>
      </c>
      <c r="N51" s="92">
        <v>0.48859940804618701</v>
      </c>
      <c r="O51" s="101" t="s">
        <v>527</v>
      </c>
    </row>
    <row r="52" spans="1:15" x14ac:dyDescent="0.2">
      <c r="A52" s="98" t="s">
        <v>155</v>
      </c>
      <c r="B52" s="99">
        <f t="shared" si="0"/>
        <v>116371.49014848885</v>
      </c>
      <c r="C52" s="99">
        <f t="shared" si="1"/>
        <v>199850.37869880034</v>
      </c>
      <c r="D52" s="99">
        <f t="shared" si="2"/>
        <v>297479.4711219258</v>
      </c>
      <c r="E52" s="99">
        <f t="shared" si="3"/>
        <v>436207.01821336738</v>
      </c>
      <c r="F52" s="99">
        <f t="shared" si="4"/>
        <v>1003028.6418174176</v>
      </c>
      <c r="G52" s="99">
        <v>2052937</v>
      </c>
      <c r="H52" s="100">
        <v>0</v>
      </c>
      <c r="I52" s="100">
        <f t="shared" si="5"/>
        <v>2052937</v>
      </c>
      <c r="J52" s="92">
        <v>5.6685368400729713E-2</v>
      </c>
      <c r="K52" s="92">
        <v>9.7348520046548107E-2</v>
      </c>
      <c r="L52" s="92">
        <v>0.14490433516563139</v>
      </c>
      <c r="M52" s="92">
        <v>0.21247949557797799</v>
      </c>
      <c r="N52" s="92">
        <v>0.48858228080911281</v>
      </c>
      <c r="O52" s="101" t="s">
        <v>527</v>
      </c>
    </row>
    <row r="53" spans="1:15" x14ac:dyDescent="0.2">
      <c r="A53" s="98" t="s">
        <v>156</v>
      </c>
      <c r="B53" s="99">
        <f t="shared" si="0"/>
        <v>66322.350839980107</v>
      </c>
      <c r="C53" s="99">
        <f t="shared" si="1"/>
        <v>113897.39622022622</v>
      </c>
      <c r="D53" s="99">
        <f t="shared" si="2"/>
        <v>169538.06841204665</v>
      </c>
      <c r="E53" s="99">
        <f t="shared" si="3"/>
        <v>248601.67905270582</v>
      </c>
      <c r="F53" s="99">
        <f t="shared" si="4"/>
        <v>571642.50547504122</v>
      </c>
      <c r="G53" s="99">
        <v>1170002</v>
      </c>
      <c r="H53" s="100">
        <v>0</v>
      </c>
      <c r="I53" s="100">
        <f t="shared" si="5"/>
        <v>1170002</v>
      </c>
      <c r="J53" s="92">
        <v>5.668567305011453E-2</v>
      </c>
      <c r="K53" s="92">
        <v>9.7348035490730969E-2</v>
      </c>
      <c r="L53" s="92">
        <v>0.14490408427681889</v>
      </c>
      <c r="M53" s="92">
        <v>0.2124797043532454</v>
      </c>
      <c r="N53" s="92">
        <v>0.48858250282909022</v>
      </c>
      <c r="O53" s="101" t="s">
        <v>527</v>
      </c>
    </row>
    <row r="54" spans="1:15" x14ac:dyDescent="0.2">
      <c r="A54" s="98" t="s">
        <v>157</v>
      </c>
      <c r="B54" s="99">
        <f t="shared" si="0"/>
        <v>791158.93036679586</v>
      </c>
      <c r="C54" s="99">
        <f t="shared" si="1"/>
        <v>1358692.4147135855</v>
      </c>
      <c r="D54" s="99">
        <f t="shared" si="2"/>
        <v>2022425.5323286266</v>
      </c>
      <c r="E54" s="99">
        <f t="shared" si="3"/>
        <v>2965566.6061092196</v>
      </c>
      <c r="F54" s="99">
        <f t="shared" si="4"/>
        <v>6819121.5164817711</v>
      </c>
      <c r="G54" s="99">
        <v>13956965</v>
      </c>
      <c r="H54" s="100">
        <v>0</v>
      </c>
      <c r="I54" s="100">
        <f t="shared" si="5"/>
        <v>13956965</v>
      </c>
      <c r="J54" s="92">
        <v>5.6685599653420057E-2</v>
      </c>
      <c r="K54" s="92">
        <v>9.7348701147676839E-2</v>
      </c>
      <c r="L54" s="92">
        <v>0.1449043923466618</v>
      </c>
      <c r="M54" s="92">
        <v>0.21247933244148851</v>
      </c>
      <c r="N54" s="92">
        <v>0.48858197441075268</v>
      </c>
      <c r="O54" s="101" t="s">
        <v>527</v>
      </c>
    </row>
    <row r="55" spans="1:15" x14ac:dyDescent="0.2">
      <c r="A55" s="98" t="s">
        <v>158</v>
      </c>
      <c r="B55" s="99">
        <f t="shared" si="0"/>
        <v>110179.7935538688</v>
      </c>
      <c r="C55" s="99">
        <f t="shared" si="1"/>
        <v>189217.73135328345</v>
      </c>
      <c r="D55" s="99">
        <f t="shared" si="2"/>
        <v>281651.88643254712</v>
      </c>
      <c r="E55" s="99">
        <f t="shared" si="3"/>
        <v>412998.01030654396</v>
      </c>
      <c r="F55" s="99">
        <f t="shared" si="4"/>
        <v>949661.57835375669</v>
      </c>
      <c r="G55" s="99">
        <v>1943709</v>
      </c>
      <c r="H55" s="100">
        <v>0</v>
      </c>
      <c r="I55" s="100">
        <f t="shared" si="5"/>
        <v>1943709</v>
      </c>
      <c r="J55" s="92">
        <v>5.6685333840543417E-2</v>
      </c>
      <c r="K55" s="92">
        <v>9.7348796220670608E-2</v>
      </c>
      <c r="L55" s="92">
        <v>0.14490434855863049</v>
      </c>
      <c r="M55" s="92">
        <v>0.21247934248724679</v>
      </c>
      <c r="N55" s="92">
        <v>0.48858217889290873</v>
      </c>
      <c r="O55" s="101" t="s">
        <v>527</v>
      </c>
    </row>
    <row r="56" spans="1:15" x14ac:dyDescent="0.2">
      <c r="A56" s="98" t="s">
        <v>159</v>
      </c>
      <c r="B56" s="99">
        <f t="shared" si="0"/>
        <v>76841.480844108664</v>
      </c>
      <c r="C56" s="99">
        <f t="shared" si="1"/>
        <v>131963.99881661718</v>
      </c>
      <c r="D56" s="99">
        <f t="shared" si="2"/>
        <v>196428.81775810287</v>
      </c>
      <c r="E56" s="99">
        <f t="shared" si="3"/>
        <v>288032.74597753648</v>
      </c>
      <c r="F56" s="99">
        <f t="shared" si="4"/>
        <v>662311.95660363464</v>
      </c>
      <c r="G56" s="99">
        <v>1355579</v>
      </c>
      <c r="H56" s="100">
        <v>0</v>
      </c>
      <c r="I56" s="100">
        <f t="shared" si="5"/>
        <v>1355579</v>
      </c>
      <c r="J56" s="92">
        <v>5.668535794970906E-2</v>
      </c>
      <c r="K56" s="92">
        <v>9.7348807274690141E-2</v>
      </c>
      <c r="L56" s="92">
        <v>0.14490399877698229</v>
      </c>
      <c r="M56" s="92">
        <v>0.21247949841177571</v>
      </c>
      <c r="N56" s="92">
        <v>0.48858233758684272</v>
      </c>
      <c r="O56" s="101" t="s">
        <v>527</v>
      </c>
    </row>
    <row r="57" spans="1:15" ht="28" x14ac:dyDescent="0.2">
      <c r="A57" s="98" t="s">
        <v>160</v>
      </c>
      <c r="B57" s="99">
        <f t="shared" si="0"/>
        <v>441324.03447176318</v>
      </c>
      <c r="C57" s="99">
        <f t="shared" si="1"/>
        <v>757899.58811685315</v>
      </c>
      <c r="D57" s="99">
        <f t="shared" si="2"/>
        <v>1128137.0223523665</v>
      </c>
      <c r="E57" s="99">
        <f t="shared" si="3"/>
        <v>1654226.2729954848</v>
      </c>
      <c r="F57" s="99">
        <f t="shared" si="4"/>
        <v>3803776.0820635324</v>
      </c>
      <c r="G57" s="99">
        <v>7785363</v>
      </c>
      <c r="H57" s="100">
        <v>0</v>
      </c>
      <c r="I57" s="100">
        <f t="shared" si="5"/>
        <v>7785363</v>
      </c>
      <c r="J57" s="92">
        <v>5.6686378589124641E-2</v>
      </c>
      <c r="K57" s="92">
        <v>9.7349293554694002E-2</v>
      </c>
      <c r="L57" s="92">
        <v>0.1449048711476095</v>
      </c>
      <c r="M57" s="92">
        <v>0.21247901645632769</v>
      </c>
      <c r="N57" s="92">
        <v>0.48858044025224417</v>
      </c>
      <c r="O57" s="101" t="s">
        <v>528</v>
      </c>
    </row>
    <row r="58" spans="1:15" x14ac:dyDescent="0.2">
      <c r="A58" s="94" t="s">
        <v>161</v>
      </c>
      <c r="B58" s="95">
        <f t="shared" si="0"/>
        <v>3049594.2107018712</v>
      </c>
      <c r="C58" s="95">
        <f t="shared" si="1"/>
        <v>4689898.119464525</v>
      </c>
      <c r="D58" s="95">
        <f t="shared" si="2"/>
        <v>5617396.7544407081</v>
      </c>
      <c r="E58" s="95">
        <f t="shared" si="3"/>
        <v>9324198.7787628714</v>
      </c>
      <c r="F58" s="95">
        <f t="shared" si="4"/>
        <v>26262918.136630021</v>
      </c>
      <c r="G58" s="95">
        <v>48944006</v>
      </c>
      <c r="H58" s="96">
        <v>0</v>
      </c>
      <c r="I58" s="96">
        <f t="shared" si="5"/>
        <v>48944006</v>
      </c>
      <c r="J58" s="92">
        <v>6.2307817850093247E-2</v>
      </c>
      <c r="K58" s="92">
        <v>9.5821705306764732E-2</v>
      </c>
      <c r="L58" s="92">
        <v>0.11477190392712661</v>
      </c>
      <c r="M58" s="92">
        <v>0.1905074704911337</v>
      </c>
      <c r="N58" s="92">
        <v>0.53659110242488162</v>
      </c>
      <c r="O58" s="97" t="s">
        <v>529</v>
      </c>
    </row>
    <row r="59" spans="1:15" x14ac:dyDescent="0.2">
      <c r="A59" s="94" t="s">
        <v>162</v>
      </c>
      <c r="B59" s="95">
        <f t="shared" si="0"/>
        <v>4040308.9476586543</v>
      </c>
      <c r="C59" s="95">
        <f t="shared" si="1"/>
        <v>7986942.1210538177</v>
      </c>
      <c r="D59" s="95">
        <f t="shared" si="2"/>
        <v>11430696.721770296</v>
      </c>
      <c r="E59" s="95">
        <f t="shared" si="3"/>
        <v>14994028.908476468</v>
      </c>
      <c r="F59" s="95">
        <f t="shared" si="4"/>
        <v>36922658.934075028</v>
      </c>
      <c r="G59" s="95">
        <v>68548644</v>
      </c>
      <c r="H59" s="96">
        <v>6825991.6330342731</v>
      </c>
      <c r="I59" s="96">
        <f t="shared" si="5"/>
        <v>75374635.633034274</v>
      </c>
      <c r="J59" s="92">
        <v>5.3603031228291832E-2</v>
      </c>
      <c r="K59" s="92">
        <v>0.1059632601070034</v>
      </c>
      <c r="L59" s="92">
        <v>0.1516517675444734</v>
      </c>
      <c r="M59" s="92">
        <v>0.1989267182859199</v>
      </c>
      <c r="N59" s="92">
        <v>0.48985522283431138</v>
      </c>
      <c r="O59" s="97" t="s">
        <v>530</v>
      </c>
    </row>
    <row r="60" spans="1:15" x14ac:dyDescent="0.2">
      <c r="A60" s="94" t="s">
        <v>163</v>
      </c>
      <c r="B60" s="95">
        <f t="shared" si="0"/>
        <v>8777472.6572384294</v>
      </c>
      <c r="C60" s="95">
        <f t="shared" si="1"/>
        <v>12848017.032731077</v>
      </c>
      <c r="D60" s="95">
        <f t="shared" si="2"/>
        <v>16423670.541651919</v>
      </c>
      <c r="E60" s="95">
        <f t="shared" si="3"/>
        <v>27139814.879327554</v>
      </c>
      <c r="F60" s="95">
        <f t="shared" si="4"/>
        <v>62325070.146961093</v>
      </c>
      <c r="G60" s="95">
        <v>111898867</v>
      </c>
      <c r="H60" s="96">
        <v>15615178.257910075</v>
      </c>
      <c r="I60" s="96">
        <f t="shared" si="5"/>
        <v>127514045.25791007</v>
      </c>
      <c r="J60" s="92">
        <v>6.883533997753033E-2</v>
      </c>
      <c r="K60" s="92">
        <v>0.10075766168930381</v>
      </c>
      <c r="L60" s="92">
        <v>0.12879891394264359</v>
      </c>
      <c r="M60" s="92">
        <v>0.21283784719114299</v>
      </c>
      <c r="N60" s="92">
        <v>0.48877023719937929</v>
      </c>
      <c r="O60" s="97" t="s">
        <v>531</v>
      </c>
    </row>
    <row r="61" spans="1:15" ht="28" x14ac:dyDescent="0.2">
      <c r="A61" s="98" t="s">
        <v>164</v>
      </c>
      <c r="B61" s="99">
        <f t="shared" si="0"/>
        <v>7856.6306231460958</v>
      </c>
      <c r="C61" s="99">
        <f t="shared" si="1"/>
        <v>11690.443860685809</v>
      </c>
      <c r="D61" s="99">
        <f t="shared" si="2"/>
        <v>14698.707207338974</v>
      </c>
      <c r="E61" s="99">
        <f t="shared" si="3"/>
        <v>19217.739496732451</v>
      </c>
      <c r="F61" s="99">
        <f t="shared" si="4"/>
        <v>54580.47881209667</v>
      </c>
      <c r="G61" s="99">
        <v>108044</v>
      </c>
      <c r="H61" s="100">
        <v>0</v>
      </c>
      <c r="I61" s="100">
        <f t="shared" si="5"/>
        <v>108044</v>
      </c>
      <c r="J61" s="92">
        <v>7.27169544180713E-2</v>
      </c>
      <c r="K61" s="92">
        <v>0.1082007687672227</v>
      </c>
      <c r="L61" s="92">
        <v>0.1360437155912311</v>
      </c>
      <c r="M61" s="92">
        <v>0.17786956699800499</v>
      </c>
      <c r="N61" s="92">
        <v>0.5051689942254699</v>
      </c>
      <c r="O61" s="101" t="s">
        <v>532</v>
      </c>
    </row>
    <row r="62" spans="1:15" x14ac:dyDescent="0.2">
      <c r="A62" s="98" t="s">
        <v>165</v>
      </c>
      <c r="B62" s="99">
        <f t="shared" si="0"/>
        <v>244.71525042205965</v>
      </c>
      <c r="C62" s="99">
        <f t="shared" si="1"/>
        <v>364.85968861376858</v>
      </c>
      <c r="D62" s="99">
        <f t="shared" si="2"/>
        <v>458.44588257362585</v>
      </c>
      <c r="E62" s="99">
        <f t="shared" si="3"/>
        <v>599.45751266178956</v>
      </c>
      <c r="F62" s="99">
        <f t="shared" si="4"/>
        <v>1703.5216657287565</v>
      </c>
      <c r="G62" s="99">
        <v>3371</v>
      </c>
      <c r="H62" s="100">
        <v>0</v>
      </c>
      <c r="I62" s="100">
        <f t="shared" si="5"/>
        <v>3371</v>
      </c>
      <c r="J62" s="92">
        <v>7.259425998874508E-2</v>
      </c>
      <c r="K62" s="92">
        <v>0.1082348527480773</v>
      </c>
      <c r="L62" s="92">
        <v>0.1359969986869255</v>
      </c>
      <c r="M62" s="92">
        <v>0.17782779966235229</v>
      </c>
      <c r="N62" s="92">
        <v>0.50534608891389987</v>
      </c>
      <c r="O62" s="101" t="s">
        <v>533</v>
      </c>
    </row>
    <row r="63" spans="1:15" x14ac:dyDescent="0.2">
      <c r="A63" s="98" t="s">
        <v>166</v>
      </c>
      <c r="B63" s="99">
        <f t="shared" si="0"/>
        <v>9653.7213490208014</v>
      </c>
      <c r="C63" s="99">
        <f t="shared" si="1"/>
        <v>14364.272127759865</v>
      </c>
      <c r="D63" s="99">
        <f t="shared" si="2"/>
        <v>18060.904032492304</v>
      </c>
      <c r="E63" s="99">
        <f t="shared" si="3"/>
        <v>23613.437317576027</v>
      </c>
      <c r="F63" s="99">
        <f t="shared" si="4"/>
        <v>67064.665173151006</v>
      </c>
      <c r="G63" s="99">
        <v>132757</v>
      </c>
      <c r="H63" s="100">
        <v>0</v>
      </c>
      <c r="I63" s="100">
        <f t="shared" si="5"/>
        <v>132757</v>
      </c>
      <c r="J63" s="92">
        <v>7.2717230345825848E-2</v>
      </c>
      <c r="K63" s="92">
        <v>0.1081997343097529</v>
      </c>
      <c r="L63" s="92">
        <v>0.13604483403882511</v>
      </c>
      <c r="M63" s="92">
        <v>0.1778696213199758</v>
      </c>
      <c r="N63" s="92">
        <v>0.50516857998562037</v>
      </c>
      <c r="O63" s="101" t="s">
        <v>533</v>
      </c>
    </row>
    <row r="64" spans="1:15" x14ac:dyDescent="0.2">
      <c r="A64" s="98" t="s">
        <v>167</v>
      </c>
      <c r="B64" s="99">
        <f t="shared" si="0"/>
        <v>1527263.1279780308</v>
      </c>
      <c r="C64" s="99">
        <f t="shared" si="1"/>
        <v>2272547.3523893808</v>
      </c>
      <c r="D64" s="99">
        <f t="shared" si="2"/>
        <v>2857325.9363962216</v>
      </c>
      <c r="E64" s="99">
        <f t="shared" si="3"/>
        <v>3735728.9574181046</v>
      </c>
      <c r="F64" s="99">
        <f t="shared" si="4"/>
        <v>10609804.62581826</v>
      </c>
      <c r="G64" s="99">
        <v>21002670</v>
      </c>
      <c r="H64" s="100">
        <v>0</v>
      </c>
      <c r="I64" s="100">
        <f t="shared" si="5"/>
        <v>21002670</v>
      </c>
      <c r="J64" s="92">
        <v>7.2717570098374679E-2</v>
      </c>
      <c r="K64" s="92">
        <v>0.1082027833789409</v>
      </c>
      <c r="L64" s="92">
        <v>0.13604584257126459</v>
      </c>
      <c r="M64" s="92">
        <v>0.17786924031173679</v>
      </c>
      <c r="N64" s="92">
        <v>0.50516456363968298</v>
      </c>
      <c r="O64" s="101" t="s">
        <v>533</v>
      </c>
    </row>
    <row r="65" spans="1:15" x14ac:dyDescent="0.2">
      <c r="A65" s="98" t="s">
        <v>168</v>
      </c>
      <c r="B65" s="99">
        <f t="shared" si="0"/>
        <v>926270.5738611765</v>
      </c>
      <c r="C65" s="99">
        <f t="shared" si="1"/>
        <v>1378278.5245335079</v>
      </c>
      <c r="D65" s="99">
        <f t="shared" si="2"/>
        <v>1732941.6703750594</v>
      </c>
      <c r="E65" s="99">
        <f t="shared" si="3"/>
        <v>2265684.115114056</v>
      </c>
      <c r="F65" s="99">
        <f t="shared" si="4"/>
        <v>6434747.4085799903</v>
      </c>
      <c r="G65" s="99">
        <v>1694882</v>
      </c>
      <c r="H65" s="100">
        <v>11043040.292463791</v>
      </c>
      <c r="I65" s="100">
        <f t="shared" si="5"/>
        <v>12737922.292463791</v>
      </c>
      <c r="J65" s="92">
        <v>7.271755570444885E-2</v>
      </c>
      <c r="K65" s="92">
        <v>0.1082027738031458</v>
      </c>
      <c r="L65" s="92">
        <v>0.1360458660829113</v>
      </c>
      <c r="M65" s="92">
        <v>0.1778692052827576</v>
      </c>
      <c r="N65" s="92">
        <v>0.50516459912673639</v>
      </c>
      <c r="O65" s="101" t="s">
        <v>533</v>
      </c>
    </row>
    <row r="66" spans="1:15" x14ac:dyDescent="0.2">
      <c r="A66" s="98" t="s">
        <v>169</v>
      </c>
      <c r="B66" s="99">
        <f t="shared" si="0"/>
        <v>681995.48428146401</v>
      </c>
      <c r="C66" s="99">
        <f t="shared" si="1"/>
        <v>1014800.817990172</v>
      </c>
      <c r="D66" s="99">
        <f t="shared" si="2"/>
        <v>1275932.290019016</v>
      </c>
      <c r="E66" s="99">
        <f t="shared" si="3"/>
        <v>1668180.8575956589</v>
      </c>
      <c r="F66" s="99">
        <f t="shared" si="4"/>
        <v>4737783.5501136901</v>
      </c>
      <c r="G66" s="99">
        <v>9378693</v>
      </c>
      <c r="H66" s="100">
        <v>0</v>
      </c>
      <c r="I66" s="100">
        <f t="shared" si="5"/>
        <v>9378693</v>
      </c>
      <c r="J66" s="92">
        <v>7.2717540096627967E-2</v>
      </c>
      <c r="K66" s="92">
        <v>0.10820279733969029</v>
      </c>
      <c r="L66" s="92">
        <v>0.13604585308624731</v>
      </c>
      <c r="M66" s="92">
        <v>0.17786922523166701</v>
      </c>
      <c r="N66" s="92">
        <v>0.50516458424576749</v>
      </c>
      <c r="O66" s="101" t="s">
        <v>533</v>
      </c>
    </row>
    <row r="67" spans="1:15" x14ac:dyDescent="0.2">
      <c r="A67" s="98" t="s">
        <v>170</v>
      </c>
      <c r="B67" s="99">
        <f>I67*J67</f>
        <v>805579.93594107754</v>
      </c>
      <c r="C67" s="99">
        <f>I67*K67</f>
        <v>1198692.4114259738</v>
      </c>
      <c r="D67" s="99">
        <f>I67*L67</f>
        <v>1507143.3346605815</v>
      </c>
      <c r="E67" s="99">
        <f>I67*M67</f>
        <v>1970471.2174269466</v>
      </c>
      <c r="F67" s="99">
        <f>I67*N67</f>
        <v>5596315.0433869185</v>
      </c>
      <c r="G67" s="99">
        <v>11063471</v>
      </c>
      <c r="H67" s="100">
        <v>14730.94284149829</v>
      </c>
      <c r="I67" s="100">
        <f>SUM(G67:H67)</f>
        <v>11078201.942841498</v>
      </c>
      <c r="J67" s="92">
        <v>7.2717570964810435E-2</v>
      </c>
      <c r="K67" s="92">
        <v>0.1082027947866164</v>
      </c>
      <c r="L67" s="92">
        <v>0.13604584412134371</v>
      </c>
      <c r="M67" s="92">
        <v>0.1778692271176934</v>
      </c>
      <c r="N67" s="92">
        <v>0.50516456300953605</v>
      </c>
      <c r="O67" s="101" t="s">
        <v>533</v>
      </c>
    </row>
    <row r="68" spans="1:15" ht="28" x14ac:dyDescent="0.2">
      <c r="A68" s="98" t="s">
        <v>171</v>
      </c>
      <c r="B68" s="99">
        <f>I68*J68</f>
        <v>125885.30630084213</v>
      </c>
      <c r="C68" s="99">
        <f>I68*K68</f>
        <v>187311.72193758591</v>
      </c>
      <c r="D68" s="99">
        <f>I68*L68</f>
        <v>235510.79543674318</v>
      </c>
      <c r="E68" s="99">
        <f>I68*M68</f>
        <v>307910.31231427094</v>
      </c>
      <c r="F68" s="99">
        <f>I68*N68</f>
        <v>874485.86401055788</v>
      </c>
      <c r="G68" s="99">
        <v>1731104</v>
      </c>
      <c r="H68" s="100">
        <v>0</v>
      </c>
      <c r="I68" s="100">
        <f>SUM(G68:H68)</f>
        <v>1731104</v>
      </c>
      <c r="J68" s="92">
        <v>7.2719666929798629E-2</v>
      </c>
      <c r="K68" s="92">
        <v>0.1082036214679106</v>
      </c>
      <c r="L68" s="92">
        <v>0.13604658959643279</v>
      </c>
      <c r="M68" s="92">
        <v>0.1778693321223167</v>
      </c>
      <c r="N68" s="92">
        <v>0.50516078988354129</v>
      </c>
      <c r="O68" s="101" t="s">
        <v>534</v>
      </c>
    </row>
    <row r="69" spans="1:15" x14ac:dyDescent="0.2">
      <c r="A69" s="103" t="s">
        <v>535</v>
      </c>
      <c r="B69" s="104">
        <f>SUM(B2:B68)</f>
        <v>210723234.01233107</v>
      </c>
      <c r="C69" s="104">
        <f>SUM(C2:C68)</f>
        <v>305210232.22971833</v>
      </c>
      <c r="D69" s="104">
        <f>SUM(D2:D68)</f>
        <v>387820239.80992258</v>
      </c>
      <c r="E69" s="104">
        <f>SUM(E2:E68)</f>
        <v>535799894.3987819</v>
      </c>
      <c r="F69" s="104">
        <f>SUM(F2:F68)</f>
        <v>1280405820.6923895</v>
      </c>
      <c r="G69" s="104">
        <v>2685920281</v>
      </c>
      <c r="H69" s="105">
        <v>34039140.143143937</v>
      </c>
      <c r="I69" s="105">
        <f>SUM(G69:H69)</f>
        <v>2719959421.1431441</v>
      </c>
      <c r="J69" s="106"/>
      <c r="K69" s="106"/>
      <c r="L69" s="106"/>
      <c r="M69" s="106"/>
      <c r="N69" s="106"/>
      <c r="O69" s="107" t="s">
        <v>536</v>
      </c>
    </row>
    <row r="70" spans="1:15" x14ac:dyDescent="0.2">
      <c r="B70" s="70"/>
      <c r="C70" s="70"/>
      <c r="D70" s="70"/>
      <c r="E70" s="70"/>
      <c r="F70" s="70"/>
      <c r="G70" s="70"/>
      <c r="H70" s="108"/>
      <c r="I70" s="108"/>
    </row>
    <row r="71" spans="1:15" ht="71" x14ac:dyDescent="0.2">
      <c r="A71" s="109" t="s">
        <v>984</v>
      </c>
      <c r="B71" s="110" t="s">
        <v>537</v>
      </c>
      <c r="C71" s="111" t="s">
        <v>538</v>
      </c>
      <c r="D71" s="112" t="s">
        <v>539</v>
      </c>
      <c r="E71" s="113" t="s">
        <v>540</v>
      </c>
      <c r="F71" s="72"/>
      <c r="G71" s="72"/>
      <c r="H71" s="114"/>
      <c r="I71" s="114"/>
    </row>
    <row r="74" spans="1:15" ht="16" x14ac:dyDescent="0.2">
      <c r="A74" s="116" t="s">
        <v>542</v>
      </c>
    </row>
    <row r="76" spans="1:15" ht="16" x14ac:dyDescent="0.2">
      <c r="A76" s="115" t="s">
        <v>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66E3-EF7D-EF45-A9A8-BA8B2BC62A79}">
  <sheetPr>
    <tabColor theme="5" tint="0.59999389629810485"/>
  </sheetPr>
  <dimension ref="A1:K13"/>
  <sheetViews>
    <sheetView zoomScale="125" workbookViewId="0">
      <selection activeCell="F4" sqref="F4"/>
    </sheetView>
  </sheetViews>
  <sheetFormatPr baseColWidth="10" defaultRowHeight="16" x14ac:dyDescent="0.2"/>
  <cols>
    <col min="1" max="1" width="13.5" style="116" customWidth="1"/>
    <col min="2" max="2" width="15.33203125" style="116" customWidth="1"/>
    <col min="3" max="3" width="16.1640625" style="116" customWidth="1"/>
    <col min="4" max="4" width="17.83203125" style="116" customWidth="1"/>
    <col min="5" max="5" width="17.33203125" style="116" customWidth="1"/>
    <col min="6" max="6" width="25" style="116" customWidth="1"/>
    <col min="7" max="16384" width="10.83203125" style="116"/>
  </cols>
  <sheetData>
    <row r="1" spans="1:11" s="119" customFormat="1" x14ac:dyDescent="0.2">
      <c r="A1" s="117" t="s">
        <v>543</v>
      </c>
      <c r="B1" s="117" t="s">
        <v>544</v>
      </c>
      <c r="C1" s="117" t="s">
        <v>545</v>
      </c>
      <c r="D1" s="117" t="s">
        <v>546</v>
      </c>
      <c r="E1" s="117" t="s">
        <v>547</v>
      </c>
      <c r="F1" s="438" t="s">
        <v>1006</v>
      </c>
      <c r="G1" s="118"/>
      <c r="H1" s="118"/>
      <c r="I1" s="118"/>
      <c r="J1" s="118"/>
      <c r="K1" s="118"/>
    </row>
    <row r="2" spans="1:11" x14ac:dyDescent="0.2">
      <c r="A2" s="439">
        <f>20%*F2</f>
        <v>20328.917800000003</v>
      </c>
      <c r="B2" s="439">
        <f>20%*F2</f>
        <v>20328.917800000003</v>
      </c>
      <c r="C2" s="439">
        <v>20328.917800000003</v>
      </c>
      <c r="D2" s="439">
        <v>20328.917799999999</v>
      </c>
      <c r="E2" s="439">
        <v>20328.917799999999</v>
      </c>
      <c r="F2" s="439">
        <f>101644589/1000</f>
        <v>101644.58900000001</v>
      </c>
    </row>
    <row r="5" spans="1:11" s="115" customFormat="1" x14ac:dyDescent="0.2">
      <c r="A5" s="417" t="s">
        <v>548</v>
      </c>
      <c r="B5" s="417"/>
      <c r="C5" s="417"/>
    </row>
    <row r="6" spans="1:11" s="120" customFormat="1" x14ac:dyDescent="0.2"/>
    <row r="7" spans="1:11" x14ac:dyDescent="0.2">
      <c r="A7" s="437"/>
    </row>
    <row r="8" spans="1:11" x14ac:dyDescent="0.2">
      <c r="A8" s="441" t="s">
        <v>1007</v>
      </c>
    </row>
    <row r="9" spans="1:11" x14ac:dyDescent="0.2">
      <c r="A9" s="437"/>
      <c r="B9" s="440"/>
      <c r="C9" s="440"/>
      <c r="D9" s="440"/>
      <c r="E9" s="440"/>
      <c r="F9" s="440"/>
      <c r="G9" s="440"/>
      <c r="H9" s="393"/>
      <c r="I9" s="393"/>
      <c r="J9" s="393"/>
      <c r="K9" s="393"/>
    </row>
    <row r="13" spans="1:11" x14ac:dyDescent="0.2">
      <c r="A13" s="437"/>
    </row>
  </sheetData>
  <mergeCells count="1"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3C87-1D9F-AA4A-B83D-BDB429AD3F95}">
  <sheetPr>
    <tabColor theme="5" tint="0.59999389629810485"/>
  </sheetPr>
  <dimension ref="A1:BS110"/>
  <sheetViews>
    <sheetView topLeftCell="A35" zoomScale="106" workbookViewId="0">
      <selection activeCell="B82" sqref="B82"/>
    </sheetView>
  </sheetViews>
  <sheetFormatPr baseColWidth="10" defaultColWidth="8.83203125" defaultRowHeight="16" x14ac:dyDescent="0.2"/>
  <cols>
    <col min="1" max="1" width="56.1640625" style="116" customWidth="1"/>
    <col min="2" max="5" width="18" style="116" customWidth="1"/>
    <col min="6" max="6" width="19.33203125" style="116" customWidth="1"/>
    <col min="7" max="7" width="18" style="137" customWidth="1"/>
    <col min="8" max="8" width="13.33203125" style="116" customWidth="1"/>
    <col min="9" max="9" width="12.6640625" style="116" bestFit="1" customWidth="1"/>
    <col min="10" max="10" width="13.1640625" style="116" customWidth="1"/>
    <col min="11" max="11" width="13.6640625" style="116" bestFit="1" customWidth="1"/>
    <col min="12" max="12" width="11.33203125" style="116" customWidth="1"/>
    <col min="13" max="13" width="11.5" style="116" bestFit="1" customWidth="1"/>
    <col min="14" max="14" width="9" style="116" bestFit="1" customWidth="1"/>
    <col min="15" max="15" width="10.1640625" style="116" customWidth="1"/>
    <col min="16" max="29" width="9" style="116" bestFit="1" customWidth="1"/>
    <col min="30" max="30" width="9.83203125" style="116" bestFit="1" customWidth="1"/>
    <col min="31" max="31" width="9" style="116" bestFit="1" customWidth="1"/>
    <col min="32" max="34" width="9.83203125" style="116" bestFit="1" customWidth="1"/>
    <col min="35" max="35" width="8.83203125" style="116" bestFit="1" customWidth="1"/>
    <col min="36" max="39" width="9" style="116" bestFit="1" customWidth="1"/>
    <col min="40" max="40" width="10.1640625" style="116" customWidth="1"/>
    <col min="41" max="41" width="10" style="116" customWidth="1"/>
    <col min="42" max="57" width="9" style="116" bestFit="1" customWidth="1"/>
    <col min="58" max="59" width="11" style="116" bestFit="1" customWidth="1"/>
    <col min="60" max="60" width="9.83203125" style="116" bestFit="1" customWidth="1"/>
    <col min="61" max="63" width="9" style="116" bestFit="1" customWidth="1"/>
    <col min="64" max="64" width="9.83203125" style="116" bestFit="1" customWidth="1"/>
    <col min="65" max="68" width="9" style="116" bestFit="1" customWidth="1"/>
    <col min="69" max="69" width="11" style="116" bestFit="1" customWidth="1"/>
    <col min="70" max="16384" width="8.83203125" style="116"/>
  </cols>
  <sheetData>
    <row r="1" spans="1:13" s="122" customFormat="1" ht="28" customHeight="1" x14ac:dyDescent="0.2">
      <c r="A1" s="121" t="s">
        <v>466</v>
      </c>
      <c r="B1" s="121" t="s">
        <v>467</v>
      </c>
      <c r="C1" s="121" t="s">
        <v>468</v>
      </c>
      <c r="D1" s="121" t="s">
        <v>469</v>
      </c>
      <c r="E1" s="121" t="s">
        <v>470</v>
      </c>
      <c r="F1" s="121" t="s">
        <v>471</v>
      </c>
      <c r="G1" s="121" t="s">
        <v>549</v>
      </c>
      <c r="H1" s="121" t="s">
        <v>475</v>
      </c>
      <c r="I1" s="121" t="s">
        <v>476</v>
      </c>
      <c r="J1" s="121" t="s">
        <v>477</v>
      </c>
      <c r="K1" s="121" t="s">
        <v>478</v>
      </c>
      <c r="L1" s="121" t="s">
        <v>479</v>
      </c>
    </row>
    <row r="2" spans="1:13" s="126" customFormat="1" x14ac:dyDescent="0.2">
      <c r="A2" s="123" t="s">
        <v>105</v>
      </c>
      <c r="B2" s="123">
        <f>G2*H2</f>
        <v>8176126.2320275288</v>
      </c>
      <c r="C2" s="123">
        <f>G2*I2</f>
        <v>11279733.975354427</v>
      </c>
      <c r="D2" s="123">
        <f>G2*J2</f>
        <v>13937679.79827325</v>
      </c>
      <c r="E2" s="123">
        <f>G2*K2</f>
        <v>17124223.9413913</v>
      </c>
      <c r="F2" s="123">
        <f>G2*L2</f>
        <v>29958392.118358783</v>
      </c>
      <c r="G2" s="124">
        <v>80476156.065405294</v>
      </c>
      <c r="H2" s="125">
        <v>0.10159687827761747</v>
      </c>
      <c r="I2" s="125">
        <v>0.14016243477368703</v>
      </c>
      <c r="J2" s="125">
        <v>0.17319017805653758</v>
      </c>
      <c r="K2" s="125">
        <v>0.21278630564156106</v>
      </c>
      <c r="L2" s="125">
        <v>0.37226420325059678</v>
      </c>
    </row>
    <row r="3" spans="1:13" s="126" customFormat="1" x14ac:dyDescent="0.2">
      <c r="A3" s="123" t="s">
        <v>106</v>
      </c>
      <c r="B3" s="123">
        <f t="shared" ref="B3:B66" si="0">G3*H3</f>
        <v>825570.31023490487</v>
      </c>
      <c r="C3" s="123">
        <f t="shared" ref="C3:C66" si="1">G3*I3</f>
        <v>1138951.7741204558</v>
      </c>
      <c r="D3" s="123">
        <f t="shared" ref="D3:D66" si="2">G3*J3</f>
        <v>1407333.2906654261</v>
      </c>
      <c r="E3" s="123">
        <f t="shared" ref="E3:E66" si="3">G3*K3</f>
        <v>1729089.1151420765</v>
      </c>
      <c r="F3" s="123">
        <f t="shared" ref="F3:F66" si="4">G3*L3</f>
        <v>3024997.2142564538</v>
      </c>
      <c r="G3" s="127">
        <v>8125941.7044193177</v>
      </c>
      <c r="H3" s="125">
        <v>0.10159687827761747</v>
      </c>
      <c r="I3" s="125">
        <v>0.14016243477368703</v>
      </c>
      <c r="J3" s="125">
        <v>0.17319017805653758</v>
      </c>
      <c r="K3" s="125">
        <v>0.21278630564156106</v>
      </c>
      <c r="L3" s="125">
        <v>0.37226420325059678</v>
      </c>
    </row>
    <row r="4" spans="1:13" s="126" customFormat="1" x14ac:dyDescent="0.2">
      <c r="A4" s="123" t="s">
        <v>107</v>
      </c>
      <c r="B4" s="123">
        <f t="shared" si="0"/>
        <v>692372.93252230517</v>
      </c>
      <c r="C4" s="123">
        <f t="shared" si="1"/>
        <v>955193.48270274221</v>
      </c>
      <c r="D4" s="123">
        <f t="shared" si="2"/>
        <v>1180274.3696258101</v>
      </c>
      <c r="E4" s="123">
        <f t="shared" si="3"/>
        <v>1450118.1624405528</v>
      </c>
      <c r="F4" s="123">
        <f t="shared" si="4"/>
        <v>2536944.6625455851</v>
      </c>
      <c r="G4" s="128">
        <v>6814903.6098369956</v>
      </c>
      <c r="H4" s="125">
        <v>0.10159687827761747</v>
      </c>
      <c r="I4" s="125">
        <v>0.14016243477368703</v>
      </c>
      <c r="J4" s="125">
        <v>0.17319017805653758</v>
      </c>
      <c r="K4" s="125">
        <v>0.21278630564156106</v>
      </c>
      <c r="L4" s="125">
        <v>0.37226420325059678</v>
      </c>
    </row>
    <row r="5" spans="1:13" s="126" customFormat="1" x14ac:dyDescent="0.2">
      <c r="A5" s="123" t="s">
        <v>484</v>
      </c>
      <c r="B5" s="123">
        <f t="shared" si="0"/>
        <v>894485.69371070177</v>
      </c>
      <c r="C5" s="123">
        <f t="shared" si="1"/>
        <v>1234027.0176228739</v>
      </c>
      <c r="D5" s="123">
        <f t="shared" si="2"/>
        <v>1524811.9744335797</v>
      </c>
      <c r="E5" s="123">
        <f t="shared" si="3"/>
        <v>1873426.7178351008</v>
      </c>
      <c r="F5" s="123">
        <f t="shared" si="4"/>
        <v>3277512.1611352772</v>
      </c>
      <c r="G5" s="127">
        <v>8804263.5647375342</v>
      </c>
      <c r="H5" s="125">
        <v>0.10159687827761747</v>
      </c>
      <c r="I5" s="125">
        <v>0.14016243477368703</v>
      </c>
      <c r="J5" s="125">
        <v>0.17319017805653758</v>
      </c>
      <c r="K5" s="125">
        <v>0.21278630564156106</v>
      </c>
      <c r="L5" s="125">
        <v>0.37226420325059678</v>
      </c>
    </row>
    <row r="6" spans="1:13" s="126" customFormat="1" x14ac:dyDescent="0.2">
      <c r="A6" s="123" t="s">
        <v>109</v>
      </c>
      <c r="B6" s="123">
        <f t="shared" si="0"/>
        <v>1199991.2823790496</v>
      </c>
      <c r="C6" s="123">
        <f t="shared" si="1"/>
        <v>1655500.6679029199</v>
      </c>
      <c r="D6" s="129">
        <f t="shared" si="2"/>
        <v>2045601.2761890851</v>
      </c>
      <c r="E6" s="123">
        <f t="shared" si="3"/>
        <v>2513283.0467663305</v>
      </c>
      <c r="F6" s="123">
        <f t="shared" si="4"/>
        <v>4396924.4549211236</v>
      </c>
      <c r="G6" s="127">
        <v>11811300.728158515</v>
      </c>
      <c r="H6" s="125">
        <v>0.101596878277617</v>
      </c>
      <c r="I6" s="125">
        <v>0.14016243477368703</v>
      </c>
      <c r="J6" s="125">
        <v>0.17319017805653758</v>
      </c>
      <c r="K6" s="125">
        <v>0.21278630564156106</v>
      </c>
      <c r="L6" s="125">
        <v>0.37226420325059678</v>
      </c>
    </row>
    <row r="7" spans="1:13" s="126" customFormat="1" x14ac:dyDescent="0.2">
      <c r="A7" s="123" t="s">
        <v>110</v>
      </c>
      <c r="B7" s="123">
        <f t="shared" si="0"/>
        <v>194532.77840414041</v>
      </c>
      <c r="C7" s="123">
        <f t="shared" si="1"/>
        <v>268376.23681614024</v>
      </c>
      <c r="D7" s="123">
        <f t="shared" si="2"/>
        <v>331616.1588900754</v>
      </c>
      <c r="E7" s="123">
        <f t="shared" si="3"/>
        <v>407432.9048742521</v>
      </c>
      <c r="F7" s="123">
        <f t="shared" si="4"/>
        <v>712793.45376004872</v>
      </c>
      <c r="G7" s="127">
        <v>1914751.532744657</v>
      </c>
      <c r="H7" s="125">
        <v>0.10159687827761747</v>
      </c>
      <c r="I7" s="125">
        <v>0.14016243477368703</v>
      </c>
      <c r="J7" s="125">
        <v>0.17319017805653758</v>
      </c>
      <c r="K7" s="125">
        <v>0.21278630564156106</v>
      </c>
      <c r="L7" s="125">
        <v>0.37226420325059678</v>
      </c>
    </row>
    <row r="8" spans="1:13" s="126" customFormat="1" x14ac:dyDescent="0.2">
      <c r="A8" s="123" t="s">
        <v>111</v>
      </c>
      <c r="B8" s="123">
        <f t="shared" si="0"/>
        <v>194868.62467691902</v>
      </c>
      <c r="C8" s="123">
        <f t="shared" si="1"/>
        <v>268839.56828951184</v>
      </c>
      <c r="D8" s="123">
        <f t="shared" si="2"/>
        <v>332188.66935268248</v>
      </c>
      <c r="E8" s="123">
        <f t="shared" si="3"/>
        <v>408136.30727066012</v>
      </c>
      <c r="F8" s="123">
        <f t="shared" si="4"/>
        <v>714024.03827475186</v>
      </c>
      <c r="G8" s="127">
        <v>1918057.2078645255</v>
      </c>
      <c r="H8" s="125">
        <v>0.10159687827761747</v>
      </c>
      <c r="I8" s="125">
        <v>0.14016243477368703</v>
      </c>
      <c r="J8" s="125">
        <v>0.17319017805653758</v>
      </c>
      <c r="K8" s="125">
        <v>0.21278630564156106</v>
      </c>
      <c r="L8" s="125">
        <v>0.37226420325059678</v>
      </c>
    </row>
    <row r="9" spans="1:13" s="126" customFormat="1" x14ac:dyDescent="0.2">
      <c r="A9" s="123" t="s">
        <v>112</v>
      </c>
      <c r="B9" s="123">
        <f t="shared" si="0"/>
        <v>627176.45486222336</v>
      </c>
      <c r="C9" s="123">
        <f t="shared" si="1"/>
        <v>865248.81902385282</v>
      </c>
      <c r="D9" s="123">
        <f t="shared" si="2"/>
        <v>1069135.2306479914</v>
      </c>
      <c r="E9" s="123">
        <f t="shared" si="3"/>
        <v>1313569.5021143656</v>
      </c>
      <c r="F9" s="123">
        <f t="shared" si="4"/>
        <v>2298056.2712649386</v>
      </c>
      <c r="G9" s="127">
        <v>6173186.277913372</v>
      </c>
      <c r="H9" s="125">
        <v>0.10159687827761747</v>
      </c>
      <c r="I9" s="125">
        <v>0.14016243477368703</v>
      </c>
      <c r="J9" s="125">
        <v>0.17319017805653758</v>
      </c>
      <c r="K9" s="125">
        <v>0.21278630564156106</v>
      </c>
      <c r="L9" s="125">
        <v>0.37226420325059678</v>
      </c>
    </row>
    <row r="10" spans="1:13" s="126" customFormat="1" x14ac:dyDescent="0.2">
      <c r="A10" s="123" t="s">
        <v>113</v>
      </c>
      <c r="B10" s="123">
        <f t="shared" si="0"/>
        <v>217499.40621627338</v>
      </c>
      <c r="C10" s="123">
        <f t="shared" si="1"/>
        <v>300060.85673028202</v>
      </c>
      <c r="D10" s="123">
        <f t="shared" si="2"/>
        <v>370766.9126098167</v>
      </c>
      <c r="E10" s="123">
        <f t="shared" si="3"/>
        <v>455534.61791935796</v>
      </c>
      <c r="F10" s="123">
        <f t="shared" si="4"/>
        <v>796946.17133149237</v>
      </c>
      <c r="G10" s="127">
        <v>2140807.9648072226</v>
      </c>
      <c r="H10" s="125">
        <v>0.10159687827761747</v>
      </c>
      <c r="I10" s="125">
        <v>0.14016243477368703</v>
      </c>
      <c r="J10" s="125">
        <v>0.17319017805653758</v>
      </c>
      <c r="K10" s="125">
        <v>0.21278630564156106</v>
      </c>
      <c r="L10" s="125">
        <v>0.37226420325059678</v>
      </c>
    </row>
    <row r="11" spans="1:13" s="126" customFormat="1" x14ac:dyDescent="0.2">
      <c r="A11" s="123" t="s">
        <v>114</v>
      </c>
      <c r="B11" s="123">
        <f t="shared" si="0"/>
        <v>7572.2190753172463</v>
      </c>
      <c r="C11" s="123">
        <f t="shared" si="1"/>
        <v>10446.587338402929</v>
      </c>
      <c r="D11" s="123">
        <f t="shared" si="2"/>
        <v>12908.211277454404</v>
      </c>
      <c r="E11" s="123">
        <f t="shared" si="3"/>
        <v>15859.39007045542</v>
      </c>
      <c r="F11" s="123">
        <f t="shared" si="4"/>
        <v>27745.597588237728</v>
      </c>
      <c r="G11" s="127">
        <v>74532.00534986773</v>
      </c>
      <c r="H11" s="125">
        <v>0.10159687827761747</v>
      </c>
      <c r="I11" s="125">
        <v>0.14016243477368703</v>
      </c>
      <c r="J11" s="125">
        <v>0.17319017805653758</v>
      </c>
      <c r="K11" s="125">
        <v>0.21278630564156106</v>
      </c>
      <c r="L11" s="125">
        <v>0.37226420325059678</v>
      </c>
    </row>
    <row r="12" spans="1:13" s="126" customFormat="1" x14ac:dyDescent="0.2">
      <c r="A12" s="123" t="s">
        <v>115</v>
      </c>
      <c r="B12" s="123">
        <f t="shared" si="0"/>
        <v>12784.314586650811</v>
      </c>
      <c r="C12" s="123">
        <f t="shared" si="1"/>
        <v>17637.162575816114</v>
      </c>
      <c r="D12" s="123">
        <f t="shared" si="2"/>
        <v>21793.166848519504</v>
      </c>
      <c r="E12" s="123">
        <f t="shared" si="3"/>
        <v>26775.695446267018</v>
      </c>
      <c r="F12" s="123">
        <f t="shared" si="4"/>
        <v>46843.394840341469</v>
      </c>
      <c r="G12" s="124">
        <v>125833.73429759493</v>
      </c>
      <c r="H12" s="125">
        <v>0.10159687827761747</v>
      </c>
      <c r="I12" s="125">
        <v>0.14016243477368703</v>
      </c>
      <c r="J12" s="125">
        <v>0.17319017805653758</v>
      </c>
      <c r="K12" s="125">
        <v>0.21278630564156106</v>
      </c>
      <c r="L12" s="125">
        <v>0.37226420325059678</v>
      </c>
    </row>
    <row r="13" spans="1:13" s="126" customFormat="1" x14ac:dyDescent="0.2">
      <c r="A13" s="123" t="s">
        <v>116</v>
      </c>
      <c r="B13" s="123">
        <f t="shared" si="0"/>
        <v>159451.76194605057</v>
      </c>
      <c r="C13" s="123">
        <f t="shared" si="1"/>
        <v>219978.68007561177</v>
      </c>
      <c r="D13" s="123">
        <f t="shared" si="2"/>
        <v>271814.24775085005</v>
      </c>
      <c r="E13" s="123">
        <f t="shared" si="3"/>
        <v>333958.60116710642</v>
      </c>
      <c r="F13" s="123">
        <f t="shared" si="4"/>
        <v>584252.0373072098</v>
      </c>
      <c r="G13" s="127">
        <v>1569455.3282468296</v>
      </c>
      <c r="H13" s="125">
        <v>0.101596878277617</v>
      </c>
      <c r="I13" s="125">
        <v>0.14016243477368701</v>
      </c>
      <c r="J13" s="125">
        <v>0.17319017805653758</v>
      </c>
      <c r="K13" s="125">
        <v>0.21278630564156106</v>
      </c>
      <c r="L13" s="125">
        <v>0.37226420325059678</v>
      </c>
    </row>
    <row r="14" spans="1:13" s="126" customFormat="1" x14ac:dyDescent="0.2">
      <c r="A14" s="123" t="s">
        <v>117</v>
      </c>
      <c r="B14" s="123">
        <f t="shared" si="0"/>
        <v>119361.44630276252</v>
      </c>
      <c r="C14" s="123">
        <f t="shared" si="1"/>
        <v>164670.32467462771</v>
      </c>
      <c r="D14" s="123">
        <f t="shared" si="2"/>
        <v>203473.08390493659</v>
      </c>
      <c r="E14" s="123">
        <f t="shared" si="3"/>
        <v>249992.73231010165</v>
      </c>
      <c r="F14" s="123">
        <f t="shared" si="4"/>
        <v>437355.89577190694</v>
      </c>
      <c r="G14" s="127">
        <v>1174853.4829643355</v>
      </c>
      <c r="H14" s="125">
        <v>0.10159687827761747</v>
      </c>
      <c r="I14" s="125">
        <v>0.14016243477368703</v>
      </c>
      <c r="J14" s="125">
        <v>0.17319017805653758</v>
      </c>
      <c r="K14" s="125">
        <v>0.21278630564156106</v>
      </c>
      <c r="L14" s="125">
        <v>0.37226420325059678</v>
      </c>
    </row>
    <row r="15" spans="1:13" s="126" customFormat="1" x14ac:dyDescent="0.2">
      <c r="A15" s="130" t="s">
        <v>118</v>
      </c>
      <c r="B15" s="130">
        <f t="shared" si="0"/>
        <v>1106620.0241226598</v>
      </c>
      <c r="C15" s="130">
        <f t="shared" si="1"/>
        <v>1526686.2484348535</v>
      </c>
      <c r="D15" s="130">
        <f t="shared" si="2"/>
        <v>1886433.1490090331</v>
      </c>
      <c r="E15" s="130">
        <f t="shared" si="3"/>
        <v>2317724.6257369751</v>
      </c>
      <c r="F15" s="130">
        <f>G15*L15</f>
        <v>4054799.9954830781</v>
      </c>
      <c r="G15" s="131">
        <v>10892264.0427866</v>
      </c>
      <c r="H15" s="125">
        <v>0.10159687827761747</v>
      </c>
      <c r="I15" s="125">
        <v>0.14016243477368703</v>
      </c>
      <c r="J15" s="125">
        <v>0.17319017805653758</v>
      </c>
      <c r="K15" s="125">
        <v>0.21278630564156106</v>
      </c>
      <c r="L15" s="125">
        <v>0.37226420325059678</v>
      </c>
      <c r="M15" s="394"/>
    </row>
    <row r="16" spans="1:13" s="126" customFormat="1" x14ac:dyDescent="0.2">
      <c r="A16" s="123" t="s">
        <v>119</v>
      </c>
      <c r="B16" s="123">
        <f t="shared" si="0"/>
        <v>572800.23792679503</v>
      </c>
      <c r="C16" s="123">
        <f t="shared" si="1"/>
        <v>790231.72116947034</v>
      </c>
      <c r="D16" s="123">
        <f t="shared" si="2"/>
        <v>976441.1749570847</v>
      </c>
      <c r="E16" s="123">
        <f t="shared" si="3"/>
        <v>1199682.9879555644</v>
      </c>
      <c r="F16" s="123">
        <f t="shared" si="4"/>
        <v>2098814.7254968109</v>
      </c>
      <c r="G16" s="127">
        <v>5637970.8475057259</v>
      </c>
      <c r="H16" s="125">
        <v>0.10159687827761747</v>
      </c>
      <c r="I16" s="125">
        <v>0.14016243477368703</v>
      </c>
      <c r="J16" s="125">
        <v>0.17319017805653758</v>
      </c>
      <c r="K16" s="125">
        <v>0.21278630564156106</v>
      </c>
      <c r="L16" s="125">
        <v>0.37226420325059678</v>
      </c>
    </row>
    <row r="17" spans="1:12" s="126" customFormat="1" x14ac:dyDescent="0.2">
      <c r="A17" s="123" t="s">
        <v>120</v>
      </c>
      <c r="B17" s="123">
        <f t="shared" si="0"/>
        <v>482890.89648371137</v>
      </c>
      <c r="C17" s="123">
        <f t="shared" si="1"/>
        <v>666193.34106170607</v>
      </c>
      <c r="D17" s="123">
        <f t="shared" si="2"/>
        <v>823174.50852542347</v>
      </c>
      <c r="E17" s="123">
        <f t="shared" si="3"/>
        <v>1011375.2669637643</v>
      </c>
      <c r="F17" s="123">
        <f t="shared" si="4"/>
        <v>1769375.1804584563</v>
      </c>
      <c r="G17" s="127">
        <v>4753009.1934930617</v>
      </c>
      <c r="H17" s="125">
        <v>0.10159687827761747</v>
      </c>
      <c r="I17" s="125">
        <v>0.14016243477368703</v>
      </c>
      <c r="J17" s="125">
        <v>0.17319017805653758</v>
      </c>
      <c r="K17" s="125">
        <v>0.21278630564156106</v>
      </c>
      <c r="L17" s="125">
        <v>0.37226420325059678</v>
      </c>
    </row>
    <row r="18" spans="1:12" s="126" customFormat="1" x14ac:dyDescent="0.2">
      <c r="A18" s="123" t="s">
        <v>121</v>
      </c>
      <c r="B18" s="123">
        <f t="shared" si="0"/>
        <v>153242.83075617507</v>
      </c>
      <c r="C18" s="123">
        <f t="shared" si="1"/>
        <v>211412.87640458441</v>
      </c>
      <c r="D18" s="123">
        <f t="shared" si="2"/>
        <v>261230.00622152779</v>
      </c>
      <c r="E18" s="123">
        <f t="shared" si="3"/>
        <v>320954.50544807984</v>
      </c>
      <c r="F18" s="123">
        <f t="shared" si="4"/>
        <v>561501.7042101518</v>
      </c>
      <c r="G18" s="127">
        <v>1508341.923040519</v>
      </c>
      <c r="H18" s="125">
        <v>0.10159687827761747</v>
      </c>
      <c r="I18" s="125">
        <v>0.14016243477368703</v>
      </c>
      <c r="J18" s="125">
        <v>0.17319017805653758</v>
      </c>
      <c r="K18" s="125">
        <v>0.21278630564156106</v>
      </c>
      <c r="L18" s="125">
        <v>0.37226420325059678</v>
      </c>
    </row>
    <row r="19" spans="1:12" s="126" customFormat="1" x14ac:dyDescent="0.2">
      <c r="A19" s="123" t="s">
        <v>122</v>
      </c>
      <c r="B19" s="123">
        <f t="shared" si="0"/>
        <v>583424.20551550074</v>
      </c>
      <c r="C19" s="123">
        <f t="shared" si="1"/>
        <v>804888.48217861028</v>
      </c>
      <c r="D19" s="123">
        <f t="shared" si="2"/>
        <v>994551.64123860805</v>
      </c>
      <c r="E19" s="123">
        <f t="shared" si="3"/>
        <v>1221934.0142939829</v>
      </c>
      <c r="F19" s="123">
        <f t="shared" si="4"/>
        <v>2137742.3273760998</v>
      </c>
      <c r="G19" s="127">
        <v>5742540.6706028022</v>
      </c>
      <c r="H19" s="125">
        <v>0.10159687827761747</v>
      </c>
      <c r="I19" s="125">
        <v>0.14016243477368703</v>
      </c>
      <c r="J19" s="125">
        <v>0.17319017805653758</v>
      </c>
      <c r="K19" s="125">
        <v>0.21278630564156106</v>
      </c>
      <c r="L19" s="125">
        <v>0.37226420325059678</v>
      </c>
    </row>
    <row r="20" spans="1:12" s="126" customFormat="1" x14ac:dyDescent="0.2">
      <c r="A20" s="123" t="s">
        <v>123</v>
      </c>
      <c r="B20" s="123">
        <f t="shared" si="0"/>
        <v>677785.49070590816</v>
      </c>
      <c r="C20" s="123">
        <f t="shared" si="1"/>
        <v>935068.73677778663</v>
      </c>
      <c r="D20" s="123">
        <f t="shared" si="2"/>
        <v>1155407.4476455136</v>
      </c>
      <c r="E20" s="123">
        <f t="shared" si="3"/>
        <v>1419565.9653111242</v>
      </c>
      <c r="F20" s="123">
        <f t="shared" si="4"/>
        <v>2483494.3745317473</v>
      </c>
      <c r="G20" s="127">
        <v>6671322.0149720805</v>
      </c>
      <c r="H20" s="125">
        <v>0.10159687827761747</v>
      </c>
      <c r="I20" s="125">
        <v>0.14016243477368703</v>
      </c>
      <c r="J20" s="125">
        <v>0.17319017805653758</v>
      </c>
      <c r="K20" s="125">
        <v>0.21278630564156106</v>
      </c>
      <c r="L20" s="125">
        <v>0.37226420325059678</v>
      </c>
    </row>
    <row r="21" spans="1:12" s="126" customFormat="1" x14ac:dyDescent="0.2">
      <c r="A21" s="123" t="s">
        <v>124</v>
      </c>
      <c r="B21" s="123">
        <f t="shared" si="0"/>
        <v>174839.29190969735</v>
      </c>
      <c r="C21" s="123">
        <f t="shared" si="1"/>
        <v>241207.22273776209</v>
      </c>
      <c r="D21" s="123">
        <f t="shared" si="2"/>
        <v>298045.06408530503</v>
      </c>
      <c r="E21" s="123">
        <f t="shared" si="3"/>
        <v>366186.51711710275</v>
      </c>
      <c r="F21" s="123">
        <f t="shared" si="4"/>
        <v>640633.95256900333</v>
      </c>
      <c r="G21" s="127">
        <v>1720912.0484188707</v>
      </c>
      <c r="H21" s="125">
        <v>0.10159687827761747</v>
      </c>
      <c r="I21" s="125">
        <v>0.14016243477368703</v>
      </c>
      <c r="J21" s="125">
        <v>0.17319017805653758</v>
      </c>
      <c r="K21" s="125">
        <v>0.21278630564156106</v>
      </c>
      <c r="L21" s="125">
        <v>0.37226420325059678</v>
      </c>
    </row>
    <row r="22" spans="1:12" s="126" customFormat="1" x14ac:dyDescent="0.2">
      <c r="A22" s="123" t="s">
        <v>125</v>
      </c>
      <c r="B22" s="123">
        <f t="shared" si="0"/>
        <v>95380.202215626123</v>
      </c>
      <c r="C22" s="123">
        <f t="shared" si="1"/>
        <v>131585.94632423861</v>
      </c>
      <c r="D22" s="123">
        <f t="shared" si="2"/>
        <v>162592.73399773432</v>
      </c>
      <c r="E22" s="123">
        <f t="shared" si="3"/>
        <v>199765.98892487219</v>
      </c>
      <c r="F22" s="123">
        <f t="shared" si="4"/>
        <v>349485.49193271063</v>
      </c>
      <c r="G22" s="127">
        <v>938810.36339518195</v>
      </c>
      <c r="H22" s="125">
        <v>0.10159687827761747</v>
      </c>
      <c r="I22" s="125">
        <v>0.14016243477368703</v>
      </c>
      <c r="J22" s="125">
        <v>0.17319017805653758</v>
      </c>
      <c r="K22" s="125">
        <v>0.21278630564156106</v>
      </c>
      <c r="L22" s="125">
        <v>0.37226420325059678</v>
      </c>
    </row>
    <row r="23" spans="1:12" s="126" customFormat="1" x14ac:dyDescent="0.2">
      <c r="A23" s="123" t="s">
        <v>126</v>
      </c>
      <c r="B23" s="123">
        <f t="shared" si="0"/>
        <v>324969.04137892614</v>
      </c>
      <c r="C23" s="123">
        <f t="shared" si="1"/>
        <v>448325.31115058868</v>
      </c>
      <c r="D23" s="123">
        <f t="shared" si="2"/>
        <v>553968.26254333602</v>
      </c>
      <c r="E23" s="123">
        <f t="shared" si="3"/>
        <v>680620.92984736222</v>
      </c>
      <c r="F23" s="123">
        <f t="shared" si="4"/>
        <v>1190728.9212122147</v>
      </c>
      <c r="G23" s="127">
        <v>3198612.466132428</v>
      </c>
      <c r="H23" s="125">
        <v>0.10159687827761747</v>
      </c>
      <c r="I23" s="125">
        <v>0.14016243477368703</v>
      </c>
      <c r="J23" s="125">
        <v>0.17319017805653758</v>
      </c>
      <c r="K23" s="125">
        <v>0.21278630564156106</v>
      </c>
      <c r="L23" s="125">
        <v>0.37226420325059678</v>
      </c>
    </row>
    <row r="24" spans="1:12" s="126" customFormat="1" x14ac:dyDescent="0.2">
      <c r="A24" s="123" t="s">
        <v>127</v>
      </c>
      <c r="B24" s="123">
        <f t="shared" si="0"/>
        <v>165067.8667271765</v>
      </c>
      <c r="C24" s="123">
        <f t="shared" si="1"/>
        <v>227726.62404211526</v>
      </c>
      <c r="D24" s="123">
        <f t="shared" si="2"/>
        <v>281387.90989004908</v>
      </c>
      <c r="E24" s="123">
        <f t="shared" si="3"/>
        <v>345721.0707304533</v>
      </c>
      <c r="F24" s="123">
        <f t="shared" si="4"/>
        <v>604830.17717883643</v>
      </c>
      <c r="G24" s="127">
        <v>1624733.6485686307</v>
      </c>
      <c r="H24" s="125">
        <v>0.10159687827761747</v>
      </c>
      <c r="I24" s="125">
        <v>0.14016243477368703</v>
      </c>
      <c r="J24" s="125">
        <v>0.17319017805653758</v>
      </c>
      <c r="K24" s="125">
        <v>0.21278630564156106</v>
      </c>
      <c r="L24" s="125">
        <v>0.37226420325059678</v>
      </c>
    </row>
    <row r="25" spans="1:12" s="126" customFormat="1" x14ac:dyDescent="0.2">
      <c r="A25" s="123" t="s">
        <v>128</v>
      </c>
      <c r="B25" s="123">
        <f t="shared" si="0"/>
        <v>121001.33815216548</v>
      </c>
      <c r="C25" s="123">
        <f t="shared" si="1"/>
        <v>166932.70948678468</v>
      </c>
      <c r="D25" s="123">
        <f t="shared" si="2"/>
        <v>206268.57492992151</v>
      </c>
      <c r="E25" s="123">
        <f t="shared" si="3"/>
        <v>253427.35091454984</v>
      </c>
      <c r="F25" s="123">
        <f t="shared" si="4"/>
        <v>443364.67323716526</v>
      </c>
      <c r="G25" s="127">
        <v>1190994.6467205868</v>
      </c>
      <c r="H25" s="125">
        <v>0.10159687827761747</v>
      </c>
      <c r="I25" s="125">
        <v>0.14016243477368703</v>
      </c>
      <c r="J25" s="125">
        <v>0.17319017805653758</v>
      </c>
      <c r="K25" s="125">
        <v>0.21278630564156106</v>
      </c>
      <c r="L25" s="125">
        <v>0.37226420325059678</v>
      </c>
    </row>
    <row r="26" spans="1:12" s="126" customFormat="1" x14ac:dyDescent="0.2">
      <c r="A26" s="123" t="s">
        <v>129</v>
      </c>
      <c r="B26" s="123">
        <f t="shared" si="0"/>
        <v>43359.129431508074</v>
      </c>
      <c r="C26" s="123">
        <f t="shared" si="1"/>
        <v>59817.99100343501</v>
      </c>
      <c r="D26" s="123">
        <f t="shared" si="2"/>
        <v>73913.445707452527</v>
      </c>
      <c r="E26" s="123">
        <f t="shared" si="3"/>
        <v>90812.130490405907</v>
      </c>
      <c r="F26" s="123">
        <f t="shared" si="4"/>
        <v>158873.50128370867</v>
      </c>
      <c r="G26" s="127">
        <v>426776.19791651022</v>
      </c>
      <c r="H26" s="125">
        <v>0.10159687827761747</v>
      </c>
      <c r="I26" s="125">
        <v>0.14016243477368703</v>
      </c>
      <c r="J26" s="125">
        <v>0.17319017805653758</v>
      </c>
      <c r="K26" s="125">
        <v>0.21278630564156106</v>
      </c>
      <c r="L26" s="125">
        <v>0.37226420325059678</v>
      </c>
    </row>
    <row r="27" spans="1:12" s="126" customFormat="1" x14ac:dyDescent="0.2">
      <c r="A27" s="123" t="s">
        <v>130</v>
      </c>
      <c r="B27" s="123">
        <f t="shared" si="0"/>
        <v>396852.57224672107</v>
      </c>
      <c r="C27" s="123">
        <f t="shared" si="1"/>
        <v>547495.39272561774</v>
      </c>
      <c r="D27" s="123">
        <f t="shared" si="2"/>
        <v>676506.68814640632</v>
      </c>
      <c r="E27" s="123">
        <f t="shared" si="3"/>
        <v>831175.07313543395</v>
      </c>
      <c r="F27" s="123">
        <f t="shared" si="4"/>
        <v>1454119.546977482</v>
      </c>
      <c r="G27" s="127">
        <v>3906149.2732316614</v>
      </c>
      <c r="H27" s="125">
        <v>0.10159687827761747</v>
      </c>
      <c r="I27" s="125">
        <v>0.14016243477368703</v>
      </c>
      <c r="J27" s="125">
        <v>0.17319017805653758</v>
      </c>
      <c r="K27" s="125">
        <v>0.21278630564156106</v>
      </c>
      <c r="L27" s="125">
        <v>0.37226420325059678</v>
      </c>
    </row>
    <row r="28" spans="1:12" s="126" customFormat="1" x14ac:dyDescent="0.2">
      <c r="A28" s="123" t="s">
        <v>131</v>
      </c>
      <c r="B28" s="123">
        <f t="shared" si="0"/>
        <v>262185.99115658255</v>
      </c>
      <c r="C28" s="123">
        <f t="shared" si="1"/>
        <v>361710.19727241929</v>
      </c>
      <c r="D28" s="123">
        <f t="shared" si="2"/>
        <v>446943.24532550166</v>
      </c>
      <c r="E28" s="123">
        <f t="shared" si="3"/>
        <v>549126.99479538086</v>
      </c>
      <c r="F28" s="123">
        <f t="shared" si="4"/>
        <v>960683.64260829589</v>
      </c>
      <c r="G28" s="127">
        <v>2580650.0711581805</v>
      </c>
      <c r="H28" s="125">
        <v>0.10159687827761747</v>
      </c>
      <c r="I28" s="125">
        <v>0.14016243477368703</v>
      </c>
      <c r="J28" s="125">
        <v>0.17319017805653758</v>
      </c>
      <c r="K28" s="125">
        <v>0.21278630564156106</v>
      </c>
      <c r="L28" s="125">
        <v>0.37226420325059678</v>
      </c>
    </row>
    <row r="29" spans="1:12" s="126" customFormat="1" x14ac:dyDescent="0.2">
      <c r="A29" s="123" t="s">
        <v>132</v>
      </c>
      <c r="B29" s="123">
        <f t="shared" si="0"/>
        <v>330221.12592341565</v>
      </c>
      <c r="C29" s="123">
        <f t="shared" si="1"/>
        <v>455571.05501469993</v>
      </c>
      <c r="D29" s="123">
        <f t="shared" si="2"/>
        <v>562921.38662400492</v>
      </c>
      <c r="E29" s="123">
        <f t="shared" si="3"/>
        <v>691620.98896419117</v>
      </c>
      <c r="F29" s="123">
        <f t="shared" si="4"/>
        <v>1209973.2434936201</v>
      </c>
      <c r="G29" s="127">
        <v>3250307.800019932</v>
      </c>
      <c r="H29" s="125">
        <v>0.10159687827761747</v>
      </c>
      <c r="I29" s="125">
        <v>0.14016243477368703</v>
      </c>
      <c r="J29" s="125">
        <v>0.17319017805653758</v>
      </c>
      <c r="K29" s="125">
        <v>0.21278630564156106</v>
      </c>
      <c r="L29" s="125">
        <v>0.37226420325059678</v>
      </c>
    </row>
    <row r="30" spans="1:12" s="126" customFormat="1" x14ac:dyDescent="0.2">
      <c r="A30" s="123" t="s">
        <v>133</v>
      </c>
      <c r="B30" s="123">
        <f t="shared" si="0"/>
        <v>4275423.763380832</v>
      </c>
      <c r="C30" s="123">
        <f t="shared" si="1"/>
        <v>5898348.5961768702</v>
      </c>
      <c r="D30" s="123">
        <f t="shared" si="2"/>
        <v>7288229.8688719384</v>
      </c>
      <c r="E30" s="123">
        <f t="shared" si="3"/>
        <v>8954523.4369900115</v>
      </c>
      <c r="F30" s="123">
        <f t="shared" si="4"/>
        <v>15665709.890067277</v>
      </c>
      <c r="G30" s="127">
        <v>42082235.555486932</v>
      </c>
      <c r="H30" s="125">
        <v>0.10159687827761747</v>
      </c>
      <c r="I30" s="125">
        <v>0.14016243477368703</v>
      </c>
      <c r="J30" s="125">
        <v>0.17319017805653758</v>
      </c>
      <c r="K30" s="125">
        <v>0.21278630564156106</v>
      </c>
      <c r="L30" s="125">
        <v>0.37226420325059678</v>
      </c>
    </row>
    <row r="31" spans="1:12" s="126" customFormat="1" x14ac:dyDescent="0.2">
      <c r="A31" s="123" t="s">
        <v>134</v>
      </c>
      <c r="B31" s="123">
        <f t="shared" si="0"/>
        <v>948025.87042801804</v>
      </c>
      <c r="C31" s="123">
        <f t="shared" si="1"/>
        <v>1307890.7194819672</v>
      </c>
      <c r="D31" s="123">
        <f t="shared" si="2"/>
        <v>1616080.8489900662</v>
      </c>
      <c r="E31" s="123">
        <f t="shared" si="3"/>
        <v>1985562.2145178167</v>
      </c>
      <c r="F31" s="123">
        <f t="shared" si="4"/>
        <v>3473690.346582131</v>
      </c>
      <c r="G31" s="127">
        <v>9331250</v>
      </c>
      <c r="H31" s="125">
        <v>0.10159687827761747</v>
      </c>
      <c r="I31" s="125">
        <v>0.14016243477368703</v>
      </c>
      <c r="J31" s="125">
        <v>0.17319017805653758</v>
      </c>
      <c r="K31" s="125">
        <v>0.21278630564156106</v>
      </c>
      <c r="L31" s="125">
        <v>0.37226420325059678</v>
      </c>
    </row>
    <row r="32" spans="1:12" s="126" customFormat="1" x14ac:dyDescent="0.2">
      <c r="A32" s="123" t="s">
        <v>135</v>
      </c>
      <c r="B32" s="123">
        <f t="shared" si="0"/>
        <v>3615291.1624654741</v>
      </c>
      <c r="C32" s="123">
        <f t="shared" si="1"/>
        <v>4987633.6786874486</v>
      </c>
      <c r="D32" s="123">
        <f t="shared" si="2"/>
        <v>6162914.9514091304</v>
      </c>
      <c r="E32" s="123">
        <f t="shared" si="3"/>
        <v>7571929.9974701283</v>
      </c>
      <c r="F32" s="123">
        <f t="shared" si="4"/>
        <v>13246898.004450129</v>
      </c>
      <c r="G32" s="127">
        <v>35584667.794482313</v>
      </c>
      <c r="H32" s="125">
        <v>0.10159687827761747</v>
      </c>
      <c r="I32" s="125">
        <v>0.14016243477368703</v>
      </c>
      <c r="J32" s="125">
        <v>0.17319017805653758</v>
      </c>
      <c r="K32" s="125">
        <v>0.21278630564156106</v>
      </c>
      <c r="L32" s="125">
        <v>0.37226420325059678</v>
      </c>
    </row>
    <row r="33" spans="1:12" s="126" customFormat="1" x14ac:dyDescent="0.2">
      <c r="A33" s="123" t="s">
        <v>136</v>
      </c>
      <c r="B33" s="123">
        <f t="shared" si="0"/>
        <v>5268217.4652303327</v>
      </c>
      <c r="C33" s="123">
        <f t="shared" si="1"/>
        <v>7268000.743351792</v>
      </c>
      <c r="D33" s="123">
        <f t="shared" si="2"/>
        <v>8980625.5498384889</v>
      </c>
      <c r="E33" s="123">
        <f t="shared" si="3"/>
        <v>11033848.192456491</v>
      </c>
      <c r="F33" s="123">
        <f t="shared" si="4"/>
        <v>19303435.405622184</v>
      </c>
      <c r="G33" s="127">
        <v>51854127.356499292</v>
      </c>
      <c r="H33" s="125">
        <v>0.10159687827761747</v>
      </c>
      <c r="I33" s="125">
        <v>0.14016243477368703</v>
      </c>
      <c r="J33" s="125">
        <v>0.17319017805653758</v>
      </c>
      <c r="K33" s="125">
        <v>0.21278630564156106</v>
      </c>
      <c r="L33" s="125">
        <v>0.37226420325059678</v>
      </c>
    </row>
    <row r="34" spans="1:12" s="126" customFormat="1" x14ac:dyDescent="0.2">
      <c r="A34" s="123" t="s">
        <v>514</v>
      </c>
      <c r="B34" s="123">
        <f t="shared" si="0"/>
        <v>6001309.7914276039</v>
      </c>
      <c r="C34" s="123">
        <f t="shared" si="1"/>
        <v>8279370.4536783397</v>
      </c>
      <c r="D34" s="123">
        <f t="shared" si="2"/>
        <v>10230313.460121041</v>
      </c>
      <c r="E34" s="123">
        <f t="shared" si="3"/>
        <v>12569249.775952404</v>
      </c>
      <c r="F34" s="123">
        <f t="shared" si="4"/>
        <v>21989581.233599618</v>
      </c>
      <c r="G34" s="127">
        <v>59069824.714779012</v>
      </c>
      <c r="H34" s="125">
        <v>0.10159687827761747</v>
      </c>
      <c r="I34" s="125">
        <v>0.14016243477368703</v>
      </c>
      <c r="J34" s="125">
        <v>0.17319017805653758</v>
      </c>
      <c r="K34" s="125">
        <v>0.21278630564156106</v>
      </c>
      <c r="L34" s="125">
        <v>0.37226420325059678</v>
      </c>
    </row>
    <row r="35" spans="1:12" s="126" customFormat="1" x14ac:dyDescent="0.2">
      <c r="A35" s="123" t="s">
        <v>138</v>
      </c>
      <c r="B35" s="123">
        <f t="shared" si="0"/>
        <v>638544.13462949917</v>
      </c>
      <c r="C35" s="123">
        <f t="shared" si="1"/>
        <v>880931.60082700173</v>
      </c>
      <c r="D35" s="123">
        <f t="shared" si="2"/>
        <v>1088513.4882909521</v>
      </c>
      <c r="E35" s="123">
        <f t="shared" si="3"/>
        <v>1337378.1724436372</v>
      </c>
      <c r="F35" s="123">
        <f t="shared" si="4"/>
        <v>2339708.9314953969</v>
      </c>
      <c r="G35" s="127">
        <v>6285076.3276864877</v>
      </c>
      <c r="H35" s="125">
        <v>0.10159687827761747</v>
      </c>
      <c r="I35" s="125">
        <v>0.14016243477368703</v>
      </c>
      <c r="J35" s="125">
        <v>0.17319017805653758</v>
      </c>
      <c r="K35" s="125">
        <v>0.21278630564156106</v>
      </c>
      <c r="L35" s="125">
        <v>0.37226420325059678</v>
      </c>
    </row>
    <row r="36" spans="1:12" s="126" customFormat="1" x14ac:dyDescent="0.2">
      <c r="A36" s="123" t="s">
        <v>139</v>
      </c>
      <c r="B36" s="123">
        <f t="shared" si="0"/>
        <v>914354.01853113587</v>
      </c>
      <c r="C36" s="123">
        <f t="shared" si="1"/>
        <v>1261437.2375914142</v>
      </c>
      <c r="D36" s="123">
        <f t="shared" si="2"/>
        <v>1558681.1126558532</v>
      </c>
      <c r="E36" s="123">
        <f t="shared" si="3"/>
        <v>1915039.2900863301</v>
      </c>
      <c r="F36" s="123">
        <f t="shared" si="4"/>
        <v>3350312.2927396395</v>
      </c>
      <c r="G36" s="127">
        <v>8999823.9516043738</v>
      </c>
      <c r="H36" s="125">
        <v>0.10159687827761747</v>
      </c>
      <c r="I36" s="125">
        <v>0.14016243477368703</v>
      </c>
      <c r="J36" s="125">
        <v>0.17319017805653758</v>
      </c>
      <c r="K36" s="125">
        <v>0.21278630564156106</v>
      </c>
      <c r="L36" s="125">
        <v>0.37226420325059678</v>
      </c>
    </row>
    <row r="37" spans="1:12" s="126" customFormat="1" x14ac:dyDescent="0.2">
      <c r="A37" s="123" t="s">
        <v>140</v>
      </c>
      <c r="B37" s="123">
        <f t="shared" si="0"/>
        <v>128182.40788437572</v>
      </c>
      <c r="C37" s="123">
        <f t="shared" si="1"/>
        <v>176839.6695726632</v>
      </c>
      <c r="D37" s="123">
        <f t="shared" si="2"/>
        <v>218510.00170053024</v>
      </c>
      <c r="E37" s="123">
        <f t="shared" si="3"/>
        <v>268467.51085623662</v>
      </c>
      <c r="F37" s="123">
        <f t="shared" si="4"/>
        <v>469677.04865330196</v>
      </c>
      <c r="G37" s="127">
        <v>1261676.6386671078</v>
      </c>
      <c r="H37" s="125">
        <v>0.10159687827761747</v>
      </c>
      <c r="I37" s="125">
        <v>0.14016243477368703</v>
      </c>
      <c r="J37" s="125">
        <v>0.17319017805653758</v>
      </c>
      <c r="K37" s="125">
        <v>0.21278630564156106</v>
      </c>
      <c r="L37" s="125">
        <v>0.37226420325059678</v>
      </c>
    </row>
    <row r="38" spans="1:12" s="126" customFormat="1" x14ac:dyDescent="0.2">
      <c r="A38" s="123" t="s">
        <v>141</v>
      </c>
      <c r="B38" s="123">
        <f t="shared" si="0"/>
        <v>19757.919464030983</v>
      </c>
      <c r="C38" s="123">
        <f t="shared" si="1"/>
        <v>27257.905410968764</v>
      </c>
      <c r="D38" s="123">
        <f t="shared" si="2"/>
        <v>33680.932406720611</v>
      </c>
      <c r="E38" s="123">
        <f t="shared" si="3"/>
        <v>41381.337312613708</v>
      </c>
      <c r="F38" s="123">
        <f t="shared" si="4"/>
        <v>72395.591989240755</v>
      </c>
      <c r="G38" s="127">
        <v>194473.68658357483</v>
      </c>
      <c r="H38" s="125">
        <v>0.10159687827761747</v>
      </c>
      <c r="I38" s="125">
        <v>0.14016243477368703</v>
      </c>
      <c r="J38" s="125">
        <v>0.17319017805653758</v>
      </c>
      <c r="K38" s="125">
        <v>0.21278630564156106</v>
      </c>
      <c r="L38" s="125">
        <v>0.37226420325059678</v>
      </c>
    </row>
    <row r="39" spans="1:12" s="126" customFormat="1" x14ac:dyDescent="0.2">
      <c r="A39" s="123" t="s">
        <v>142</v>
      </c>
      <c r="B39" s="123">
        <f t="shared" si="0"/>
        <v>232167.21018072893</v>
      </c>
      <c r="C39" s="123">
        <f t="shared" si="1"/>
        <v>320296.46978547325</v>
      </c>
      <c r="D39" s="123">
        <f t="shared" si="2"/>
        <v>395770.82634583645</v>
      </c>
      <c r="E39" s="123">
        <f t="shared" si="3"/>
        <v>486255.12695845059</v>
      </c>
      <c r="F39" s="123">
        <f t="shared" si="4"/>
        <v>850690.91672951053</v>
      </c>
      <c r="G39" s="127">
        <v>2285180.5499999998</v>
      </c>
      <c r="H39" s="125">
        <v>0.10159687827761747</v>
      </c>
      <c r="I39" s="125">
        <v>0.14016243477368703</v>
      </c>
      <c r="J39" s="125">
        <v>0.17319017805653758</v>
      </c>
      <c r="K39" s="125">
        <v>0.21278630564156106</v>
      </c>
      <c r="L39" s="125">
        <v>0.37226420325059678</v>
      </c>
    </row>
    <row r="40" spans="1:12" s="126" customFormat="1" x14ac:dyDescent="0.2">
      <c r="A40" s="123" t="s">
        <v>143</v>
      </c>
      <c r="B40" s="123">
        <f t="shared" si="0"/>
        <v>1522003.56758159</v>
      </c>
      <c r="C40" s="123">
        <f t="shared" si="1"/>
        <v>2099746.8562326017</v>
      </c>
      <c r="D40" s="123">
        <f t="shared" si="2"/>
        <v>2594529.215276225</v>
      </c>
      <c r="E40" s="123">
        <f t="shared" si="3"/>
        <v>3187711.2939828546</v>
      </c>
      <c r="F40" s="123">
        <f t="shared" si="4"/>
        <v>5576819.4361455077</v>
      </c>
      <c r="G40" s="127">
        <v>14980810.36921878</v>
      </c>
      <c r="H40" s="125">
        <v>0.10159687827761747</v>
      </c>
      <c r="I40" s="125">
        <v>0.14016243477368703</v>
      </c>
      <c r="J40" s="125">
        <v>0.17319017805653758</v>
      </c>
      <c r="K40" s="125">
        <v>0.21278630564156106</v>
      </c>
      <c r="L40" s="125">
        <v>0.37226420325059678</v>
      </c>
    </row>
    <row r="41" spans="1:12" s="126" customFormat="1" x14ac:dyDescent="0.2">
      <c r="A41" s="123" t="s">
        <v>144</v>
      </c>
      <c r="B41" s="123">
        <f t="shared" si="0"/>
        <v>3971247.6941162641</v>
      </c>
      <c r="C41" s="123">
        <f t="shared" si="1"/>
        <v>5478709.1427724827</v>
      </c>
      <c r="D41" s="123">
        <f t="shared" si="2"/>
        <v>6769706.9724054029</v>
      </c>
      <c r="E41" s="123">
        <f t="shared" si="3"/>
        <v>8317451.6771026971</v>
      </c>
      <c r="F41" s="123">
        <f t="shared" si="4"/>
        <v>14551169.128654741</v>
      </c>
      <c r="G41" s="127">
        <v>39088284.61505159</v>
      </c>
      <c r="H41" s="125">
        <v>0.10159687827761747</v>
      </c>
      <c r="I41" s="125">
        <v>0.14016243477368703</v>
      </c>
      <c r="J41" s="125">
        <v>0.17319017805653758</v>
      </c>
      <c r="K41" s="125">
        <v>0.21278630564156106</v>
      </c>
      <c r="L41" s="125">
        <v>0.37226420325059678</v>
      </c>
    </row>
    <row r="42" spans="1:12" s="126" customFormat="1" x14ac:dyDescent="0.2">
      <c r="A42" s="123" t="s">
        <v>145</v>
      </c>
      <c r="B42" s="123">
        <f t="shared" si="0"/>
        <v>645605.07888071309</v>
      </c>
      <c r="C42" s="123">
        <f t="shared" si="1"/>
        <v>890672.83653059381</v>
      </c>
      <c r="D42" s="123">
        <f t="shared" si="2"/>
        <v>1100550.1395429075</v>
      </c>
      <c r="E42" s="123">
        <f t="shared" si="3"/>
        <v>1352166.7394451869</v>
      </c>
      <c r="F42" s="123">
        <f t="shared" si="4"/>
        <v>2365581.1514930674</v>
      </c>
      <c r="G42" s="127">
        <v>6354575.945892469</v>
      </c>
      <c r="H42" s="125">
        <v>0.10159687827761747</v>
      </c>
      <c r="I42" s="125">
        <v>0.14016243477368703</v>
      </c>
      <c r="J42" s="125">
        <v>0.17319017805653758</v>
      </c>
      <c r="K42" s="125">
        <v>0.21278630564156106</v>
      </c>
      <c r="L42" s="125">
        <v>0.37226420325059678</v>
      </c>
    </row>
    <row r="43" spans="1:12" s="126" customFormat="1" x14ac:dyDescent="0.2">
      <c r="A43" s="123" t="s">
        <v>146</v>
      </c>
      <c r="B43" s="123">
        <f t="shared" si="0"/>
        <v>73997.070324719913</v>
      </c>
      <c r="C43" s="123">
        <f t="shared" si="1"/>
        <v>102085.90774306722</v>
      </c>
      <c r="D43" s="123">
        <f t="shared" si="2"/>
        <v>126141.33428569858</v>
      </c>
      <c r="E43" s="123">
        <f t="shared" si="3"/>
        <v>154980.77785097458</v>
      </c>
      <c r="F43" s="123">
        <f t="shared" si="4"/>
        <v>271134.90979553969</v>
      </c>
      <c r="G43" s="127">
        <v>728340</v>
      </c>
      <c r="H43" s="125">
        <v>0.10159687827761747</v>
      </c>
      <c r="I43" s="125">
        <v>0.14016243477368703</v>
      </c>
      <c r="J43" s="125">
        <v>0.17319017805653758</v>
      </c>
      <c r="K43" s="125">
        <v>0.21278630564156106</v>
      </c>
      <c r="L43" s="125">
        <v>0.37226420325059678</v>
      </c>
    </row>
    <row r="44" spans="1:12" s="126" customFormat="1" x14ac:dyDescent="0.2">
      <c r="A44" s="123" t="s">
        <v>147</v>
      </c>
      <c r="B44" s="123">
        <f t="shared" si="0"/>
        <v>448445.86402580689</v>
      </c>
      <c r="C44" s="123">
        <f t="shared" si="1"/>
        <v>618673.18397610995</v>
      </c>
      <c r="D44" s="123">
        <f t="shared" si="2"/>
        <v>764456.74666421139</v>
      </c>
      <c r="E44" s="123">
        <f t="shared" si="3"/>
        <v>939232.9794380276</v>
      </c>
      <c r="F44" s="123">
        <f t="shared" si="4"/>
        <v>1643164.0922708414</v>
      </c>
      <c r="G44" s="127">
        <v>4413972.8663749974</v>
      </c>
      <c r="H44" s="125">
        <v>0.10159687827761747</v>
      </c>
      <c r="I44" s="125">
        <v>0.14016243477368703</v>
      </c>
      <c r="J44" s="125">
        <v>0.17319017805653758</v>
      </c>
      <c r="K44" s="125">
        <v>0.21278630564156106</v>
      </c>
      <c r="L44" s="125">
        <v>0.37226420325059678</v>
      </c>
    </row>
    <row r="45" spans="1:12" s="126" customFormat="1" x14ac:dyDescent="0.2">
      <c r="A45" s="123" t="s">
        <v>148</v>
      </c>
      <c r="B45" s="123">
        <f t="shared" si="0"/>
        <v>169421.39016671714</v>
      </c>
      <c r="C45" s="123">
        <f t="shared" si="1"/>
        <v>233732.71847606957</v>
      </c>
      <c r="D45" s="123">
        <f t="shared" si="2"/>
        <v>288809.27472378989</v>
      </c>
      <c r="E45" s="123">
        <f t="shared" si="3"/>
        <v>354839.16751579399</v>
      </c>
      <c r="F45" s="123">
        <f t="shared" si="4"/>
        <v>620782.05446117651</v>
      </c>
      <c r="G45" s="127">
        <v>1667584.6053435472</v>
      </c>
      <c r="H45" s="125">
        <v>0.10159687827761747</v>
      </c>
      <c r="I45" s="125">
        <v>0.14016243477368703</v>
      </c>
      <c r="J45" s="125">
        <v>0.17319017805653758</v>
      </c>
      <c r="K45" s="125">
        <v>0.21278630564156106</v>
      </c>
      <c r="L45" s="125">
        <v>0.37226420325059678</v>
      </c>
    </row>
    <row r="46" spans="1:12" s="126" customFormat="1" x14ac:dyDescent="0.2">
      <c r="A46" s="123" t="s">
        <v>149</v>
      </c>
      <c r="B46" s="123">
        <f t="shared" si="0"/>
        <v>61813.68959365863</v>
      </c>
      <c r="C46" s="123">
        <f t="shared" si="1"/>
        <v>85277.789856077172</v>
      </c>
      <c r="D46" s="123">
        <f t="shared" si="2"/>
        <v>105372.56743070409</v>
      </c>
      <c r="E46" s="123">
        <f t="shared" si="3"/>
        <v>129463.6889409874</v>
      </c>
      <c r="F46" s="123">
        <f t="shared" si="4"/>
        <v>226493.41492249895</v>
      </c>
      <c r="G46" s="127">
        <v>608421.15074392629</v>
      </c>
      <c r="H46" s="125">
        <v>0.10159687827761747</v>
      </c>
      <c r="I46" s="125">
        <v>0.14016243477368703</v>
      </c>
      <c r="J46" s="125">
        <v>0.17319017805653758</v>
      </c>
      <c r="K46" s="125">
        <v>0.21278630564156106</v>
      </c>
      <c r="L46" s="125">
        <v>0.37226420325059678</v>
      </c>
    </row>
    <row r="47" spans="1:12" s="126" customFormat="1" x14ac:dyDescent="0.2">
      <c r="A47" s="123" t="s">
        <v>150</v>
      </c>
      <c r="B47" s="123">
        <f t="shared" si="0"/>
        <v>218677.7833375902</v>
      </c>
      <c r="C47" s="123">
        <f t="shared" si="1"/>
        <v>301686.53863316687</v>
      </c>
      <c r="D47" s="123">
        <f t="shared" si="2"/>
        <v>372775.66865546134</v>
      </c>
      <c r="E47" s="123">
        <f t="shared" si="3"/>
        <v>458002.63188345433</v>
      </c>
      <c r="F47" s="123">
        <f t="shared" si="4"/>
        <v>801263.89868328604</v>
      </c>
      <c r="G47" s="127">
        <v>2152406.52119296</v>
      </c>
      <c r="H47" s="125">
        <v>0.101596878277617</v>
      </c>
      <c r="I47" s="125">
        <v>0.14016243477368703</v>
      </c>
      <c r="J47" s="125">
        <v>0.17319017805653758</v>
      </c>
      <c r="K47" s="125">
        <v>0.21278630564156106</v>
      </c>
      <c r="L47" s="125">
        <v>0.37226420325059678</v>
      </c>
    </row>
    <row r="48" spans="1:12" s="126" customFormat="1" x14ac:dyDescent="0.2">
      <c r="A48" s="123" t="s">
        <v>151</v>
      </c>
      <c r="B48" s="123">
        <f t="shared" si="0"/>
        <v>2837.324446626501</v>
      </c>
      <c r="C48" s="123">
        <f t="shared" si="1"/>
        <v>3914.3555335960336</v>
      </c>
      <c r="D48" s="123">
        <f t="shared" si="2"/>
        <v>4836.7305614710895</v>
      </c>
      <c r="E48" s="123">
        <f t="shared" si="3"/>
        <v>5942.5426955972616</v>
      </c>
      <c r="F48" s="123">
        <f t="shared" si="4"/>
        <v>10396.326564293176</v>
      </c>
      <c r="G48" s="127">
        <v>27927.279801584064</v>
      </c>
      <c r="H48" s="125">
        <v>0.10159687827761747</v>
      </c>
      <c r="I48" s="125">
        <v>0.14016243477368703</v>
      </c>
      <c r="J48" s="125">
        <v>0.17319017805653758</v>
      </c>
      <c r="K48" s="125">
        <v>0.21278630564156106</v>
      </c>
      <c r="L48" s="125">
        <v>0.37226420325059678</v>
      </c>
    </row>
    <row r="49" spans="1:12" s="126" customFormat="1" x14ac:dyDescent="0.2">
      <c r="A49" s="123" t="s">
        <v>152</v>
      </c>
      <c r="B49" s="123">
        <f t="shared" si="0"/>
        <v>133532.38981806173</v>
      </c>
      <c r="C49" s="123">
        <f t="shared" si="1"/>
        <v>184220.47207893341</v>
      </c>
      <c r="D49" s="123">
        <f t="shared" si="2"/>
        <v>227630.0095137867</v>
      </c>
      <c r="E49" s="123">
        <f t="shared" si="3"/>
        <v>279672.60800309392</v>
      </c>
      <c r="F49" s="123">
        <f t="shared" si="4"/>
        <v>489280.07972780569</v>
      </c>
      <c r="G49" s="127">
        <v>1314335.5591416815</v>
      </c>
      <c r="H49" s="125">
        <v>0.10159687827761747</v>
      </c>
      <c r="I49" s="125">
        <v>0.14016243477368703</v>
      </c>
      <c r="J49" s="125">
        <v>0.17319017805653758</v>
      </c>
      <c r="K49" s="125">
        <v>0.21278630564156106</v>
      </c>
      <c r="L49" s="125">
        <v>0.37226420325059678</v>
      </c>
    </row>
    <row r="50" spans="1:12" s="126" customFormat="1" x14ac:dyDescent="0.2">
      <c r="A50" s="123" t="s">
        <v>153</v>
      </c>
      <c r="B50" s="123">
        <f t="shared" si="0"/>
        <v>331430.15681867674</v>
      </c>
      <c r="C50" s="123">
        <f t="shared" si="1"/>
        <v>457239.02667750383</v>
      </c>
      <c r="D50" s="123">
        <f t="shared" si="2"/>
        <v>564982.39754851337</v>
      </c>
      <c r="E50" s="123">
        <f t="shared" si="3"/>
        <v>694153.2047366692</v>
      </c>
      <c r="F50" s="123">
        <f t="shared" si="4"/>
        <v>1214403.2902682843</v>
      </c>
      <c r="G50" s="127">
        <v>3262208.0760496478</v>
      </c>
      <c r="H50" s="125">
        <v>0.10159687827761747</v>
      </c>
      <c r="I50" s="125">
        <v>0.14016243477368703</v>
      </c>
      <c r="J50" s="125">
        <v>0.17319017805653758</v>
      </c>
      <c r="K50" s="125">
        <v>0.21278630564156106</v>
      </c>
      <c r="L50" s="125">
        <v>0.37226420325059678</v>
      </c>
    </row>
    <row r="51" spans="1:12" s="126" customFormat="1" x14ac:dyDescent="0.2">
      <c r="A51" s="123" t="s">
        <v>154</v>
      </c>
      <c r="B51" s="123">
        <f t="shared" si="0"/>
        <v>1250.8515605683565</v>
      </c>
      <c r="C51" s="123">
        <f t="shared" si="1"/>
        <v>1725.6671980673614</v>
      </c>
      <c r="D51" s="123">
        <f t="shared" si="2"/>
        <v>2132.3017810170049</v>
      </c>
      <c r="E51" s="123">
        <f t="shared" si="3"/>
        <v>2619.805716392369</v>
      </c>
      <c r="F51" s="123">
        <f t="shared" si="4"/>
        <v>4583.2831428869831</v>
      </c>
      <c r="G51" s="127">
        <v>12311.909398932075</v>
      </c>
      <c r="H51" s="125">
        <v>0.10159687827761747</v>
      </c>
      <c r="I51" s="125">
        <v>0.14016243477368703</v>
      </c>
      <c r="J51" s="125">
        <v>0.17319017805653758</v>
      </c>
      <c r="K51" s="125">
        <v>0.21278630564156106</v>
      </c>
      <c r="L51" s="125">
        <v>0.37226420325059678</v>
      </c>
    </row>
    <row r="52" spans="1:12" s="126" customFormat="1" x14ac:dyDescent="0.2">
      <c r="A52" s="123" t="s">
        <v>155</v>
      </c>
      <c r="B52" s="123">
        <f t="shared" si="0"/>
        <v>78926.512383728419</v>
      </c>
      <c r="C52" s="123">
        <f t="shared" si="1"/>
        <v>108886.53599838109</v>
      </c>
      <c r="D52" s="123">
        <f t="shared" si="2"/>
        <v>134544.45613739776</v>
      </c>
      <c r="E52" s="123">
        <f t="shared" si="3"/>
        <v>165305.08881793503</v>
      </c>
      <c r="F52" s="123">
        <f t="shared" si="4"/>
        <v>289197.0279597654</v>
      </c>
      <c r="G52" s="127">
        <v>776859.62129720778</v>
      </c>
      <c r="H52" s="125">
        <v>0.10159687827761747</v>
      </c>
      <c r="I52" s="125">
        <v>0.14016243477368703</v>
      </c>
      <c r="J52" s="125">
        <v>0.17319017805653758</v>
      </c>
      <c r="K52" s="125">
        <v>0.21278630564156106</v>
      </c>
      <c r="L52" s="125">
        <v>0.37226420325059678</v>
      </c>
    </row>
    <row r="53" spans="1:12" s="126" customFormat="1" x14ac:dyDescent="0.2">
      <c r="A53" s="123" t="s">
        <v>156</v>
      </c>
      <c r="B53" s="123">
        <f t="shared" si="0"/>
        <v>18404.928316101206</v>
      </c>
      <c r="C53" s="123">
        <f t="shared" si="1"/>
        <v>25391.327059979583</v>
      </c>
      <c r="D53" s="123">
        <f t="shared" si="2"/>
        <v>31374.515302264153</v>
      </c>
      <c r="E53" s="123">
        <f t="shared" si="3"/>
        <v>38547.608631039264</v>
      </c>
      <c r="F53" s="123">
        <f t="shared" si="4"/>
        <v>67438.056086288198</v>
      </c>
      <c r="G53" s="127">
        <v>181156.43539567242</v>
      </c>
      <c r="H53" s="125">
        <v>0.10159687827761747</v>
      </c>
      <c r="I53" s="125">
        <v>0.14016243477368703</v>
      </c>
      <c r="J53" s="125">
        <v>0.17319017805653758</v>
      </c>
      <c r="K53" s="125">
        <v>0.21278630564156106</v>
      </c>
      <c r="L53" s="125">
        <v>0.37226420325059678</v>
      </c>
    </row>
    <row r="54" spans="1:12" s="126" customFormat="1" x14ac:dyDescent="0.2">
      <c r="A54" s="123" t="s">
        <v>157</v>
      </c>
      <c r="B54" s="123">
        <f t="shared" si="0"/>
        <v>225839.65527230085</v>
      </c>
      <c r="C54" s="123">
        <f t="shared" si="1"/>
        <v>311567.01355448528</v>
      </c>
      <c r="D54" s="123">
        <f t="shared" si="2"/>
        <v>384984.36932243587</v>
      </c>
      <c r="E54" s="123">
        <f t="shared" si="3"/>
        <v>473002.58361721324</v>
      </c>
      <c r="F54" s="123">
        <f t="shared" si="4"/>
        <v>827505.93086730875</v>
      </c>
      <c r="G54" s="127">
        <v>2222899.5526337442</v>
      </c>
      <c r="H54" s="125">
        <v>0.10159687827761747</v>
      </c>
      <c r="I54" s="125">
        <v>0.14016243477368703</v>
      </c>
      <c r="J54" s="125">
        <v>0.17319017805653758</v>
      </c>
      <c r="K54" s="125">
        <v>0.21278630564156106</v>
      </c>
      <c r="L54" s="125">
        <v>0.37226420325059678</v>
      </c>
    </row>
    <row r="55" spans="1:12" s="126" customFormat="1" x14ac:dyDescent="0.2">
      <c r="A55" s="123" t="s">
        <v>158</v>
      </c>
      <c r="B55" s="123">
        <f t="shared" si="0"/>
        <v>74575.943263843626</v>
      </c>
      <c r="C55" s="123">
        <f t="shared" si="1"/>
        <v>102884.51732583877</v>
      </c>
      <c r="D55" s="123">
        <f t="shared" si="2"/>
        <v>127128.12747362503</v>
      </c>
      <c r="E55" s="123">
        <f t="shared" si="3"/>
        <v>156193.17961213324</v>
      </c>
      <c r="F55" s="123">
        <f t="shared" si="4"/>
        <v>273255.97568968433</v>
      </c>
      <c r="G55" s="127">
        <v>734037.74336512503</v>
      </c>
      <c r="H55" s="125">
        <v>0.10159687827761747</v>
      </c>
      <c r="I55" s="125">
        <v>0.14016243477368703</v>
      </c>
      <c r="J55" s="125">
        <v>0.17319017805653758</v>
      </c>
      <c r="K55" s="125">
        <v>0.21278630564156106</v>
      </c>
      <c r="L55" s="125">
        <v>0.37226420325059678</v>
      </c>
    </row>
    <row r="56" spans="1:12" s="126" customFormat="1" x14ac:dyDescent="0.2">
      <c r="A56" s="123" t="s">
        <v>159</v>
      </c>
      <c r="B56" s="123">
        <f t="shared" si="0"/>
        <v>37960.971197165061</v>
      </c>
      <c r="C56" s="123">
        <f t="shared" si="1"/>
        <v>52370.724766064479</v>
      </c>
      <c r="D56" s="123">
        <f t="shared" si="2"/>
        <v>64711.312712494182</v>
      </c>
      <c r="E56" s="123">
        <f t="shared" si="3"/>
        <v>79506.132044118218</v>
      </c>
      <c r="F56" s="123">
        <f t="shared" si="4"/>
        <v>139093.94596472339</v>
      </c>
      <c r="G56" s="127">
        <v>373643.08668456535</v>
      </c>
      <c r="H56" s="125">
        <v>0.10159687827761747</v>
      </c>
      <c r="I56" s="125">
        <v>0.14016243477368703</v>
      </c>
      <c r="J56" s="125">
        <v>0.17319017805653758</v>
      </c>
      <c r="K56" s="125">
        <v>0.21278630564156106</v>
      </c>
      <c r="L56" s="125">
        <v>0.37226420325059678</v>
      </c>
    </row>
    <row r="57" spans="1:12" s="126" customFormat="1" x14ac:dyDescent="0.2">
      <c r="A57" s="123" t="s">
        <v>160</v>
      </c>
      <c r="B57" s="123">
        <f t="shared" si="0"/>
        <v>192781.18893942775</v>
      </c>
      <c r="C57" s="123">
        <f t="shared" si="1"/>
        <v>265959.75465389108</v>
      </c>
      <c r="D57" s="123">
        <f t="shared" si="2"/>
        <v>328630.25916147744</v>
      </c>
      <c r="E57" s="123">
        <f t="shared" si="3"/>
        <v>403764.34480119136</v>
      </c>
      <c r="F57" s="123">
        <f t="shared" si="4"/>
        <v>706375.40167461336</v>
      </c>
      <c r="G57" s="127">
        <v>1897510.9492306011</v>
      </c>
      <c r="H57" s="125">
        <v>0.10159687827761747</v>
      </c>
      <c r="I57" s="125">
        <v>0.14016243477368703</v>
      </c>
      <c r="J57" s="125">
        <v>0.17319017805653758</v>
      </c>
      <c r="K57" s="125">
        <v>0.21278630564156106</v>
      </c>
      <c r="L57" s="125">
        <v>0.37226420325059678</v>
      </c>
    </row>
    <row r="58" spans="1:12" s="126" customFormat="1" x14ac:dyDescent="0.2">
      <c r="A58" s="123" t="s">
        <v>161</v>
      </c>
      <c r="B58" s="123">
        <f t="shared" si="0"/>
        <v>14076209.691325182</v>
      </c>
      <c r="C58" s="123">
        <f t="shared" si="1"/>
        <v>19419453.197468601</v>
      </c>
      <c r="D58" s="123">
        <f t="shared" si="2"/>
        <v>23995434.742987044</v>
      </c>
      <c r="E58" s="123">
        <f t="shared" si="3"/>
        <v>29481463.490132585</v>
      </c>
      <c r="F58" s="123">
        <f t="shared" si="4"/>
        <v>51577066.878086574</v>
      </c>
      <c r="G58" s="127">
        <v>138549628</v>
      </c>
      <c r="H58" s="125">
        <v>0.10159687827761747</v>
      </c>
      <c r="I58" s="125">
        <v>0.14016243477368703</v>
      </c>
      <c r="J58" s="125">
        <v>0.17319017805653758</v>
      </c>
      <c r="K58" s="125">
        <v>0.21278630564156106</v>
      </c>
      <c r="L58" s="125">
        <v>0.37226420325059678</v>
      </c>
    </row>
    <row r="59" spans="1:12" s="126" customFormat="1" x14ac:dyDescent="0.2">
      <c r="A59" s="123" t="s">
        <v>162</v>
      </c>
      <c r="B59" s="123">
        <f t="shared" si="0"/>
        <v>12251076.228994541</v>
      </c>
      <c r="C59" s="123">
        <f t="shared" si="1"/>
        <v>16901510.183824353</v>
      </c>
      <c r="D59" s="123">
        <f t="shared" si="2"/>
        <v>20884166.024136785</v>
      </c>
      <c r="E59" s="123">
        <f t="shared" si="3"/>
        <v>25658871.562741768</v>
      </c>
      <c r="F59" s="123">
        <f t="shared" si="4"/>
        <v>44889540.000302546</v>
      </c>
      <c r="G59" s="127">
        <v>120585164</v>
      </c>
      <c r="H59" s="125">
        <v>0.10159687827761747</v>
      </c>
      <c r="I59" s="125">
        <v>0.14016243477368703</v>
      </c>
      <c r="J59" s="125">
        <v>0.17319017805653758</v>
      </c>
      <c r="K59" s="125">
        <v>0.21278630564156106</v>
      </c>
      <c r="L59" s="125">
        <v>0.37226420325059678</v>
      </c>
    </row>
    <row r="60" spans="1:12" s="126" customFormat="1" x14ac:dyDescent="0.2">
      <c r="A60" s="123" t="s">
        <v>163</v>
      </c>
      <c r="B60" s="123">
        <f t="shared" si="0"/>
        <v>7430327.1124223256</v>
      </c>
      <c r="C60" s="123">
        <f t="shared" si="1"/>
        <v>10250834.050198294</v>
      </c>
      <c r="D60" s="123">
        <f t="shared" si="2"/>
        <v>12666330.869953962</v>
      </c>
      <c r="E60" s="123">
        <f t="shared" si="3"/>
        <v>15562209.024182158</v>
      </c>
      <c r="F60" s="123">
        <f t="shared" si="4"/>
        <v>27225686.943243258</v>
      </c>
      <c r="G60" s="127">
        <v>73135388</v>
      </c>
      <c r="H60" s="125">
        <v>0.10159687827761747</v>
      </c>
      <c r="I60" s="125">
        <v>0.14016243477368703</v>
      </c>
      <c r="J60" s="125">
        <v>0.17319017805653758</v>
      </c>
      <c r="K60" s="125">
        <v>0.21278630564156106</v>
      </c>
      <c r="L60" s="125">
        <v>0.37226420325059678</v>
      </c>
    </row>
    <row r="61" spans="1:12" s="126" customFormat="1" x14ac:dyDescent="0.2">
      <c r="A61" s="123" t="s">
        <v>164</v>
      </c>
      <c r="B61" s="123">
        <f t="shared" si="0"/>
        <v>2058.2699866801477</v>
      </c>
      <c r="C61" s="123">
        <f t="shared" si="1"/>
        <v>2839.576743356009</v>
      </c>
      <c r="D61" s="123">
        <f t="shared" si="2"/>
        <v>3508.6919157839461</v>
      </c>
      <c r="E61" s="123">
        <f t="shared" si="3"/>
        <v>4310.8772031538101</v>
      </c>
      <c r="F61" s="123">
        <f t="shared" si="4"/>
        <v>7541.7694879598039</v>
      </c>
      <c r="G61" s="127">
        <v>20259.185336933719</v>
      </c>
      <c r="H61" s="125">
        <v>0.10159687827761747</v>
      </c>
      <c r="I61" s="125">
        <v>0.14016243477368703</v>
      </c>
      <c r="J61" s="125">
        <v>0.17319017805653758</v>
      </c>
      <c r="K61" s="125">
        <v>0.21278630564156106</v>
      </c>
      <c r="L61" s="125">
        <v>0.37226420325059678</v>
      </c>
    </row>
    <row r="62" spans="1:12" s="126" customFormat="1" x14ac:dyDescent="0.2">
      <c r="A62" s="123" t="s">
        <v>165</v>
      </c>
      <c r="B62" s="123">
        <f t="shared" si="0"/>
        <v>457.22033440624068</v>
      </c>
      <c r="C62" s="123">
        <f t="shared" si="1"/>
        <v>630.77838989602594</v>
      </c>
      <c r="D62" s="123">
        <f t="shared" si="2"/>
        <v>779.41441183367294</v>
      </c>
      <c r="E62" s="123">
        <f t="shared" si="3"/>
        <v>957.61038598699577</v>
      </c>
      <c r="F62" s="123">
        <f t="shared" si="4"/>
        <v>1675.3148953318616</v>
      </c>
      <c r="G62" s="127">
        <v>4500.3384174547973</v>
      </c>
      <c r="H62" s="125">
        <v>0.10159687827761747</v>
      </c>
      <c r="I62" s="125">
        <v>0.14016243477368703</v>
      </c>
      <c r="J62" s="125">
        <v>0.17319017805653758</v>
      </c>
      <c r="K62" s="125">
        <v>0.21278630564156106</v>
      </c>
      <c r="L62" s="125">
        <v>0.37226420325059678</v>
      </c>
    </row>
    <row r="63" spans="1:12" s="126" customFormat="1" x14ac:dyDescent="0.2">
      <c r="A63" s="123" t="s">
        <v>166</v>
      </c>
      <c r="B63" s="123">
        <f t="shared" si="0"/>
        <v>2439.0672438586375</v>
      </c>
      <c r="C63" s="123">
        <f t="shared" si="1"/>
        <v>3364.9223211545104</v>
      </c>
      <c r="D63" s="123">
        <f t="shared" si="2"/>
        <v>4157.8294276076049</v>
      </c>
      <c r="E63" s="123">
        <f t="shared" si="3"/>
        <v>5108.4257393601774</v>
      </c>
      <c r="F63" s="123">
        <f t="shared" si="4"/>
        <v>8937.0602680190677</v>
      </c>
      <c r="G63" s="127">
        <v>24007.305</v>
      </c>
      <c r="H63" s="125">
        <v>0.10159687827761747</v>
      </c>
      <c r="I63" s="125">
        <v>0.14016243477368703</v>
      </c>
      <c r="J63" s="125">
        <v>0.17319017805653758</v>
      </c>
      <c r="K63" s="125">
        <v>0.21278630564156106</v>
      </c>
      <c r="L63" s="125">
        <v>0.37226420325059678</v>
      </c>
    </row>
    <row r="64" spans="1:12" s="126" customFormat="1" x14ac:dyDescent="0.2">
      <c r="A64" s="123" t="s">
        <v>167</v>
      </c>
      <c r="B64" s="123">
        <f t="shared" si="0"/>
        <v>2354957.6266576764</v>
      </c>
      <c r="C64" s="123">
        <f t="shared" si="1"/>
        <v>3248885.2053038096</v>
      </c>
      <c r="D64" s="123">
        <f t="shared" si="2"/>
        <v>4014449.435758871</v>
      </c>
      <c r="E64" s="123">
        <f t="shared" si="3"/>
        <v>4932265.0637908643</v>
      </c>
      <c r="F64" s="123">
        <f t="shared" si="4"/>
        <v>8628871.6684887782</v>
      </c>
      <c r="G64" s="127">
        <v>23179429</v>
      </c>
      <c r="H64" s="125">
        <v>0.10159687827761747</v>
      </c>
      <c r="I64" s="125">
        <v>0.14016243477368703</v>
      </c>
      <c r="J64" s="125">
        <v>0.17319017805653758</v>
      </c>
      <c r="K64" s="125">
        <v>0.21278630564156106</v>
      </c>
      <c r="L64" s="125">
        <v>0.37226420325059678</v>
      </c>
    </row>
    <row r="65" spans="1:71" s="126" customFormat="1" x14ac:dyDescent="0.2">
      <c r="A65" s="123" t="s">
        <v>168</v>
      </c>
      <c r="B65" s="123">
        <f t="shared" si="0"/>
        <v>633283.56585209968</v>
      </c>
      <c r="C65" s="123">
        <f t="shared" si="1"/>
        <v>873674.15216681792</v>
      </c>
      <c r="D65" s="123">
        <f t="shared" si="2"/>
        <v>1079545.9013071607</v>
      </c>
      <c r="E65" s="123">
        <f t="shared" si="3"/>
        <v>1326360.3437987706</v>
      </c>
      <c r="F65" s="123">
        <f t="shared" si="4"/>
        <v>2320433.5218788497</v>
      </c>
      <c r="G65" s="127">
        <v>6233297.4850036968</v>
      </c>
      <c r="H65" s="125">
        <v>0.10159687827761747</v>
      </c>
      <c r="I65" s="125">
        <v>0.14016243477368701</v>
      </c>
      <c r="J65" s="125">
        <v>0.173190178056538</v>
      </c>
      <c r="K65" s="125">
        <v>0.21278630564156106</v>
      </c>
      <c r="L65" s="125">
        <v>0.37226420325059678</v>
      </c>
    </row>
    <row r="66" spans="1:71" s="126" customFormat="1" x14ac:dyDescent="0.2">
      <c r="A66" s="123" t="s">
        <v>169</v>
      </c>
      <c r="B66" s="123">
        <f t="shared" si="0"/>
        <v>39540.571515010051</v>
      </c>
      <c r="C66" s="123">
        <f t="shared" si="1"/>
        <v>54549.931748325136</v>
      </c>
      <c r="D66" s="123">
        <f t="shared" si="2"/>
        <v>67404.025962582687</v>
      </c>
      <c r="E66" s="123">
        <f t="shared" si="3"/>
        <v>82814.474994440519</v>
      </c>
      <c r="F66" s="123">
        <f t="shared" si="4"/>
        <v>144881.80740048731</v>
      </c>
      <c r="G66" s="127">
        <v>389190.81162084593</v>
      </c>
      <c r="H66" s="125">
        <v>0.101596878277617</v>
      </c>
      <c r="I66" s="125">
        <v>0.14016243477368703</v>
      </c>
      <c r="J66" s="125">
        <v>0.17319017805653758</v>
      </c>
      <c r="K66" s="125">
        <v>0.21278630564156101</v>
      </c>
      <c r="L66" s="125">
        <v>0.37226420325059678</v>
      </c>
    </row>
    <row r="67" spans="1:71" s="126" customFormat="1" x14ac:dyDescent="0.2">
      <c r="A67" s="123" t="s">
        <v>170</v>
      </c>
      <c r="B67" s="123">
        <f>G67*H67</f>
        <v>250651.82104017062</v>
      </c>
      <c r="C67" s="123">
        <f>G67*I67</f>
        <v>345797.7263971566</v>
      </c>
      <c r="D67" s="123">
        <f>G67*J67</f>
        <v>427281.17489517562</v>
      </c>
      <c r="E67" s="123">
        <f>G67*K67</f>
        <v>524969.62412296631</v>
      </c>
      <c r="F67" s="123">
        <f>G67*L67</f>
        <v>918420.94003971841</v>
      </c>
      <c r="G67" s="127">
        <v>2467121.2864951878</v>
      </c>
      <c r="H67" s="125">
        <v>0.10159687827761747</v>
      </c>
      <c r="I67" s="125">
        <v>0.14016243477368703</v>
      </c>
      <c r="J67" s="125">
        <v>0.17319017805653758</v>
      </c>
      <c r="K67" s="125">
        <v>0.21278630564156106</v>
      </c>
      <c r="L67" s="125">
        <v>0.37226420325059678</v>
      </c>
    </row>
    <row r="68" spans="1:71" s="126" customFormat="1" x14ac:dyDescent="0.2">
      <c r="A68" s="123" t="s">
        <v>171</v>
      </c>
      <c r="B68" s="123">
        <f>G68*H68</f>
        <v>100218.85170048545</v>
      </c>
      <c r="C68" s="123">
        <f>G68*I68</f>
        <v>138261.31769698029</v>
      </c>
      <c r="D68" s="123">
        <f>G68*J68</f>
        <v>170841.0835537716</v>
      </c>
      <c r="E68" s="123">
        <f>G68*K68</f>
        <v>209900.14231258005</v>
      </c>
      <c r="F68" s="123">
        <f>G68*L68</f>
        <v>367214.9342721501</v>
      </c>
      <c r="G68" s="127">
        <v>986436.32953596755</v>
      </c>
      <c r="H68" s="125">
        <v>0.10159687827761747</v>
      </c>
      <c r="I68" s="125">
        <v>0.14016243477368703</v>
      </c>
      <c r="J68" s="125">
        <v>0.17319017805653758</v>
      </c>
      <c r="K68" s="125">
        <v>0.21278630564156106</v>
      </c>
      <c r="L68" s="125">
        <v>0.37226420325059678</v>
      </c>
    </row>
    <row r="69" spans="1:71" x14ac:dyDescent="0.2">
      <c r="A69" s="132" t="s">
        <v>535</v>
      </c>
      <c r="B69" s="133">
        <f>SUM(B2:B68)</f>
        <v>86203679.53233543</v>
      </c>
      <c r="C69" s="133">
        <f>SUM(C2:C68)</f>
        <v>118926071.4949019</v>
      </c>
      <c r="D69" s="133">
        <f>SUM(D2:D68)</f>
        <v>146949698.26275635</v>
      </c>
      <c r="E69" s="133">
        <f>SUM(E2:E68)</f>
        <v>180546516.89466131</v>
      </c>
      <c r="F69" s="133">
        <f>SUM(F2:F68)</f>
        <v>315861516.83407003</v>
      </c>
      <c r="G69" s="134">
        <v>848487483.01872504</v>
      </c>
      <c r="H69" s="133"/>
      <c r="I69" s="133"/>
      <c r="J69" s="133"/>
      <c r="K69" s="133"/>
      <c r="L69" s="133"/>
    </row>
    <row r="70" spans="1:71" x14ac:dyDescent="0.2">
      <c r="B70" s="135"/>
      <c r="C70" s="135"/>
      <c r="D70" s="135"/>
      <c r="E70" s="135"/>
      <c r="F70" s="135"/>
      <c r="G70" s="136"/>
      <c r="M70" s="126"/>
    </row>
    <row r="72" spans="1:71" s="120" customFormat="1" x14ac:dyDescent="0.2">
      <c r="A72" s="115" t="s">
        <v>550</v>
      </c>
      <c r="G72" s="138"/>
    </row>
    <row r="74" spans="1:71" x14ac:dyDescent="0.2">
      <c r="A74" s="116" t="s">
        <v>1009</v>
      </c>
    </row>
    <row r="75" spans="1:71" s="119" customFormat="1" x14ac:dyDescent="0.2">
      <c r="B75" s="117" t="s">
        <v>370</v>
      </c>
      <c r="C75" s="117" t="s">
        <v>371</v>
      </c>
      <c r="D75" s="117" t="s">
        <v>372</v>
      </c>
      <c r="E75" s="117" t="s">
        <v>373</v>
      </c>
      <c r="F75" s="117" t="s">
        <v>374</v>
      </c>
      <c r="G75" s="117" t="s">
        <v>375</v>
      </c>
      <c r="H75" s="117" t="s">
        <v>376</v>
      </c>
      <c r="I75" s="117" t="s">
        <v>377</v>
      </c>
      <c r="J75" s="117" t="s">
        <v>378</v>
      </c>
      <c r="K75" s="117" t="s">
        <v>379</v>
      </c>
    </row>
    <row r="76" spans="1:71" s="119" customFormat="1" x14ac:dyDescent="0.2">
      <c r="B76" s="118">
        <v>57765416.335504897</v>
      </c>
      <c r="C76" s="118">
        <v>75775888.940560296</v>
      </c>
      <c r="D76" s="118">
        <v>81225825.485055536</v>
      </c>
      <c r="E76" s="118">
        <v>90261672.413050875</v>
      </c>
      <c r="F76" s="118">
        <v>83992742.018667027</v>
      </c>
      <c r="G76" s="118">
        <v>28438263.196830548</v>
      </c>
      <c r="H76" s="118">
        <v>43150182.554341599</v>
      </c>
      <c r="I76" s="118">
        <v>65723872.777700864</v>
      </c>
      <c r="J76" s="118">
        <v>90284844.481610447</v>
      </c>
      <c r="K76" s="118">
        <v>231868774.81540293</v>
      </c>
    </row>
    <row r="77" spans="1:71" s="119" customFormat="1" x14ac:dyDescent="0.2">
      <c r="B77" s="118"/>
      <c r="C77" s="118"/>
      <c r="D77" s="118"/>
      <c r="E77" s="118"/>
      <c r="F77" s="118"/>
      <c r="G77" s="118"/>
      <c r="H77" s="118"/>
      <c r="I77" s="118"/>
      <c r="J77" s="118"/>
      <c r="K77" s="118"/>
    </row>
    <row r="78" spans="1:71" s="119" customFormat="1" x14ac:dyDescent="0.2">
      <c r="B78" s="117" t="s">
        <v>543</v>
      </c>
      <c r="C78" s="117" t="s">
        <v>544</v>
      </c>
      <c r="D78" s="117" t="s">
        <v>545</v>
      </c>
      <c r="E78" s="117" t="s">
        <v>546</v>
      </c>
      <c r="F78" s="117" t="s">
        <v>547</v>
      </c>
      <c r="G78" s="118" t="s">
        <v>551</v>
      </c>
      <c r="H78" s="118"/>
      <c r="I78" s="118"/>
      <c r="J78" s="118"/>
      <c r="K78" s="118"/>
    </row>
    <row r="79" spans="1:71" s="119" customFormat="1" x14ac:dyDescent="0.2">
      <c r="B79" s="118">
        <f>B76+G76</f>
        <v>86203679.532335445</v>
      </c>
      <c r="C79" s="118">
        <f>C76+H76</f>
        <v>118926071.4949019</v>
      </c>
      <c r="D79" s="118">
        <f>D76+I76</f>
        <v>146949698.26275641</v>
      </c>
      <c r="E79" s="118">
        <f>E76+J76</f>
        <v>180546516.89466131</v>
      </c>
      <c r="F79" s="118">
        <f>F76+K76</f>
        <v>315861516.83406997</v>
      </c>
      <c r="G79" s="118">
        <f>SUM(B79:F79)</f>
        <v>848487483.01872504</v>
      </c>
      <c r="H79" s="118"/>
      <c r="I79" s="118"/>
      <c r="J79" s="118"/>
      <c r="K79" s="118"/>
    </row>
    <row r="80" spans="1:71" s="139" customFormat="1" x14ac:dyDescent="0.2">
      <c r="B80" s="140">
        <f>B79/G79</f>
        <v>0.10159687827761749</v>
      </c>
      <c r="C80" s="140">
        <f>C79/G79</f>
        <v>0.14016243477368698</v>
      </c>
      <c r="D80" s="140">
        <f>D79/G79</f>
        <v>0.17319017805653758</v>
      </c>
      <c r="E80" s="140">
        <f>E79/G79</f>
        <v>0.21278630564156109</v>
      </c>
      <c r="F80" s="140">
        <f>F79/G79</f>
        <v>0.37226420325059684</v>
      </c>
      <c r="G80" s="141"/>
      <c r="H80" s="141"/>
      <c r="I80" s="141"/>
      <c r="J80" s="141"/>
      <c r="K80" s="141"/>
      <c r="BR80" s="142"/>
      <c r="BS80" s="142"/>
    </row>
    <row r="83" spans="1:11" s="144" customFormat="1" x14ac:dyDescent="0.2">
      <c r="A83" s="143" t="s">
        <v>552</v>
      </c>
      <c r="G83" s="145"/>
    </row>
    <row r="84" spans="1:11" x14ac:dyDescent="0.2">
      <c r="A84" s="146" t="s">
        <v>370</v>
      </c>
      <c r="B84" s="139">
        <f>C84/C94</f>
        <v>6.8080457863666705E-2</v>
      </c>
      <c r="C84" s="119">
        <f>SUM(D84:K84)</f>
        <v>107.40233930157001</v>
      </c>
      <c r="D84" s="147">
        <v>36.153596753339997</v>
      </c>
      <c r="E84" s="147">
        <v>20.56380720615347</v>
      </c>
      <c r="F84" s="147">
        <v>40.275314891682726</v>
      </c>
      <c r="G84" s="147">
        <v>10.409620450393824</v>
      </c>
      <c r="H84" s="147"/>
      <c r="I84" s="147"/>
      <c r="J84" s="147"/>
      <c r="K84" s="147"/>
    </row>
    <row r="85" spans="1:11" x14ac:dyDescent="0.2">
      <c r="A85" s="146" t="s">
        <v>371</v>
      </c>
      <c r="B85" s="139">
        <f>C85/C94</f>
        <v>8.9307020382866448E-2</v>
      </c>
      <c r="C85" s="119">
        <f t="shared" ref="C85:C93" si="5">SUM(D85:K85)</f>
        <v>140.88893062941355</v>
      </c>
      <c r="D85" s="147">
        <v>37.845730820592159</v>
      </c>
      <c r="E85" s="147">
        <v>23.554103657294188</v>
      </c>
      <c r="F85" s="147">
        <v>58.78006901812477</v>
      </c>
      <c r="G85" s="147">
        <v>20.70902713340244</v>
      </c>
      <c r="H85" s="147"/>
      <c r="I85" s="147"/>
      <c r="J85" s="147"/>
      <c r="K85" s="147"/>
    </row>
    <row r="86" spans="1:11" x14ac:dyDescent="0.2">
      <c r="A86" s="146" t="s">
        <v>372</v>
      </c>
      <c r="B86" s="139">
        <f>C86/C94</f>
        <v>9.5730139938037223E-2</v>
      </c>
      <c r="C86" s="119">
        <f t="shared" si="5"/>
        <v>151.02191280207262</v>
      </c>
      <c r="D86" s="147">
        <v>35.971002078218298</v>
      </c>
      <c r="E86" s="147">
        <v>23.828161499850257</v>
      </c>
      <c r="F86" s="147">
        <v>63.298804160659678</v>
      </c>
      <c r="G86" s="147">
        <v>27.923945063344366</v>
      </c>
      <c r="H86" s="147"/>
      <c r="I86" s="147"/>
      <c r="J86" s="147"/>
      <c r="K86" s="147"/>
    </row>
    <row r="87" spans="1:11" x14ac:dyDescent="0.2">
      <c r="A87" s="146" t="s">
        <v>373</v>
      </c>
      <c r="B87" s="139">
        <f>C87/C94</f>
        <v>0.10637949789420631</v>
      </c>
      <c r="C87" s="119">
        <f t="shared" si="5"/>
        <v>167.82212232538066</v>
      </c>
      <c r="D87" s="147">
        <v>37.937348874453122</v>
      </c>
      <c r="E87" s="147">
        <v>22.79754133460202</v>
      </c>
      <c r="F87" s="147">
        <v>66.388154884226736</v>
      </c>
      <c r="G87" s="147">
        <v>40.69907723209878</v>
      </c>
      <c r="H87" s="147"/>
      <c r="I87" s="147"/>
      <c r="J87" s="147"/>
      <c r="K87" s="147"/>
    </row>
    <row r="88" spans="1:11" x14ac:dyDescent="0.2">
      <c r="A88" s="146" t="s">
        <v>374</v>
      </c>
      <c r="B88" s="139">
        <f>C88/C94</f>
        <v>9.8991138584437324E-2</v>
      </c>
      <c r="C88" s="119">
        <f t="shared" si="5"/>
        <v>156.16639763770618</v>
      </c>
      <c r="D88" s="147">
        <v>33.118079695016135</v>
      </c>
      <c r="E88" s="147">
        <v>16.926963430370861</v>
      </c>
      <c r="F88" s="147">
        <v>57.680498336451912</v>
      </c>
      <c r="G88" s="147">
        <v>48.440856175867282</v>
      </c>
      <c r="H88" s="147"/>
      <c r="I88" s="147"/>
      <c r="J88" s="147"/>
      <c r="K88" s="147"/>
    </row>
    <row r="89" spans="1:11" x14ac:dyDescent="0.2">
      <c r="A89" s="148" t="s">
        <v>375</v>
      </c>
      <c r="B89" s="149">
        <f>C89/C94</f>
        <v>3.3516420413950823E-2</v>
      </c>
      <c r="C89" s="119">
        <f t="shared" si="5"/>
        <v>52.874820035461752</v>
      </c>
      <c r="D89" s="147"/>
      <c r="E89" s="147"/>
      <c r="F89" s="147"/>
      <c r="G89" s="147"/>
      <c r="H89" s="147">
        <v>15.215676107014492</v>
      </c>
      <c r="I89" s="147">
        <v>11.345232097332774</v>
      </c>
      <c r="J89" s="147">
        <v>18.055399707990556</v>
      </c>
      <c r="K89" s="147">
        <v>8.2585121231239338</v>
      </c>
    </row>
    <row r="90" spans="1:11" x14ac:dyDescent="0.2">
      <c r="A90" s="148" t="s">
        <v>376</v>
      </c>
      <c r="B90" s="149">
        <f>C90/C94</f>
        <v>5.08554143908206E-2</v>
      </c>
      <c r="C90" s="119">
        <f t="shared" si="5"/>
        <v>80.228462661967853</v>
      </c>
      <c r="D90" s="147"/>
      <c r="E90" s="147"/>
      <c r="F90" s="147"/>
      <c r="G90" s="147"/>
      <c r="H90" s="147">
        <v>17.650087275538215</v>
      </c>
      <c r="I90" s="147">
        <v>13.447487646288454</v>
      </c>
      <c r="J90" s="147">
        <v>32.399289048574516</v>
      </c>
      <c r="K90" s="147">
        <v>16.73159869156666</v>
      </c>
    </row>
    <row r="91" spans="1:11" x14ac:dyDescent="0.2">
      <c r="A91" s="148" t="s">
        <v>377</v>
      </c>
      <c r="B91" s="149">
        <f>C91/C94</f>
        <v>7.7460038118500357E-2</v>
      </c>
      <c r="C91" s="119">
        <f t="shared" si="5"/>
        <v>122.19937346742827</v>
      </c>
      <c r="D91" s="147"/>
      <c r="E91" s="147"/>
      <c r="F91" s="147"/>
      <c r="G91" s="147"/>
      <c r="H91" s="147">
        <v>19.964487303600947</v>
      </c>
      <c r="I91" s="147">
        <v>17.391530716026562</v>
      </c>
      <c r="J91" s="147">
        <v>48.632222601847644</v>
      </c>
      <c r="K91" s="147">
        <v>36.211132845953109</v>
      </c>
    </row>
    <row r="92" spans="1:11" x14ac:dyDescent="0.2">
      <c r="A92" s="148" t="s">
        <v>378</v>
      </c>
      <c r="B92" s="149">
        <f>C92/C94</f>
        <v>0.1064068077473548</v>
      </c>
      <c r="C92" s="119">
        <f t="shared" si="5"/>
        <v>167.86520579171111</v>
      </c>
      <c r="D92" s="147"/>
      <c r="E92" s="147"/>
      <c r="F92" s="147"/>
      <c r="G92" s="147"/>
      <c r="H92" s="147">
        <v>21.952808113032795</v>
      </c>
      <c r="I92" s="147">
        <v>19.997914030621036</v>
      </c>
      <c r="J92" s="147">
        <v>63.700729302710016</v>
      </c>
      <c r="K92" s="147">
        <v>62.21375434534724</v>
      </c>
    </row>
    <row r="93" spans="1:11" x14ac:dyDescent="0.2">
      <c r="A93" s="148" t="s">
        <v>379</v>
      </c>
      <c r="B93" s="149">
        <f>C93/C94</f>
        <v>0.27327306466615947</v>
      </c>
      <c r="C93" s="119">
        <f t="shared" si="5"/>
        <v>431.11000328507464</v>
      </c>
      <c r="D93" s="147"/>
      <c r="E93" s="147"/>
      <c r="F93" s="147"/>
      <c r="G93" s="147"/>
      <c r="H93" s="147">
        <v>19.499982834542443</v>
      </c>
      <c r="I93" s="147">
        <v>19.221642122326184</v>
      </c>
      <c r="J93" s="147">
        <v>81.592338420251252</v>
      </c>
      <c r="K93" s="147">
        <v>310.79603990795476</v>
      </c>
    </row>
    <row r="94" spans="1:11" x14ac:dyDescent="0.2">
      <c r="B94" s="119"/>
      <c r="C94" s="119">
        <f>SUM(C84:C93)</f>
        <v>1577.5795679377866</v>
      </c>
      <c r="G94" s="116"/>
    </row>
    <row r="96" spans="1:11" s="144" customFormat="1" x14ac:dyDescent="0.2">
      <c r="A96" s="143" t="s">
        <v>553</v>
      </c>
      <c r="G96" s="145"/>
    </row>
    <row r="97" spans="1:71" x14ac:dyDescent="0.2">
      <c r="A97" s="150" t="s">
        <v>370</v>
      </c>
      <c r="B97" s="139">
        <v>6.8080457863666705E-2</v>
      </c>
      <c r="C97" s="116">
        <f>B97*C107</f>
        <v>57765416.335504927</v>
      </c>
      <c r="D97" s="139"/>
    </row>
    <row r="98" spans="1:71" x14ac:dyDescent="0.2">
      <c r="A98" s="150" t="s">
        <v>371</v>
      </c>
      <c r="B98" s="139">
        <v>8.9307020382866448E-2</v>
      </c>
      <c r="C98" s="116">
        <f>B98*C107</f>
        <v>75775888.940560326</v>
      </c>
      <c r="D98" s="139"/>
    </row>
    <row r="99" spans="1:71" x14ac:dyDescent="0.2">
      <c r="A99" s="150" t="s">
        <v>372</v>
      </c>
      <c r="B99" s="139">
        <v>9.5730139938037223E-2</v>
      </c>
      <c r="C99" s="116">
        <f>B99*C107</f>
        <v>81225825.485055536</v>
      </c>
      <c r="D99" s="139"/>
    </row>
    <row r="100" spans="1:71" x14ac:dyDescent="0.2">
      <c r="A100" s="150" t="s">
        <v>373</v>
      </c>
      <c r="B100" s="139">
        <v>0.10637949789420631</v>
      </c>
      <c r="C100" s="116">
        <f>B100*C107</f>
        <v>90261672.413050875</v>
      </c>
      <c r="D100" s="139"/>
    </row>
    <row r="101" spans="1:71" x14ac:dyDescent="0.2">
      <c r="A101" s="150" t="s">
        <v>374</v>
      </c>
      <c r="B101" s="139">
        <v>9.8991138584437324E-2</v>
      </c>
      <c r="C101" s="116">
        <f>B101*C107</f>
        <v>83992742.018667027</v>
      </c>
      <c r="D101" s="139"/>
    </row>
    <row r="102" spans="1:71" x14ac:dyDescent="0.2">
      <c r="A102" s="150" t="s">
        <v>375</v>
      </c>
      <c r="B102" s="139">
        <v>3.3516420413950823E-2</v>
      </c>
      <c r="C102" s="116">
        <f>B102*C107</f>
        <v>28438263.196830548</v>
      </c>
      <c r="D102" s="139"/>
    </row>
    <row r="103" spans="1:71" x14ac:dyDescent="0.2">
      <c r="A103" s="150" t="s">
        <v>376</v>
      </c>
      <c r="B103" s="139">
        <v>5.08554143908206E-2</v>
      </c>
      <c r="C103" s="116">
        <f>B103*C107</f>
        <v>43150182.554341622</v>
      </c>
      <c r="D103" s="139"/>
    </row>
    <row r="104" spans="1:71" x14ac:dyDescent="0.2">
      <c r="A104" s="150" t="s">
        <v>377</v>
      </c>
      <c r="B104" s="139">
        <v>7.7460038118500357E-2</v>
      </c>
      <c r="C104" s="116">
        <f>B104*C107</f>
        <v>65723872.777700864</v>
      </c>
      <c r="D104" s="139"/>
    </row>
    <row r="105" spans="1:71" x14ac:dyDescent="0.2">
      <c r="A105" s="150" t="s">
        <v>378</v>
      </c>
      <c r="B105" s="139">
        <v>0.1064068077473548</v>
      </c>
      <c r="C105" s="116">
        <f>B105*C107</f>
        <v>90284844.481610447</v>
      </c>
      <c r="D105" s="139"/>
    </row>
    <row r="106" spans="1:71" x14ac:dyDescent="0.2">
      <c r="A106" s="150" t="s">
        <v>379</v>
      </c>
      <c r="B106" s="139">
        <v>0.27327306466615947</v>
      </c>
      <c r="C106" s="116">
        <f>B106*C107</f>
        <v>231868774.81540293</v>
      </c>
      <c r="D106" s="139"/>
    </row>
    <row r="107" spans="1:71" x14ac:dyDescent="0.2">
      <c r="B107" s="119"/>
      <c r="C107" s="151">
        <v>848487483.01872504</v>
      </c>
    </row>
    <row r="109" spans="1:71" s="152" customFormat="1" ht="143" x14ac:dyDescent="0.15">
      <c r="B109" s="153" t="s">
        <v>105</v>
      </c>
      <c r="C109" s="154" t="s">
        <v>106</v>
      </c>
      <c r="D109" s="154" t="s">
        <v>107</v>
      </c>
      <c r="E109" s="154" t="s">
        <v>108</v>
      </c>
      <c r="F109" s="154" t="s">
        <v>109</v>
      </c>
      <c r="G109" s="154" t="s">
        <v>110</v>
      </c>
      <c r="H109" s="154" t="s">
        <v>111</v>
      </c>
      <c r="I109" s="154" t="s">
        <v>112</v>
      </c>
      <c r="J109" s="154" t="s">
        <v>113</v>
      </c>
      <c r="K109" s="154" t="s">
        <v>114</v>
      </c>
      <c r="L109" s="153" t="s">
        <v>115</v>
      </c>
      <c r="M109" s="154" t="s">
        <v>116</v>
      </c>
      <c r="N109" s="154" t="s">
        <v>117</v>
      </c>
      <c r="O109" s="155" t="s">
        <v>118</v>
      </c>
      <c r="P109" s="154" t="s">
        <v>119</v>
      </c>
      <c r="Q109" s="154" t="s">
        <v>120</v>
      </c>
      <c r="R109" s="154" t="s">
        <v>121</v>
      </c>
      <c r="S109" s="154" t="s">
        <v>122</v>
      </c>
      <c r="T109" s="154" t="s">
        <v>123</v>
      </c>
      <c r="U109" s="154" t="s">
        <v>124</v>
      </c>
      <c r="V109" s="154" t="s">
        <v>125</v>
      </c>
      <c r="W109" s="154" t="s">
        <v>126</v>
      </c>
      <c r="X109" s="154" t="s">
        <v>127</v>
      </c>
      <c r="Y109" s="154" t="s">
        <v>128</v>
      </c>
      <c r="Z109" s="154" t="s">
        <v>129</v>
      </c>
      <c r="AA109" s="154" t="s">
        <v>130</v>
      </c>
      <c r="AB109" s="154" t="s">
        <v>131</v>
      </c>
      <c r="AC109" s="154" t="s">
        <v>132</v>
      </c>
      <c r="AD109" s="154" t="s">
        <v>133</v>
      </c>
      <c r="AE109" s="154" t="s">
        <v>134</v>
      </c>
      <c r="AF109" s="154" t="s">
        <v>135</v>
      </c>
      <c r="AG109" s="154" t="s">
        <v>136</v>
      </c>
      <c r="AH109" s="154" t="s">
        <v>137</v>
      </c>
      <c r="AI109" s="154" t="s">
        <v>138</v>
      </c>
      <c r="AJ109" s="154" t="s">
        <v>139</v>
      </c>
      <c r="AK109" s="154" t="s">
        <v>140</v>
      </c>
      <c r="AL109" s="154" t="s">
        <v>141</v>
      </c>
      <c r="AM109" s="154" t="s">
        <v>142</v>
      </c>
      <c r="AN109" s="154" t="s">
        <v>143</v>
      </c>
      <c r="AO109" s="154" t="s">
        <v>144</v>
      </c>
      <c r="AP109" s="154" t="s">
        <v>145</v>
      </c>
      <c r="AQ109" s="154" t="s">
        <v>146</v>
      </c>
      <c r="AR109" s="154" t="s">
        <v>147</v>
      </c>
      <c r="AS109" s="154" t="s">
        <v>148</v>
      </c>
      <c r="AT109" s="154" t="s">
        <v>149</v>
      </c>
      <c r="AU109" s="154" t="s">
        <v>150</v>
      </c>
      <c r="AV109" s="154" t="s">
        <v>151</v>
      </c>
      <c r="AW109" s="154" t="s">
        <v>152</v>
      </c>
      <c r="AX109" s="154" t="s">
        <v>153</v>
      </c>
      <c r="AY109" s="154" t="s">
        <v>154</v>
      </c>
      <c r="AZ109" s="154" t="s">
        <v>155</v>
      </c>
      <c r="BA109" s="154" t="s">
        <v>156</v>
      </c>
      <c r="BB109" s="154" t="s">
        <v>157</v>
      </c>
      <c r="BC109" s="154" t="s">
        <v>158</v>
      </c>
      <c r="BD109" s="154" t="s">
        <v>159</v>
      </c>
      <c r="BE109" s="154" t="s">
        <v>160</v>
      </c>
      <c r="BF109" s="154" t="s">
        <v>161</v>
      </c>
      <c r="BG109" s="154" t="s">
        <v>162</v>
      </c>
      <c r="BH109" s="154" t="s">
        <v>163</v>
      </c>
      <c r="BI109" s="154" t="s">
        <v>164</v>
      </c>
      <c r="BJ109" s="154" t="s">
        <v>165</v>
      </c>
      <c r="BK109" s="154" t="s">
        <v>166</v>
      </c>
      <c r="BL109" s="154" t="s">
        <v>167</v>
      </c>
      <c r="BM109" s="154" t="s">
        <v>168</v>
      </c>
      <c r="BN109" s="154" t="s">
        <v>169</v>
      </c>
      <c r="BO109" s="154" t="s">
        <v>170</v>
      </c>
      <c r="BP109" s="154" t="s">
        <v>171</v>
      </c>
      <c r="BQ109" s="156" t="s">
        <v>172</v>
      </c>
      <c r="BR109" s="154"/>
      <c r="BS109" s="154"/>
    </row>
    <row r="110" spans="1:71" s="119" customFormat="1" x14ac:dyDescent="0.2">
      <c r="A110" s="116" t="s">
        <v>554</v>
      </c>
      <c r="B110" s="157">
        <v>80476156.065405294</v>
      </c>
      <c r="C110" s="158">
        <v>8125941.7044193177</v>
      </c>
      <c r="D110" s="158">
        <v>6814903.6098369956</v>
      </c>
      <c r="E110" s="158">
        <v>8804263.5647375342</v>
      </c>
      <c r="F110" s="158">
        <v>11811300.728158515</v>
      </c>
      <c r="G110" s="158">
        <v>1914751.532744657</v>
      </c>
      <c r="H110" s="158">
        <v>1918057.2078645255</v>
      </c>
      <c r="I110" s="158">
        <v>6173186.277913372</v>
      </c>
      <c r="J110" s="158">
        <v>2140807.9648072226</v>
      </c>
      <c r="K110" s="158">
        <v>74532.00534986773</v>
      </c>
      <c r="L110" s="157">
        <v>125833.73429759493</v>
      </c>
      <c r="M110" s="158">
        <v>1569455.3282468296</v>
      </c>
      <c r="N110" s="158">
        <v>1174853.4829643355</v>
      </c>
      <c r="O110" s="159">
        <v>10892264.042786559</v>
      </c>
      <c r="P110" s="158">
        <v>5637970.8475057259</v>
      </c>
      <c r="Q110" s="158">
        <v>4753009.1934930617</v>
      </c>
      <c r="R110" s="158">
        <v>1508341.923040519</v>
      </c>
      <c r="S110" s="158">
        <v>5742540.6706028022</v>
      </c>
      <c r="T110" s="158">
        <v>6671322.0149720805</v>
      </c>
      <c r="U110" s="158">
        <v>1720912.0484188707</v>
      </c>
      <c r="V110" s="158">
        <v>938810.36339518195</v>
      </c>
      <c r="W110" s="158">
        <v>3198612.466132428</v>
      </c>
      <c r="X110" s="158">
        <v>1624733.6485686307</v>
      </c>
      <c r="Y110" s="158">
        <v>1190994.6467205868</v>
      </c>
      <c r="Z110" s="158">
        <v>426776.19791651022</v>
      </c>
      <c r="AA110" s="158">
        <v>3906149.2732316614</v>
      </c>
      <c r="AB110" s="158">
        <v>2580650.0711581805</v>
      </c>
      <c r="AC110" s="158">
        <v>3250307.800019932</v>
      </c>
      <c r="AD110" s="158">
        <v>42082235.555486932</v>
      </c>
      <c r="AE110" s="158">
        <v>9331250</v>
      </c>
      <c r="AF110" s="158">
        <v>35584667.794482313</v>
      </c>
      <c r="AG110" s="158">
        <v>51854127.356499292</v>
      </c>
      <c r="AH110" s="158">
        <v>59069824.714779012</v>
      </c>
      <c r="AI110" s="158">
        <v>6285076.3276864877</v>
      </c>
      <c r="AJ110" s="158">
        <v>8999823.9516043738</v>
      </c>
      <c r="AK110" s="158">
        <v>1261676.6386671078</v>
      </c>
      <c r="AL110" s="158">
        <v>194473.68658357483</v>
      </c>
      <c r="AM110" s="158">
        <v>2285180.5499999998</v>
      </c>
      <c r="AN110" s="158">
        <v>14980810.36921878</v>
      </c>
      <c r="AO110" s="158">
        <v>39088284.61505159</v>
      </c>
      <c r="AP110" s="158">
        <v>6354575.945892469</v>
      </c>
      <c r="AQ110" s="158">
        <v>728340</v>
      </c>
      <c r="AR110" s="158">
        <v>4413972.8663749974</v>
      </c>
      <c r="AS110" s="158">
        <v>1667584.6053435472</v>
      </c>
      <c r="AT110" s="158">
        <v>608421.15074392629</v>
      </c>
      <c r="AU110" s="158">
        <v>2152406.52119296</v>
      </c>
      <c r="AV110" s="158">
        <v>27927.279801584064</v>
      </c>
      <c r="AW110" s="158">
        <v>1314335.5591416815</v>
      </c>
      <c r="AX110" s="158">
        <v>3262208.0760496478</v>
      </c>
      <c r="AY110" s="158">
        <v>12311.909398932075</v>
      </c>
      <c r="AZ110" s="158">
        <v>776859.62129720778</v>
      </c>
      <c r="BA110" s="158">
        <v>181156.43539567242</v>
      </c>
      <c r="BB110" s="158">
        <v>2222899.5526337442</v>
      </c>
      <c r="BC110" s="158">
        <v>734037.74336512503</v>
      </c>
      <c r="BD110" s="158">
        <v>373643.08668456535</v>
      </c>
      <c r="BE110" s="158">
        <v>1897510.9492306011</v>
      </c>
      <c r="BF110" s="158">
        <v>138549628</v>
      </c>
      <c r="BG110" s="158">
        <v>120585164</v>
      </c>
      <c r="BH110" s="158">
        <v>73135388</v>
      </c>
      <c r="BI110" s="158">
        <v>20259.185336933719</v>
      </c>
      <c r="BJ110" s="158">
        <v>4500.3384174547973</v>
      </c>
      <c r="BK110" s="158">
        <v>24007.305</v>
      </c>
      <c r="BL110" s="158">
        <v>23179429</v>
      </c>
      <c r="BM110" s="158">
        <v>6233297.4850036968</v>
      </c>
      <c r="BN110" s="158">
        <v>389190.81162084593</v>
      </c>
      <c r="BO110" s="158">
        <v>2467121.2864951878</v>
      </c>
      <c r="BP110" s="158">
        <v>986436.32953596755</v>
      </c>
      <c r="BQ110" s="160">
        <v>848487483.01872492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22F5-8484-BC46-BF9D-CE4B648F38D9}">
  <sheetPr>
    <tabColor theme="5" tint="0.59999389629810485"/>
  </sheetPr>
  <dimension ref="A1:M23"/>
  <sheetViews>
    <sheetView zoomScale="125" workbookViewId="0">
      <selection activeCell="C19" sqref="C19"/>
    </sheetView>
  </sheetViews>
  <sheetFormatPr baseColWidth="10" defaultRowHeight="16" x14ac:dyDescent="0.2"/>
  <cols>
    <col min="1" max="16384" width="10.83203125" style="116"/>
  </cols>
  <sheetData>
    <row r="1" spans="1:13" x14ac:dyDescent="0.2">
      <c r="B1" s="122" t="s">
        <v>370</v>
      </c>
      <c r="C1" s="122" t="s">
        <v>371</v>
      </c>
      <c r="D1" s="122" t="s">
        <v>372</v>
      </c>
      <c r="E1" s="122" t="s">
        <v>373</v>
      </c>
      <c r="F1" s="122" t="s">
        <v>374</v>
      </c>
      <c r="G1" s="161" t="s">
        <v>375</v>
      </c>
      <c r="H1" s="161" t="s">
        <v>376</v>
      </c>
      <c r="I1" s="161" t="s">
        <v>377</v>
      </c>
      <c r="J1" s="161" t="s">
        <v>378</v>
      </c>
      <c r="K1" s="161" t="s">
        <v>379</v>
      </c>
    </row>
    <row r="2" spans="1:13" x14ac:dyDescent="0.2">
      <c r="A2" s="162" t="s">
        <v>369</v>
      </c>
      <c r="B2" s="139">
        <f>B13/B23</f>
        <v>4.9649580143524441E-2</v>
      </c>
      <c r="C2" s="139">
        <f>B14/B23</f>
        <v>6.7407570272237038E-2</v>
      </c>
      <c r="D2" s="139">
        <f>B15/B23</f>
        <v>7.7708092239078486E-2</v>
      </c>
      <c r="E2" s="139">
        <f>B16/B23</f>
        <v>9.0880849645928061E-2</v>
      </c>
      <c r="F2" s="139">
        <f>B17/B23</f>
        <v>0.11019927531822697</v>
      </c>
      <c r="G2" s="139">
        <f>B18/B23</f>
        <v>3.1052061383334318E-2</v>
      </c>
      <c r="H2" s="139">
        <f>B19/B23</f>
        <v>4.9747255803211696E-2</v>
      </c>
      <c r="I2" s="139">
        <f>B20/B23</f>
        <v>7.5004658996106144E-2</v>
      </c>
      <c r="J2" s="139">
        <f>B21/B23</f>
        <v>0.10346669451235131</v>
      </c>
      <c r="K2" s="139">
        <f>B22/B23</f>
        <v>0.34488396168600133</v>
      </c>
    </row>
    <row r="4" spans="1:13" s="119" customFormat="1" x14ac:dyDescent="0.2">
      <c r="B4" s="117" t="s">
        <v>543</v>
      </c>
      <c r="C4" s="117" t="s">
        <v>544</v>
      </c>
      <c r="D4" s="117" t="s">
        <v>545</v>
      </c>
      <c r="E4" s="117" t="s">
        <v>546</v>
      </c>
      <c r="F4" s="117" t="s">
        <v>547</v>
      </c>
      <c r="G4" s="118"/>
      <c r="H4" s="118"/>
      <c r="I4" s="118"/>
      <c r="J4" s="118"/>
      <c r="K4" s="118"/>
    </row>
    <row r="5" spans="1:13" s="164" customFormat="1" x14ac:dyDescent="0.2">
      <c r="A5" s="163" t="s">
        <v>369</v>
      </c>
      <c r="B5" s="164">
        <f>B2+G2</f>
        <v>8.0701641526858756E-2</v>
      </c>
      <c r="C5" s="164">
        <f>C2+H2</f>
        <v>0.11715482607544873</v>
      </c>
      <c r="D5" s="164">
        <f>D2+I2</f>
        <v>0.15271275123518463</v>
      </c>
      <c r="E5" s="164">
        <f>E2+J2</f>
        <v>0.19434754415827937</v>
      </c>
      <c r="F5" s="164">
        <f>F2+K2</f>
        <v>0.45508323700422831</v>
      </c>
    </row>
    <row r="6" spans="1:13" x14ac:dyDescent="0.2">
      <c r="A6" s="162"/>
      <c r="B6" s="165"/>
      <c r="C6" s="165"/>
      <c r="D6" s="165"/>
      <c r="E6" s="165"/>
      <c r="F6" s="165"/>
    </row>
    <row r="8" spans="1:13" s="115" customFormat="1" x14ac:dyDescent="0.2">
      <c r="A8" s="417" t="s">
        <v>555</v>
      </c>
      <c r="B8" s="417"/>
      <c r="C8" s="417"/>
      <c r="D8" s="417"/>
      <c r="E8" s="417"/>
      <c r="F8" s="417"/>
      <c r="M8" s="489"/>
    </row>
    <row r="13" spans="1:13" x14ac:dyDescent="0.2">
      <c r="A13" s="485" t="s">
        <v>370</v>
      </c>
      <c r="B13" s="486">
        <v>111.089580540735</v>
      </c>
    </row>
    <row r="14" spans="1:13" x14ac:dyDescent="0.2">
      <c r="A14" s="485" t="s">
        <v>371</v>
      </c>
      <c r="B14" s="486">
        <v>150.8225988047875</v>
      </c>
    </row>
    <row r="15" spans="1:13" x14ac:dyDescent="0.2">
      <c r="A15" s="485" t="s">
        <v>372</v>
      </c>
      <c r="B15" s="486">
        <v>173.86973558498212</v>
      </c>
    </row>
    <row r="16" spans="1:13" x14ac:dyDescent="0.2">
      <c r="A16" s="485" t="s">
        <v>373</v>
      </c>
      <c r="B16" s="486">
        <v>203.34342077348896</v>
      </c>
    </row>
    <row r="17" spans="1:2" x14ac:dyDescent="0.2">
      <c r="A17" s="485" t="s">
        <v>374</v>
      </c>
      <c r="B17" s="486">
        <v>246.56787097909569</v>
      </c>
    </row>
    <row r="18" spans="1:2" x14ac:dyDescent="0.2">
      <c r="A18" s="487" t="s">
        <v>375</v>
      </c>
      <c r="B18" s="486">
        <v>69.478139876066493</v>
      </c>
    </row>
    <row r="19" spans="1:2" x14ac:dyDescent="0.2">
      <c r="A19" s="487" t="s">
        <v>376</v>
      </c>
      <c r="B19" s="486">
        <v>111.3081271635328</v>
      </c>
    </row>
    <row r="20" spans="1:2" x14ac:dyDescent="0.2">
      <c r="A20" s="487" t="s">
        <v>377</v>
      </c>
      <c r="B20" s="486">
        <v>167.82087748560812</v>
      </c>
    </row>
    <row r="21" spans="1:2" x14ac:dyDescent="0.2">
      <c r="A21" s="487" t="s">
        <v>378</v>
      </c>
      <c r="B21" s="486">
        <v>231.50390517073873</v>
      </c>
    </row>
    <row r="22" spans="1:2" x14ac:dyDescent="0.2">
      <c r="A22" s="487" t="s">
        <v>379</v>
      </c>
      <c r="B22" s="486">
        <v>771.66845174060938</v>
      </c>
    </row>
    <row r="23" spans="1:2" x14ac:dyDescent="0.2">
      <c r="A23" s="483" t="s">
        <v>389</v>
      </c>
      <c r="B23" s="484">
        <f>SUM(B13:B22)</f>
        <v>2237.4727081196452</v>
      </c>
    </row>
  </sheetData>
  <mergeCells count="1">
    <mergeCell ref="A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97AB-21D5-284F-8CF0-6B0515440BE4}">
  <sheetPr>
    <tabColor theme="5" tint="0.59999389629810485"/>
  </sheetPr>
  <dimension ref="A1:P45"/>
  <sheetViews>
    <sheetView zoomScale="125" workbookViewId="0">
      <selection activeCell="C33" sqref="C33"/>
    </sheetView>
  </sheetViews>
  <sheetFormatPr baseColWidth="10" defaultRowHeight="16" x14ac:dyDescent="0.2"/>
  <cols>
    <col min="1" max="1" width="13.33203125" style="116" customWidth="1"/>
    <col min="2" max="2" width="10.83203125" style="116"/>
    <col min="3" max="3" width="10.83203125" style="119"/>
    <col min="4" max="12" width="10.83203125" style="116"/>
    <col min="13" max="13" width="10.83203125" style="119"/>
    <col min="14" max="16384" width="10.83203125" style="116"/>
  </cols>
  <sheetData>
    <row r="1" spans="1:16" x14ac:dyDescent="0.2">
      <c r="A1" s="168" t="s">
        <v>370</v>
      </c>
      <c r="B1" s="168" t="s">
        <v>371</v>
      </c>
      <c r="C1" s="168" t="s">
        <v>372</v>
      </c>
      <c r="D1" s="168" t="s">
        <v>373</v>
      </c>
      <c r="E1" s="168" t="s">
        <v>374</v>
      </c>
      <c r="F1" s="168" t="s">
        <v>375</v>
      </c>
      <c r="G1" s="168" t="s">
        <v>376</v>
      </c>
      <c r="H1" s="168" t="s">
        <v>377</v>
      </c>
      <c r="I1" s="168" t="s">
        <v>378</v>
      </c>
      <c r="J1" s="168" t="s">
        <v>379</v>
      </c>
    </row>
    <row r="2" spans="1:16" x14ac:dyDescent="0.2">
      <c r="A2" s="116">
        <v>1978875.5422871287</v>
      </c>
      <c r="B2" s="116">
        <v>3303588.4472580003</v>
      </c>
      <c r="C2" s="116">
        <v>3938043.4797698138</v>
      </c>
      <c r="D2" s="116">
        <v>4923029.0799861159</v>
      </c>
      <c r="E2" s="116">
        <v>5537180.6524834968</v>
      </c>
      <c r="F2" s="116">
        <v>892258.88438356691</v>
      </c>
      <c r="G2" s="116">
        <v>2010116.7781636461</v>
      </c>
      <c r="H2" s="116">
        <v>3327233.6009701663</v>
      </c>
      <c r="I2" s="116">
        <v>5174894.795608134</v>
      </c>
      <c r="J2" s="116">
        <v>15582375.224969743</v>
      </c>
    </row>
    <row r="4" spans="1:16" x14ac:dyDescent="0.2">
      <c r="A4" s="117" t="s">
        <v>543</v>
      </c>
      <c r="B4" s="117" t="s">
        <v>544</v>
      </c>
      <c r="C4" s="117" t="s">
        <v>545</v>
      </c>
      <c r="D4" s="117" t="s">
        <v>546</v>
      </c>
      <c r="E4" s="117" t="s">
        <v>547</v>
      </c>
    </row>
    <row r="5" spans="1:16" x14ac:dyDescent="0.2">
      <c r="A5" s="116">
        <f>A2+F2</f>
        <v>2871134.4266706957</v>
      </c>
      <c r="B5" s="116">
        <f>B2+G2</f>
        <v>5313705.2254216466</v>
      </c>
      <c r="C5" s="116">
        <f>C2+H2</f>
        <v>7265277.0807399806</v>
      </c>
      <c r="D5" s="116">
        <f>D2+I2</f>
        <v>10097923.875594251</v>
      </c>
      <c r="E5" s="116">
        <f>E2+J2</f>
        <v>21119555.877453238</v>
      </c>
    </row>
    <row r="7" spans="1:16" x14ac:dyDescent="0.2">
      <c r="A7" s="117" t="s">
        <v>543</v>
      </c>
      <c r="B7" s="117" t="s">
        <v>544</v>
      </c>
      <c r="C7" s="117" t="s">
        <v>545</v>
      </c>
      <c r="D7" s="117" t="s">
        <v>546</v>
      </c>
      <c r="E7" s="117" t="s">
        <v>547</v>
      </c>
    </row>
    <row r="8" spans="1:16" x14ac:dyDescent="0.2">
      <c r="A8" s="488">
        <f>A5/SUM(I29,I34)</f>
        <v>3.3306402258545337E-2</v>
      </c>
      <c r="B8" s="488">
        <f>B5/SUM(I30,I35)</f>
        <v>4.4680742907154979E-2</v>
      </c>
      <c r="C8" s="488">
        <f>C5/SUM(I31,I36)</f>
        <v>4.9440571614847099E-2</v>
      </c>
      <c r="D8" s="488">
        <f>D5/SUM(I37,I32)</f>
        <v>5.5929762862641202E-2</v>
      </c>
      <c r="E8" s="488">
        <f>E5/SUM(I38,I33)</f>
        <v>6.6863339634210248E-2</v>
      </c>
    </row>
    <row r="10" spans="1:16" s="115" customFormat="1" x14ac:dyDescent="0.2">
      <c r="A10" s="417" t="s">
        <v>617</v>
      </c>
      <c r="B10" s="417"/>
      <c r="C10" s="417"/>
      <c r="D10" s="417"/>
      <c r="E10" s="417"/>
      <c r="F10" s="417"/>
      <c r="M10" s="489"/>
    </row>
    <row r="11" spans="1:16" s="120" customFormat="1" x14ac:dyDescent="0.2">
      <c r="A11" s="166"/>
      <c r="B11" s="166"/>
      <c r="C11" s="166"/>
      <c r="D11" s="166"/>
      <c r="E11" s="166"/>
      <c r="F11" s="166"/>
      <c r="M11" s="167"/>
    </row>
    <row r="12" spans="1:16" s="120" customFormat="1" x14ac:dyDescent="0.2">
      <c r="A12" s="166"/>
      <c r="B12" s="166"/>
      <c r="C12" s="166"/>
      <c r="D12" s="166"/>
      <c r="E12" s="166"/>
      <c r="F12" s="166"/>
      <c r="M12" s="167"/>
    </row>
    <row r="13" spans="1:16" x14ac:dyDescent="0.2">
      <c r="A13" s="116" t="s">
        <v>556</v>
      </c>
      <c r="G13" s="135" t="s">
        <v>463</v>
      </c>
      <c r="H13" s="135" t="s">
        <v>464</v>
      </c>
      <c r="I13" s="135" t="s">
        <v>465</v>
      </c>
      <c r="J13" s="135"/>
      <c r="K13" s="135"/>
      <c r="L13" s="135"/>
      <c r="M13" s="135"/>
      <c r="N13" s="135"/>
      <c r="O13" s="135"/>
      <c r="P13" s="135"/>
    </row>
    <row r="14" spans="1:16" x14ac:dyDescent="0.2">
      <c r="A14" s="116" t="s">
        <v>557</v>
      </c>
      <c r="E14" s="116" t="s">
        <v>370</v>
      </c>
      <c r="G14" s="170">
        <v>3.6792924886731502</v>
      </c>
      <c r="H14" s="139">
        <f>G14/SUM(I14:S14)</f>
        <v>3.425709824012526E-2</v>
      </c>
      <c r="I14" s="147">
        <v>36.153596753339997</v>
      </c>
      <c r="J14" s="147">
        <v>20.56380720615347</v>
      </c>
      <c r="K14" s="147">
        <v>40.275314891682726</v>
      </c>
      <c r="L14" s="147">
        <v>10.409620450393824</v>
      </c>
      <c r="M14" s="147"/>
      <c r="N14" s="147"/>
      <c r="O14" s="147"/>
      <c r="P14" s="147"/>
    </row>
    <row r="15" spans="1:16" x14ac:dyDescent="0.2">
      <c r="E15" s="116" t="s">
        <v>371</v>
      </c>
      <c r="G15" s="170">
        <v>6.1423105697771678</v>
      </c>
      <c r="H15" s="139">
        <f t="shared" ref="H15:H23" si="0">G15/SUM(I15:S15)</f>
        <v>4.3596828667353302E-2</v>
      </c>
      <c r="I15" s="147">
        <v>37.845730820592159</v>
      </c>
      <c r="J15" s="147">
        <v>23.554103657294188</v>
      </c>
      <c r="K15" s="147">
        <v>58.78006901812477</v>
      </c>
      <c r="L15" s="147">
        <v>20.70902713340244</v>
      </c>
      <c r="M15" s="147"/>
      <c r="N15" s="147"/>
      <c r="O15" s="147"/>
      <c r="P15" s="147"/>
    </row>
    <row r="16" spans="1:16" x14ac:dyDescent="0.2">
      <c r="E16" s="116" t="s">
        <v>372</v>
      </c>
      <c r="G16" s="170">
        <v>7.3219429345410587</v>
      </c>
      <c r="H16" s="139">
        <f t="shared" si="0"/>
        <v>4.8482652607751718E-2</v>
      </c>
      <c r="I16" s="147">
        <v>35.971002078218298</v>
      </c>
      <c r="J16" s="147">
        <v>23.828161499850257</v>
      </c>
      <c r="K16" s="147">
        <v>63.298804160659678</v>
      </c>
      <c r="L16" s="147">
        <v>27.923945063344366</v>
      </c>
      <c r="M16" s="147"/>
      <c r="N16" s="147"/>
      <c r="O16" s="147"/>
      <c r="P16" s="147"/>
    </row>
    <row r="17" spans="1:16" x14ac:dyDescent="0.2">
      <c r="E17" s="116" t="s">
        <v>373</v>
      </c>
      <c r="G17" s="170">
        <v>9.1533113267838981</v>
      </c>
      <c r="H17" s="139">
        <f t="shared" si="0"/>
        <v>5.4541744556400429E-2</v>
      </c>
      <c r="I17" s="147">
        <v>37.937348874453122</v>
      </c>
      <c r="J17" s="147">
        <v>22.79754133460202</v>
      </c>
      <c r="K17" s="147">
        <v>66.388154884226736</v>
      </c>
      <c r="L17" s="147">
        <v>40.69907723209878</v>
      </c>
      <c r="M17" s="147"/>
      <c r="N17" s="147"/>
      <c r="O17" s="147"/>
      <c r="P17" s="147"/>
    </row>
    <row r="18" spans="1:16" x14ac:dyDescent="0.2">
      <c r="E18" s="116" t="s">
        <v>374</v>
      </c>
      <c r="G18" s="170">
        <v>10.295193784426878</v>
      </c>
      <c r="H18" s="139">
        <f>G18/SUM(I18:S18)</f>
        <v>6.5924513468709978E-2</v>
      </c>
      <c r="I18" s="147">
        <v>33.118079695016135</v>
      </c>
      <c r="J18" s="147">
        <v>16.926963430370861</v>
      </c>
      <c r="K18" s="147">
        <v>57.680498336451912</v>
      </c>
      <c r="L18" s="147">
        <v>48.440856175867282</v>
      </c>
      <c r="M18" s="147"/>
      <c r="N18" s="147"/>
      <c r="O18" s="147"/>
      <c r="P18" s="147"/>
    </row>
    <row r="19" spans="1:16" x14ac:dyDescent="0.2">
      <c r="E19" s="162" t="s">
        <v>375</v>
      </c>
      <c r="G19" s="170">
        <v>1.6589630530629935</v>
      </c>
      <c r="H19" s="139">
        <f t="shared" si="0"/>
        <v>3.1375294553255606E-2</v>
      </c>
      <c r="I19" s="147"/>
      <c r="J19" s="147"/>
      <c r="K19" s="147"/>
      <c r="L19" s="147"/>
      <c r="M19" s="147">
        <v>15.215676107014492</v>
      </c>
      <c r="N19" s="147">
        <v>11.345232097332774</v>
      </c>
      <c r="O19" s="147">
        <v>18.055399707990556</v>
      </c>
      <c r="P19" s="147">
        <v>8.2585121231239338</v>
      </c>
    </row>
    <row r="20" spans="1:16" x14ac:dyDescent="0.2">
      <c r="E20" s="162" t="s">
        <v>376</v>
      </c>
      <c r="G20" s="170">
        <v>3.7373788321753212</v>
      </c>
      <c r="H20" s="139">
        <f t="shared" si="0"/>
        <v>4.6584201020057912E-2</v>
      </c>
      <c r="I20" s="147"/>
      <c r="J20" s="147"/>
      <c r="K20" s="147"/>
      <c r="L20" s="147"/>
      <c r="M20" s="147">
        <v>17.650087275538215</v>
      </c>
      <c r="N20" s="147">
        <v>13.447487646288454</v>
      </c>
      <c r="O20" s="147">
        <v>32.399289048574516</v>
      </c>
      <c r="P20" s="147">
        <v>16.73159869156666</v>
      </c>
    </row>
    <row r="21" spans="1:16" x14ac:dyDescent="0.2">
      <c r="E21" s="162" t="s">
        <v>377</v>
      </c>
      <c r="G21" s="170">
        <v>6.1862736359668409</v>
      </c>
      <c r="H21" s="139">
        <f t="shared" si="0"/>
        <v>5.062443006400328E-2</v>
      </c>
      <c r="I21" s="147"/>
      <c r="J21" s="147"/>
      <c r="K21" s="147"/>
      <c r="L21" s="147"/>
      <c r="M21" s="147">
        <v>19.964487303600947</v>
      </c>
      <c r="N21" s="147">
        <v>17.391530716026562</v>
      </c>
      <c r="O21" s="147">
        <v>48.632222601847644</v>
      </c>
      <c r="P21" s="147">
        <v>36.211132845953109</v>
      </c>
    </row>
    <row r="22" spans="1:16" x14ac:dyDescent="0.2">
      <c r="E22" s="162" t="s">
        <v>378</v>
      </c>
      <c r="G22" s="170">
        <v>9.6216013307986721</v>
      </c>
      <c r="H22" s="139">
        <f t="shared" si="0"/>
        <v>5.7317424926862183E-2</v>
      </c>
      <c r="I22" s="147"/>
      <c r="J22" s="147"/>
      <c r="K22" s="147"/>
      <c r="L22" s="147"/>
      <c r="M22" s="147">
        <v>21.952808113032795</v>
      </c>
      <c r="N22" s="147">
        <v>19.997914030621036</v>
      </c>
      <c r="O22" s="147">
        <v>63.700729302710016</v>
      </c>
      <c r="P22" s="147">
        <v>62.21375434534724</v>
      </c>
    </row>
    <row r="23" spans="1:16" x14ac:dyDescent="0.2">
      <c r="E23" s="162" t="s">
        <v>379</v>
      </c>
      <c r="G23" s="170">
        <v>28.972067669629649</v>
      </c>
      <c r="H23" s="139">
        <f t="shared" si="0"/>
        <v>6.7203422441746624E-2</v>
      </c>
      <c r="I23" s="147"/>
      <c r="J23" s="147"/>
      <c r="K23" s="147"/>
      <c r="L23" s="147"/>
      <c r="M23" s="147">
        <v>19.499982834542443</v>
      </c>
      <c r="N23" s="147">
        <v>19.221642122326184</v>
      </c>
      <c r="O23" s="147">
        <v>81.592338420251252</v>
      </c>
      <c r="P23" s="147">
        <v>310.79603990795476</v>
      </c>
    </row>
    <row r="25" spans="1:16" x14ac:dyDescent="0.2">
      <c r="E25" s="116" t="s">
        <v>535</v>
      </c>
      <c r="G25" s="135">
        <f>SUM(G14:G23)</f>
        <v>86.768335625835633</v>
      </c>
      <c r="H25" s="490">
        <f>G25/I25</f>
        <v>5.5000925081236489E-2</v>
      </c>
      <c r="I25" s="135">
        <f>SUM(I14:P23)</f>
        <v>1577.5795679377866</v>
      </c>
    </row>
    <row r="28" spans="1:16" x14ac:dyDescent="0.2">
      <c r="A28" s="116" t="s">
        <v>558</v>
      </c>
      <c r="E28" s="171"/>
      <c r="G28" s="116" t="s">
        <v>463</v>
      </c>
      <c r="H28" s="116" t="s">
        <v>464</v>
      </c>
      <c r="I28" s="116" t="s">
        <v>559</v>
      </c>
    </row>
    <row r="29" spans="1:16" x14ac:dyDescent="0.2">
      <c r="A29" s="116" t="s">
        <v>553</v>
      </c>
      <c r="E29" s="171" t="s">
        <v>370</v>
      </c>
      <c r="G29" s="116">
        <f>H29*I29</f>
        <v>1978875.5422871278</v>
      </c>
      <c r="H29" s="139">
        <v>3.425709824012526E-2</v>
      </c>
      <c r="I29" s="172">
        <v>57765416.335504897</v>
      </c>
    </row>
    <row r="30" spans="1:16" x14ac:dyDescent="0.2">
      <c r="E30" s="171" t="s">
        <v>371</v>
      </c>
      <c r="G30" s="116">
        <f t="shared" ref="G30:G38" si="1">H30*I30</f>
        <v>3303588.4472580003</v>
      </c>
      <c r="H30" s="139">
        <v>4.3596828667353302E-2</v>
      </c>
      <c r="I30" s="172">
        <v>75775888.940560326</v>
      </c>
    </row>
    <row r="31" spans="1:16" x14ac:dyDescent="0.2">
      <c r="E31" s="171" t="s">
        <v>372</v>
      </c>
      <c r="G31" s="116">
        <f t="shared" si="1"/>
        <v>3938043.4797698138</v>
      </c>
      <c r="H31" s="139">
        <v>4.8482652607751718E-2</v>
      </c>
      <c r="I31" s="172">
        <v>81225825.485055536</v>
      </c>
    </row>
    <row r="32" spans="1:16" x14ac:dyDescent="0.2">
      <c r="E32" s="171" t="s">
        <v>373</v>
      </c>
      <c r="G32" s="116">
        <f t="shared" si="1"/>
        <v>4923029.0799861159</v>
      </c>
      <c r="H32" s="139">
        <v>5.4541744556400429E-2</v>
      </c>
      <c r="I32" s="172">
        <v>90261672.413050875</v>
      </c>
    </row>
    <row r="33" spans="5:9" x14ac:dyDescent="0.2">
      <c r="E33" s="171" t="s">
        <v>374</v>
      </c>
      <c r="G33" s="116">
        <f t="shared" si="1"/>
        <v>5537180.6524834968</v>
      </c>
      <c r="H33" s="139">
        <v>6.5924513468709978E-2</v>
      </c>
      <c r="I33" s="172">
        <v>83992742.018667027</v>
      </c>
    </row>
    <row r="34" spans="5:9" x14ac:dyDescent="0.2">
      <c r="E34" s="171" t="s">
        <v>375</v>
      </c>
      <c r="G34" s="116">
        <f t="shared" si="1"/>
        <v>892258.88438356691</v>
      </c>
      <c r="H34" s="139">
        <v>3.1375294553255606E-2</v>
      </c>
      <c r="I34" s="172">
        <v>28438263.196830548</v>
      </c>
    </row>
    <row r="35" spans="5:9" x14ac:dyDescent="0.2">
      <c r="E35" s="171" t="s">
        <v>376</v>
      </c>
      <c r="G35" s="116">
        <f t="shared" si="1"/>
        <v>2010116.7781636461</v>
      </c>
      <c r="H35" s="139">
        <v>4.6584201020057912E-2</v>
      </c>
      <c r="I35" s="172">
        <v>43150182.554341622</v>
      </c>
    </row>
    <row r="36" spans="5:9" x14ac:dyDescent="0.2">
      <c r="E36" s="171" t="s">
        <v>377</v>
      </c>
      <c r="G36" s="116">
        <f t="shared" si="1"/>
        <v>3327233.6009701663</v>
      </c>
      <c r="H36" s="139">
        <v>5.062443006400328E-2</v>
      </c>
      <c r="I36" s="172">
        <v>65723872.777700864</v>
      </c>
    </row>
    <row r="37" spans="5:9" x14ac:dyDescent="0.2">
      <c r="E37" s="171" t="s">
        <v>378</v>
      </c>
      <c r="G37" s="116">
        <f t="shared" si="1"/>
        <v>5174894.795608134</v>
      </c>
      <c r="H37" s="139">
        <v>5.7317424926862183E-2</v>
      </c>
      <c r="I37" s="172">
        <v>90284844.481610447</v>
      </c>
    </row>
    <row r="38" spans="5:9" x14ac:dyDescent="0.2">
      <c r="E38" s="171" t="s">
        <v>379</v>
      </c>
      <c r="G38" s="116">
        <f t="shared" si="1"/>
        <v>15582375.224969743</v>
      </c>
      <c r="H38" s="139">
        <v>6.7203422441746624E-2</v>
      </c>
      <c r="I38" s="172">
        <v>231868774.81540293</v>
      </c>
    </row>
    <row r="39" spans="5:9" x14ac:dyDescent="0.2">
      <c r="E39" s="171"/>
    </row>
    <row r="40" spans="5:9" x14ac:dyDescent="0.2">
      <c r="E40" s="171" t="s">
        <v>535</v>
      </c>
      <c r="G40" s="116">
        <f>H40*I40</f>
        <v>46667596.485879824</v>
      </c>
      <c r="H40" s="169">
        <v>5.5000925081236503E-2</v>
      </c>
      <c r="I40" s="116">
        <v>848487483.01872504</v>
      </c>
    </row>
    <row r="41" spans="5:9" x14ac:dyDescent="0.2">
      <c r="E41" s="171"/>
    </row>
    <row r="42" spans="5:9" x14ac:dyDescent="0.2">
      <c r="E42" s="171"/>
    </row>
    <row r="44" spans="5:9" x14ac:dyDescent="0.2">
      <c r="E44" s="171"/>
    </row>
    <row r="45" spans="5:9" x14ac:dyDescent="0.2">
      <c r="E45" s="171"/>
    </row>
  </sheetData>
  <mergeCells count="1"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B15E-A691-3E42-8090-DA08959D07B7}">
  <sheetPr>
    <tabColor theme="9" tint="0.79998168889431442"/>
  </sheetPr>
  <dimension ref="A1:R77"/>
  <sheetViews>
    <sheetView zoomScale="93" zoomScaleNormal="110" workbookViewId="0">
      <selection activeCell="A77" sqref="A77"/>
    </sheetView>
  </sheetViews>
  <sheetFormatPr baseColWidth="10" defaultColWidth="8.83203125" defaultRowHeight="15" x14ac:dyDescent="0.2"/>
  <cols>
    <col min="1" max="1" width="8.83203125" style="73"/>
    <col min="2" max="2" width="32" style="73" customWidth="1"/>
    <col min="3" max="3" width="22" style="73" customWidth="1"/>
    <col min="4" max="14" width="11" style="73" customWidth="1"/>
    <col min="15" max="15" width="10.1640625" style="73" customWidth="1"/>
    <col min="16" max="16" width="11.33203125" style="73" customWidth="1"/>
    <col min="17" max="17" width="9.6640625" style="73" customWidth="1"/>
    <col min="18" max="18" width="10.1640625" style="73" customWidth="1"/>
    <col min="19" max="16384" width="8.83203125" style="73"/>
  </cols>
  <sheetData>
    <row r="1" spans="1:18" ht="17" x14ac:dyDescent="0.2">
      <c r="A1" s="430" t="s">
        <v>985</v>
      </c>
    </row>
    <row r="3" spans="1:18" x14ac:dyDescent="0.2">
      <c r="A3" s="431"/>
      <c r="B3" s="431" t="s">
        <v>986</v>
      </c>
      <c r="C3" s="431" t="s">
        <v>987</v>
      </c>
      <c r="D3" s="431" t="s">
        <v>988</v>
      </c>
      <c r="E3" s="431" t="s">
        <v>989</v>
      </c>
      <c r="F3" s="431" t="s">
        <v>990</v>
      </c>
      <c r="G3" s="431" t="s">
        <v>991</v>
      </c>
      <c r="H3" s="431" t="s">
        <v>992</v>
      </c>
      <c r="I3" s="431" t="s">
        <v>993</v>
      </c>
      <c r="J3" s="431" t="s">
        <v>994</v>
      </c>
      <c r="K3" s="431" t="s">
        <v>995</v>
      </c>
      <c r="L3" s="431" t="s">
        <v>996</v>
      </c>
      <c r="M3" s="431" t="s">
        <v>997</v>
      </c>
      <c r="N3" s="431" t="s">
        <v>998</v>
      </c>
      <c r="O3" s="431" t="s">
        <v>999</v>
      </c>
      <c r="P3" s="431" t="s">
        <v>1000</v>
      </c>
      <c r="Q3" s="431" t="s">
        <v>1001</v>
      </c>
      <c r="R3" s="431" t="s">
        <v>1002</v>
      </c>
    </row>
    <row r="4" spans="1:18" ht="16" x14ac:dyDescent="0.2">
      <c r="A4" s="73">
        <v>1</v>
      </c>
      <c r="B4" s="73" t="s">
        <v>823</v>
      </c>
      <c r="C4" s="73" t="s">
        <v>790</v>
      </c>
      <c r="D4" s="432">
        <f>INDEX('[1]3_Calculations'!C$30:C$40,MATCH($C4,'[1]3_Calculations'!$B$30:$B$40,0))</f>
        <v>1.1105854365810424</v>
      </c>
      <c r="E4" s="432">
        <f>INDEX('[1]3_Calculations'!D$30:D$40,MATCH($C4,'[1]3_Calculations'!$B$30:$B$40,0))</f>
        <v>1.1312986257325708</v>
      </c>
      <c r="F4" s="432">
        <f>INDEX('[1]3_Calculations'!E$30:E$40,MATCH($C4,'[1]3_Calculations'!$B$30:$B$40,0))</f>
        <v>1.1503523904933177</v>
      </c>
      <c r="G4" s="432">
        <f>INDEX('[1]3_Calculations'!F$30:F$40,MATCH($C4,'[1]3_Calculations'!$B$30:$B$40,0))</f>
        <v>1.1796625591676979</v>
      </c>
      <c r="H4" s="432">
        <f>INDEX('[1]3_Calculations'!G$30:G$40,MATCH($C4,'[1]3_Calculations'!$B$30:$B$40,0))</f>
        <v>1.4010918232000333</v>
      </c>
      <c r="I4" s="433">
        <f>'[1]3_Calculations'!C$9*D4/'[1]3_Calculations'!C$45</f>
        <v>0.79095437833317828</v>
      </c>
      <c r="J4" s="433">
        <f>'[1]3_Calculations'!D$9*E4/'[1]3_Calculations'!D$45</f>
        <v>0.76195439298050194</v>
      </c>
      <c r="K4" s="433">
        <f>'[1]3_Calculations'!E$9*F4/'[1]3_Calculations'!E$45</f>
        <v>0.74053653210979542</v>
      </c>
      <c r="L4" s="433">
        <f>'[1]3_Calculations'!F$9*G4/'[1]3_Calculations'!F$45</f>
        <v>0.7059984068422106</v>
      </c>
      <c r="M4" s="433">
        <f>'[1]3_Calculations'!G$9*H4/'[1]3_Calculations'!G$45</f>
        <v>0.62307019060647217</v>
      </c>
      <c r="N4" s="82">
        <f>INDEX('[1]3_Calculations'!C$14:C$24,MATCH($C4,'[1]3_Calculations'!$B$14:$B$24,0))/100</f>
        <v>0.90944310987806776</v>
      </c>
      <c r="O4" s="82">
        <f>INDEX('[1]3_Calculations'!D$14:D$24,MATCH($C4,'[1]3_Calculations'!$B$14:$B$24,0))/100</f>
        <v>0.89600909903755199</v>
      </c>
      <c r="P4" s="82">
        <f>INDEX('[1]3_Calculations'!E$14:E$24,MATCH($C4,'[1]3_Calculations'!$B$14:$B$24,0))/100</f>
        <v>0.88440698251353411</v>
      </c>
      <c r="Q4" s="82">
        <f>INDEX('[1]3_Calculations'!F$14:F$24,MATCH($C4,'[1]3_Calculations'!$B$14:$B$24,0))/100</f>
        <v>0.86782958929817355</v>
      </c>
      <c r="R4" s="82">
        <f>INDEX('[1]3_Calculations'!G$14:G$24,MATCH($C4,'[1]3_Calculations'!$B$14:$B$24,0))/100</f>
        <v>0.77744120361915936</v>
      </c>
    </row>
    <row r="5" spans="1:18" ht="16" x14ac:dyDescent="0.2">
      <c r="A5" s="73">
        <v>2</v>
      </c>
      <c r="B5" s="73" t="s">
        <v>106</v>
      </c>
      <c r="C5" s="73" t="s">
        <v>794</v>
      </c>
      <c r="D5" s="432">
        <f>INDEX('[1]3_Calculations'!C$30:C$40,MATCH($C5,'[1]3_Calculations'!$B$30:$B$40,0))</f>
        <v>1.0221170873162084</v>
      </c>
      <c r="E5" s="432">
        <f>INDEX('[1]3_Calculations'!D$30:D$40,MATCH($C5,'[1]3_Calculations'!$B$30:$B$40,0))</f>
        <v>1.0262597251465142</v>
      </c>
      <c r="F5" s="432">
        <f>INDEX('[1]3_Calculations'!E$30:E$40,MATCH($C5,'[1]3_Calculations'!$B$30:$B$40,0))</f>
        <v>1.0300704780986638</v>
      </c>
      <c r="G5" s="432">
        <f>INDEX('[1]3_Calculations'!F$30:F$40,MATCH($C5,'[1]3_Calculations'!$B$30:$B$40,0))</f>
        <v>1.0359325118335396</v>
      </c>
      <c r="H5" s="432">
        <f>INDEX('[1]3_Calculations'!G$30:G$40,MATCH($C5,'[1]3_Calculations'!$B$30:$B$40,0))</f>
        <v>1.0802183646400068</v>
      </c>
      <c r="I5" s="433">
        <f>'[1]3_Calculations'!C$9*D5/'[1]3_Calculations'!C$45</f>
        <v>0.72794758399743886</v>
      </c>
      <c r="J5" s="433">
        <f>'[1]3_Calculations'!D$9*E5/'[1]3_Calculations'!D$45</f>
        <v>0.69120839372362008</v>
      </c>
      <c r="K5" s="433">
        <f>'[1]3_Calculations'!E$9*F5/'[1]3_Calculations'!E$45</f>
        <v>0.6631053457912508</v>
      </c>
      <c r="L5" s="433">
        <f>'[1]3_Calculations'!F$9*G5/'[1]3_Calculations'!F$45</f>
        <v>0.61997958421816735</v>
      </c>
      <c r="M5" s="433">
        <f>'[1]3_Calculations'!G$9*H5/'[1]3_Calculations'!G$45</f>
        <v>0.48037669709301362</v>
      </c>
      <c r="N5" s="82">
        <f>INDEX('[1]3_Calculations'!C$14:C$24,MATCH($C5,'[1]3_Calculations'!$B$14:$B$24,0))/100</f>
        <v>0.8369975977805223</v>
      </c>
      <c r="O5" s="82">
        <f>INDEX('[1]3_Calculations'!D$14:D$24,MATCH($C5,'[1]3_Calculations'!$B$14:$B$24,0))/100</f>
        <v>0.81281637826759334</v>
      </c>
      <c r="P5" s="82">
        <f>INDEX('[1]3_Calculations'!E$14:E$24,MATCH($C5,'[1]3_Calculations'!$B$14:$B$24,0))/100</f>
        <v>0.79193256852436167</v>
      </c>
      <c r="Q5" s="82">
        <f>INDEX('[1]3_Calculations'!F$14:F$24,MATCH($C5,'[1]3_Calculations'!$B$14:$B$24,0))/100</f>
        <v>0.76209326073671246</v>
      </c>
      <c r="R5" s="82">
        <f>INDEX('[1]3_Calculations'!G$14:G$24,MATCH($C5,'[1]3_Calculations'!$B$14:$B$24,0))/100</f>
        <v>0.59939416651448696</v>
      </c>
    </row>
    <row r="6" spans="1:18" ht="16" x14ac:dyDescent="0.2">
      <c r="A6" s="73">
        <v>3</v>
      </c>
      <c r="B6" s="73" t="s">
        <v>826</v>
      </c>
      <c r="C6" s="73" t="s">
        <v>626</v>
      </c>
      <c r="D6" s="432">
        <f>INDEX('[1]3_Calculations'!C$30:C$40,MATCH($C6,'[1]3_Calculations'!$B$30:$B$40,0))</f>
        <v>0.95129468567931419</v>
      </c>
      <c r="E6" s="432">
        <f>INDEX('[1]3_Calculations'!D$30:D$40,MATCH($C6,'[1]3_Calculations'!$B$30:$B$40,0))</f>
        <v>0.94450154875812042</v>
      </c>
      <c r="F6" s="432">
        <f>INDEX('[1]3_Calculations'!E$30:E$40,MATCH($C6,'[1]3_Calculations'!$B$30:$B$40,0))</f>
        <v>0.94847198001193356</v>
      </c>
      <c r="G6" s="432">
        <f>INDEX('[1]3_Calculations'!F$30:F$40,MATCH($C6,'[1]3_Calculations'!$B$30:$B$40,0))</f>
        <v>0.95865370801439898</v>
      </c>
      <c r="H6" s="432">
        <f>INDEX('[1]3_Calculations'!G$30:G$40,MATCH($C6,'[1]3_Calculations'!$B$30:$B$40,0))</f>
        <v>0.9881774626861356</v>
      </c>
      <c r="I6" s="433">
        <f>'[1]3_Calculations'!C$9*D6/'[1]3_Calculations'!C$45</f>
        <v>0.6775081609565401</v>
      </c>
      <c r="J6" s="433">
        <f>'[1]3_Calculations'!D$9*E6/'[1]3_Calculations'!D$45</f>
        <v>0.63614247191993023</v>
      </c>
      <c r="K6" s="433">
        <f>'[1]3_Calculations'!E$9*F6/'[1]3_Calculations'!E$45</f>
        <v>0.6105765126285696</v>
      </c>
      <c r="L6" s="433">
        <f>'[1]3_Calculations'!F$9*G6/'[1]3_Calculations'!F$45</f>
        <v>0.57373016148707834</v>
      </c>
      <c r="M6" s="433">
        <f>'[1]3_Calculations'!G$9*H6/'[1]3_Calculations'!G$45</f>
        <v>0.43944580207643302</v>
      </c>
      <c r="N6" s="82">
        <f>INDEX('[1]3_Calculations'!C$14:C$24,MATCH($C6,'[1]3_Calculations'!$B$14:$B$24,0))/100</f>
        <v>0.77900210903003531</v>
      </c>
      <c r="O6" s="82">
        <f>INDEX('[1]3_Calculations'!D$14:D$24,MATCH($C6,'[1]3_Calculations'!$B$14:$B$24,0))/100</f>
        <v>0.74806241472655133</v>
      </c>
      <c r="P6" s="82">
        <f>INDEX('[1]3_Calculations'!E$14:E$24,MATCH($C6,'[1]3_Calculations'!$B$14:$B$24,0))/100</f>
        <v>0.72919850367004901</v>
      </c>
      <c r="Q6" s="82">
        <f>INDEX('[1]3_Calculations'!F$14:F$24,MATCH($C6,'[1]3_Calculations'!$B$14:$B$24,0))/100</f>
        <v>0.70524239939621525</v>
      </c>
      <c r="R6" s="82">
        <f>INDEX('[1]3_Calculations'!G$14:G$24,MATCH($C6,'[1]3_Calculations'!$B$14:$B$24,0))/100</f>
        <v>0.54832228927393678</v>
      </c>
    </row>
    <row r="7" spans="1:18" ht="16" x14ac:dyDescent="0.2">
      <c r="A7" s="73">
        <v>4</v>
      </c>
      <c r="B7" s="73" t="s">
        <v>828</v>
      </c>
      <c r="C7" s="73" t="s">
        <v>626</v>
      </c>
      <c r="D7" s="432">
        <f>INDEX('[1]3_Calculations'!C$30:C$40,MATCH($C7,'[1]3_Calculations'!$B$30:$B$40,0))</f>
        <v>0.95129468567931419</v>
      </c>
      <c r="E7" s="432">
        <f>INDEX('[1]3_Calculations'!D$30:D$40,MATCH($C7,'[1]3_Calculations'!$B$30:$B$40,0))</f>
        <v>0.94450154875812042</v>
      </c>
      <c r="F7" s="432">
        <f>INDEX('[1]3_Calculations'!E$30:E$40,MATCH($C7,'[1]3_Calculations'!$B$30:$B$40,0))</f>
        <v>0.94847198001193356</v>
      </c>
      <c r="G7" s="432">
        <f>INDEX('[1]3_Calculations'!F$30:F$40,MATCH($C7,'[1]3_Calculations'!$B$30:$B$40,0))</f>
        <v>0.95865370801439898</v>
      </c>
      <c r="H7" s="432">
        <f>INDEX('[1]3_Calculations'!G$30:G$40,MATCH($C7,'[1]3_Calculations'!$B$30:$B$40,0))</f>
        <v>0.9881774626861356</v>
      </c>
      <c r="I7" s="433">
        <f>'[1]3_Calculations'!C$9*D7/'[1]3_Calculations'!C$45</f>
        <v>0.6775081609565401</v>
      </c>
      <c r="J7" s="433">
        <f>'[1]3_Calculations'!D$9*E7/'[1]3_Calculations'!D$45</f>
        <v>0.63614247191993023</v>
      </c>
      <c r="K7" s="433">
        <f>'[1]3_Calculations'!E$9*F7/'[1]3_Calculations'!E$45</f>
        <v>0.6105765126285696</v>
      </c>
      <c r="L7" s="433">
        <f>'[1]3_Calculations'!F$9*G7/'[1]3_Calculations'!F$45</f>
        <v>0.57373016148707834</v>
      </c>
      <c r="M7" s="433">
        <f>'[1]3_Calculations'!G$9*H7/'[1]3_Calculations'!G$45</f>
        <v>0.43944580207643302</v>
      </c>
      <c r="N7" s="82">
        <f>INDEX('[1]3_Calculations'!C$14:C$24,MATCH($C7,'[1]3_Calculations'!$B$14:$B$24,0))/100</f>
        <v>0.77900210903003531</v>
      </c>
      <c r="O7" s="82">
        <f>INDEX('[1]3_Calculations'!D$14:D$24,MATCH($C7,'[1]3_Calculations'!$B$14:$B$24,0))/100</f>
        <v>0.74806241472655133</v>
      </c>
      <c r="P7" s="82">
        <f>INDEX('[1]3_Calculations'!E$14:E$24,MATCH($C7,'[1]3_Calculations'!$B$14:$B$24,0))/100</f>
        <v>0.72919850367004901</v>
      </c>
      <c r="Q7" s="82">
        <f>INDEX('[1]3_Calculations'!F$14:F$24,MATCH($C7,'[1]3_Calculations'!$B$14:$B$24,0))/100</f>
        <v>0.70524239939621525</v>
      </c>
      <c r="R7" s="82">
        <f>INDEX('[1]3_Calculations'!G$14:G$24,MATCH($C7,'[1]3_Calculations'!$B$14:$B$24,0))/100</f>
        <v>0.54832228927393678</v>
      </c>
    </row>
    <row r="8" spans="1:18" ht="16" x14ac:dyDescent="0.2">
      <c r="A8" s="73">
        <v>5</v>
      </c>
      <c r="B8" s="73" t="s">
        <v>109</v>
      </c>
      <c r="C8" s="73" t="s">
        <v>796</v>
      </c>
      <c r="D8" s="432">
        <f>INDEX('[1]3_Calculations'!C$30:C$40,MATCH($C8,'[1]3_Calculations'!$B$30:$B$40,0))</f>
        <v>1.0442341746324171</v>
      </c>
      <c r="E8" s="432">
        <f>INDEX('[1]3_Calculations'!D$30:D$40,MATCH($C8,'[1]3_Calculations'!$B$30:$B$40,0))</f>
        <v>1.0525194502930282</v>
      </c>
      <c r="F8" s="432">
        <f>INDEX('[1]3_Calculations'!E$30:E$40,MATCH($C8,'[1]3_Calculations'!$B$30:$B$40,0))</f>
        <v>1.0601409561973272</v>
      </c>
      <c r="G8" s="432">
        <f>INDEX('[1]3_Calculations'!F$30:F$40,MATCH($C8,'[1]3_Calculations'!$B$30:$B$40,0))</f>
        <v>1.071865023667079</v>
      </c>
      <c r="H8" s="432">
        <f>INDEX('[1]3_Calculations'!G$30:G$40,MATCH($C8,'[1]3_Calculations'!$B$30:$B$40,0))</f>
        <v>1.1604367292800133</v>
      </c>
      <c r="I8" s="433">
        <f>'[1]3_Calculations'!C$9*D8/'[1]3_Calculations'!C$45</f>
        <v>0.74369928258137374</v>
      </c>
      <c r="J8" s="433">
        <f>'[1]3_Calculations'!D$9*E8/'[1]3_Calculations'!D$45</f>
        <v>0.70889489353784041</v>
      </c>
      <c r="K8" s="433">
        <f>'[1]3_Calculations'!E$9*F8/'[1]3_Calculations'!E$45</f>
        <v>0.6824631423708869</v>
      </c>
      <c r="L8" s="433">
        <f>'[1]3_Calculations'!F$9*G8/'[1]3_Calculations'!F$45</f>
        <v>0.64148428987417805</v>
      </c>
      <c r="M8" s="433">
        <f>'[1]3_Calculations'!G$9*H8/'[1]3_Calculations'!G$45</f>
        <v>0.51605007047137819</v>
      </c>
      <c r="N8" s="82">
        <f>INDEX('[1]3_Calculations'!C$14:C$24,MATCH($C8,'[1]3_Calculations'!$B$14:$B$24,0))/100</f>
        <v>0.85510897580490874</v>
      </c>
      <c r="O8" s="82">
        <f>INDEX('[1]3_Calculations'!D$14:D$24,MATCH($C8,'[1]3_Calculations'!$B$14:$B$24,0))/100</f>
        <v>0.83361455846008292</v>
      </c>
      <c r="P8" s="82">
        <f>INDEX('[1]3_Calculations'!E$14:E$24,MATCH($C8,'[1]3_Calculations'!$B$14:$B$24,0))/100</f>
        <v>0.81505117202165467</v>
      </c>
      <c r="Q8" s="82">
        <f>INDEX('[1]3_Calculations'!F$14:F$24,MATCH($C8,'[1]3_Calculations'!$B$14:$B$24,0))/100</f>
        <v>0.7885273428770776</v>
      </c>
      <c r="R8" s="82">
        <f>INDEX('[1]3_Calculations'!G$14:G$24,MATCH($C8,'[1]3_Calculations'!$B$14:$B$24,0))/100</f>
        <v>0.64390592579065498</v>
      </c>
    </row>
    <row r="9" spans="1:18" ht="16" x14ac:dyDescent="0.2">
      <c r="A9" s="73">
        <v>6</v>
      </c>
      <c r="B9" s="73" t="s">
        <v>110</v>
      </c>
      <c r="C9" s="73" t="s">
        <v>798</v>
      </c>
      <c r="D9" s="432">
        <f>INDEX('[1]3_Calculations'!C$30:C$40,MATCH($C9,'[1]3_Calculations'!$B$30:$B$40,0))</f>
        <v>0.88941456341895664</v>
      </c>
      <c r="E9" s="432">
        <f>INDEX('[1]3_Calculations'!D$30:D$40,MATCH($C9,'[1]3_Calculations'!$B$30:$B$40,0))</f>
        <v>0.86870137426742933</v>
      </c>
      <c r="F9" s="432">
        <f>INDEX('[1]3_Calculations'!E$30:E$40,MATCH($C9,'[1]3_Calculations'!$B$30:$B$40,0))</f>
        <v>0.84964760950668217</v>
      </c>
      <c r="G9" s="432">
        <f>INDEX('[1]3_Calculations'!F$30:F$40,MATCH($C9,'[1]3_Calculations'!$B$30:$B$40,0))</f>
        <v>0.82033744083230187</v>
      </c>
      <c r="H9" s="432">
        <f>INDEX('[1]3_Calculations'!G$30:G$40,MATCH($C9,'[1]3_Calculations'!$B$30:$B$40,0))</f>
        <v>0.59890817679996655</v>
      </c>
      <c r="I9" s="433">
        <f>'[1]3_Calculations'!C$9*D9/'[1]3_Calculations'!C$45</f>
        <v>0.63343739249382891</v>
      </c>
      <c r="J9" s="433">
        <f>'[1]3_Calculations'!D$9*E9/'[1]3_Calculations'!D$45</f>
        <v>0.58508939483829703</v>
      </c>
      <c r="K9" s="433">
        <f>'[1]3_Calculations'!E$9*F9/'[1]3_Calculations'!E$45</f>
        <v>0.54695856631343354</v>
      </c>
      <c r="L9" s="433">
        <f>'[1]3_Calculations'!F$9*G9/'[1]3_Calculations'!F$45</f>
        <v>0.49095135028210202</v>
      </c>
      <c r="M9" s="433">
        <f>'[1]3_Calculations'!G$9*H9/'[1]3_Calculations'!G$45</f>
        <v>0.26633645682282575</v>
      </c>
      <c r="N9" s="82">
        <f>INDEX('[1]3_Calculations'!C$14:C$24,MATCH($C9,'[1]3_Calculations'!$B$14:$B$24,0))/100</f>
        <v>0.72832932963420349</v>
      </c>
      <c r="O9" s="82">
        <f>INDEX('[1]3_Calculations'!D$14:D$24,MATCH($C9,'[1]3_Calculations'!$B$14:$B$24,0))/100</f>
        <v>0.68802729711265576</v>
      </c>
      <c r="P9" s="82">
        <f>INDEX('[1]3_Calculations'!E$14:E$24,MATCH($C9,'[1]3_Calculations'!$B$14:$B$24,0))/100</f>
        <v>0.65322094754060256</v>
      </c>
      <c r="Q9" s="82">
        <f>INDEX('[1]3_Calculations'!F$14:F$24,MATCH($C9,'[1]3_Calculations'!$B$14:$B$24,0))/100</f>
        <v>0.60348876789452077</v>
      </c>
      <c r="R9" s="82">
        <f>INDEX('[1]3_Calculations'!G$14:G$24,MATCH($C9,'[1]3_Calculations'!$B$14:$B$24,0))/100</f>
        <v>0.33232361085747802</v>
      </c>
    </row>
    <row r="10" spans="1:18" ht="16" x14ac:dyDescent="0.2">
      <c r="A10" s="73">
        <v>7</v>
      </c>
      <c r="B10" s="73" t="s">
        <v>832</v>
      </c>
      <c r="C10" s="73" t="s">
        <v>798</v>
      </c>
      <c r="D10" s="432">
        <f>INDEX('[1]3_Calculations'!C$30:C$40,MATCH($C10,'[1]3_Calculations'!$B$30:$B$40,0))</f>
        <v>0.88941456341895664</v>
      </c>
      <c r="E10" s="432">
        <f>INDEX('[1]3_Calculations'!D$30:D$40,MATCH($C10,'[1]3_Calculations'!$B$30:$B$40,0))</f>
        <v>0.86870137426742933</v>
      </c>
      <c r="F10" s="432">
        <f>INDEX('[1]3_Calculations'!E$30:E$40,MATCH($C10,'[1]3_Calculations'!$B$30:$B$40,0))</f>
        <v>0.84964760950668217</v>
      </c>
      <c r="G10" s="432">
        <f>INDEX('[1]3_Calculations'!F$30:F$40,MATCH($C10,'[1]3_Calculations'!$B$30:$B$40,0))</f>
        <v>0.82033744083230187</v>
      </c>
      <c r="H10" s="432">
        <f>INDEX('[1]3_Calculations'!G$30:G$40,MATCH($C10,'[1]3_Calculations'!$B$30:$B$40,0))</f>
        <v>0.59890817679996655</v>
      </c>
      <c r="I10" s="433">
        <f>'[1]3_Calculations'!C$9*D10/'[1]3_Calculations'!C$45</f>
        <v>0.63343739249382891</v>
      </c>
      <c r="J10" s="433">
        <f>'[1]3_Calculations'!D$9*E10/'[1]3_Calculations'!D$45</f>
        <v>0.58508939483829703</v>
      </c>
      <c r="K10" s="433">
        <f>'[1]3_Calculations'!E$9*F10/'[1]3_Calculations'!E$45</f>
        <v>0.54695856631343354</v>
      </c>
      <c r="L10" s="433">
        <f>'[1]3_Calculations'!F$9*G10/'[1]3_Calculations'!F$45</f>
        <v>0.49095135028210202</v>
      </c>
      <c r="M10" s="433">
        <f>'[1]3_Calculations'!G$9*H10/'[1]3_Calculations'!G$45</f>
        <v>0.26633645682282575</v>
      </c>
      <c r="N10" s="82">
        <f>INDEX('[1]3_Calculations'!C$14:C$24,MATCH($C10,'[1]3_Calculations'!$B$14:$B$24,0))/100</f>
        <v>0.72832932963420349</v>
      </c>
      <c r="O10" s="82">
        <f>INDEX('[1]3_Calculations'!D$14:D$24,MATCH($C10,'[1]3_Calculations'!$B$14:$B$24,0))/100</f>
        <v>0.68802729711265576</v>
      </c>
      <c r="P10" s="82">
        <f>INDEX('[1]3_Calculations'!E$14:E$24,MATCH($C10,'[1]3_Calculations'!$B$14:$B$24,0))/100</f>
        <v>0.65322094754060256</v>
      </c>
      <c r="Q10" s="82">
        <f>INDEX('[1]3_Calculations'!F$14:F$24,MATCH($C10,'[1]3_Calculations'!$B$14:$B$24,0))/100</f>
        <v>0.60348876789452077</v>
      </c>
      <c r="R10" s="82">
        <f>INDEX('[1]3_Calculations'!G$14:G$24,MATCH($C10,'[1]3_Calculations'!$B$14:$B$24,0))/100</f>
        <v>0.33232361085747802</v>
      </c>
    </row>
    <row r="11" spans="1:18" ht="16" x14ac:dyDescent="0.2">
      <c r="A11" s="73">
        <v>8</v>
      </c>
      <c r="B11" s="73" t="s">
        <v>112</v>
      </c>
      <c r="C11" s="73" t="s">
        <v>800</v>
      </c>
      <c r="D11" s="432">
        <f>INDEX('[1]3_Calculations'!C$30:C$40,MATCH($C11,'[1]3_Calculations'!$B$30:$B$40,0))</f>
        <v>0.99999999999999967</v>
      </c>
      <c r="E11" s="432">
        <f>INDEX('[1]3_Calculations'!D$30:D$40,MATCH($C11,'[1]3_Calculations'!$B$30:$B$40,0))</f>
        <v>1</v>
      </c>
      <c r="F11" s="432">
        <f>INDEX('[1]3_Calculations'!E$30:E$40,MATCH($C11,'[1]3_Calculations'!$B$30:$B$40,0))</f>
        <v>0.99999999999999978</v>
      </c>
      <c r="G11" s="432">
        <f>INDEX('[1]3_Calculations'!F$30:F$40,MATCH($C11,'[1]3_Calculations'!$B$30:$B$40,0))</f>
        <v>1</v>
      </c>
      <c r="H11" s="432">
        <f>INDEX('[1]3_Calculations'!G$30:G$40,MATCH($C11,'[1]3_Calculations'!$B$30:$B$40,0))</f>
        <v>1</v>
      </c>
      <c r="I11" s="433">
        <f>'[1]3_Calculations'!C$9*D11/'[1]3_Calculations'!C$45</f>
        <v>0.71219588541350376</v>
      </c>
      <c r="J11" s="433">
        <f>'[1]3_Calculations'!D$9*E11/'[1]3_Calculations'!D$45</f>
        <v>0.67352189390939943</v>
      </c>
      <c r="K11" s="433">
        <f>'[1]3_Calculations'!E$9*F11/'[1]3_Calculations'!E$45</f>
        <v>0.64374754921161437</v>
      </c>
      <c r="L11" s="433">
        <f>'[1]3_Calculations'!F$9*G11/'[1]3_Calculations'!F$45</f>
        <v>0.59847487856215642</v>
      </c>
      <c r="M11" s="433">
        <f>'[1]3_Calculations'!G$9*H11/'[1]3_Calculations'!G$45</f>
        <v>0.44470332371464899</v>
      </c>
      <c r="N11" s="82">
        <f>INDEX('[1]3_Calculations'!C$14:C$24,MATCH($C11,'[1]3_Calculations'!$B$14:$B$24,0))/100</f>
        <v>0.81888621975613574</v>
      </c>
      <c r="O11" s="82">
        <f>INDEX('[1]3_Calculations'!D$14:D$24,MATCH($C11,'[1]3_Calculations'!$B$14:$B$24,0))/100</f>
        <v>0.79201819807510376</v>
      </c>
      <c r="P11" s="82">
        <f>INDEX('[1]3_Calculations'!E$14:E$24,MATCH($C11,'[1]3_Calculations'!$B$14:$B$24,0))/100</f>
        <v>0.76881396502706822</v>
      </c>
      <c r="Q11" s="82">
        <f>INDEX('[1]3_Calculations'!F$14:F$24,MATCH($C11,'[1]3_Calculations'!$B$14:$B$24,0))/100</f>
        <v>0.73565917859634722</v>
      </c>
      <c r="R11" s="82">
        <f>INDEX('[1]3_Calculations'!G$14:G$24,MATCH($C11,'[1]3_Calculations'!$B$14:$B$24,0))/100</f>
        <v>0.55488240723831872</v>
      </c>
    </row>
    <row r="12" spans="1:18" ht="16" x14ac:dyDescent="0.2">
      <c r="A12" s="73">
        <v>9</v>
      </c>
      <c r="B12" s="73" t="s">
        <v>113</v>
      </c>
      <c r="C12" s="73" t="s">
        <v>800</v>
      </c>
      <c r="D12" s="432">
        <f>INDEX('[1]3_Calculations'!C$30:C$40,MATCH($C12,'[1]3_Calculations'!$B$30:$B$40,0))</f>
        <v>0.99999999999999967</v>
      </c>
      <c r="E12" s="432">
        <f>INDEX('[1]3_Calculations'!D$30:D$40,MATCH($C12,'[1]3_Calculations'!$B$30:$B$40,0))</f>
        <v>1</v>
      </c>
      <c r="F12" s="432">
        <f>INDEX('[1]3_Calculations'!E$30:E$40,MATCH($C12,'[1]3_Calculations'!$B$30:$B$40,0))</f>
        <v>0.99999999999999978</v>
      </c>
      <c r="G12" s="432">
        <f>INDEX('[1]3_Calculations'!F$30:F$40,MATCH($C12,'[1]3_Calculations'!$B$30:$B$40,0))</f>
        <v>1</v>
      </c>
      <c r="H12" s="432">
        <f>INDEX('[1]3_Calculations'!G$30:G$40,MATCH($C12,'[1]3_Calculations'!$B$30:$B$40,0))</f>
        <v>1</v>
      </c>
      <c r="I12" s="433">
        <f>'[1]3_Calculations'!C$9*D12/'[1]3_Calculations'!C$45</f>
        <v>0.71219588541350376</v>
      </c>
      <c r="J12" s="433">
        <f>'[1]3_Calculations'!D$9*E12/'[1]3_Calculations'!D$45</f>
        <v>0.67352189390939943</v>
      </c>
      <c r="K12" s="433">
        <f>'[1]3_Calculations'!E$9*F12/'[1]3_Calculations'!E$45</f>
        <v>0.64374754921161437</v>
      </c>
      <c r="L12" s="433">
        <f>'[1]3_Calculations'!F$9*G12/'[1]3_Calculations'!F$45</f>
        <v>0.59847487856215642</v>
      </c>
      <c r="M12" s="433">
        <f>'[1]3_Calculations'!G$9*H12/'[1]3_Calculations'!G$45</f>
        <v>0.44470332371464899</v>
      </c>
      <c r="N12" s="82">
        <f>INDEX('[1]3_Calculations'!C$14:C$24,MATCH($C12,'[1]3_Calculations'!$B$14:$B$24,0))/100</f>
        <v>0.81888621975613574</v>
      </c>
      <c r="O12" s="82">
        <f>INDEX('[1]3_Calculations'!D$14:D$24,MATCH($C12,'[1]3_Calculations'!$B$14:$B$24,0))/100</f>
        <v>0.79201819807510376</v>
      </c>
      <c r="P12" s="82">
        <f>INDEX('[1]3_Calculations'!E$14:E$24,MATCH($C12,'[1]3_Calculations'!$B$14:$B$24,0))/100</f>
        <v>0.76881396502706822</v>
      </c>
      <c r="Q12" s="82">
        <f>INDEX('[1]3_Calculations'!F$14:F$24,MATCH($C12,'[1]3_Calculations'!$B$14:$B$24,0))/100</f>
        <v>0.73565917859634722</v>
      </c>
      <c r="R12" s="82">
        <f>INDEX('[1]3_Calculations'!G$14:G$24,MATCH($C12,'[1]3_Calculations'!$B$14:$B$24,0))/100</f>
        <v>0.55488240723831872</v>
      </c>
    </row>
    <row r="13" spans="1:18" ht="16" x14ac:dyDescent="0.2">
      <c r="A13" s="73">
        <v>10</v>
      </c>
      <c r="B13" s="73" t="s">
        <v>627</v>
      </c>
      <c r="C13" s="73" t="s">
        <v>800</v>
      </c>
      <c r="D13" s="432">
        <f>INDEX('[1]3_Calculations'!C$30:C$40,MATCH($C13,'[1]3_Calculations'!$B$30:$B$40,0))</f>
        <v>0.99999999999999967</v>
      </c>
      <c r="E13" s="432">
        <f>INDEX('[1]3_Calculations'!D$30:D$40,MATCH($C13,'[1]3_Calculations'!$B$30:$B$40,0))</f>
        <v>1</v>
      </c>
      <c r="F13" s="432">
        <f>INDEX('[1]3_Calculations'!E$30:E$40,MATCH($C13,'[1]3_Calculations'!$B$30:$B$40,0))</f>
        <v>0.99999999999999978</v>
      </c>
      <c r="G13" s="432">
        <f>INDEX('[1]3_Calculations'!F$30:F$40,MATCH($C13,'[1]3_Calculations'!$B$30:$B$40,0))</f>
        <v>1</v>
      </c>
      <c r="H13" s="432">
        <f>INDEX('[1]3_Calculations'!G$30:G$40,MATCH($C13,'[1]3_Calculations'!$B$30:$B$40,0))</f>
        <v>1</v>
      </c>
      <c r="I13" s="433">
        <f>'[1]3_Calculations'!C$9*D13/'[1]3_Calculations'!C$45</f>
        <v>0.71219588541350376</v>
      </c>
      <c r="J13" s="433">
        <f>'[1]3_Calculations'!D$9*E13/'[1]3_Calculations'!D$45</f>
        <v>0.67352189390939943</v>
      </c>
      <c r="K13" s="433">
        <f>'[1]3_Calculations'!E$9*F13/'[1]3_Calculations'!E$45</f>
        <v>0.64374754921161437</v>
      </c>
      <c r="L13" s="433">
        <f>'[1]3_Calculations'!F$9*G13/'[1]3_Calculations'!F$45</f>
        <v>0.59847487856215642</v>
      </c>
      <c r="M13" s="433">
        <f>'[1]3_Calculations'!G$9*H13/'[1]3_Calculations'!G$45</f>
        <v>0.44470332371464899</v>
      </c>
      <c r="N13" s="82">
        <f>INDEX('[1]3_Calculations'!C$14:C$24,MATCH($C13,'[1]3_Calculations'!$B$14:$B$24,0))/100</f>
        <v>0.81888621975613574</v>
      </c>
      <c r="O13" s="82">
        <f>INDEX('[1]3_Calculations'!D$14:D$24,MATCH($C13,'[1]3_Calculations'!$B$14:$B$24,0))/100</f>
        <v>0.79201819807510376</v>
      </c>
      <c r="P13" s="82">
        <f>INDEX('[1]3_Calculations'!E$14:E$24,MATCH($C13,'[1]3_Calculations'!$B$14:$B$24,0))/100</f>
        <v>0.76881396502706822</v>
      </c>
      <c r="Q13" s="82">
        <f>INDEX('[1]3_Calculations'!F$14:F$24,MATCH($C13,'[1]3_Calculations'!$B$14:$B$24,0))/100</f>
        <v>0.73565917859634722</v>
      </c>
      <c r="R13" s="82">
        <f>INDEX('[1]3_Calculations'!G$14:G$24,MATCH($C13,'[1]3_Calculations'!$B$14:$B$24,0))/100</f>
        <v>0.55488240723831872</v>
      </c>
    </row>
    <row r="14" spans="1:18" ht="16" x14ac:dyDescent="0.2">
      <c r="A14" s="73">
        <v>11</v>
      </c>
      <c r="B14" s="73" t="s">
        <v>628</v>
      </c>
      <c r="C14" s="73" t="s">
        <v>626</v>
      </c>
      <c r="D14" s="432">
        <f>INDEX('[1]3_Calculations'!C$30:C$40,MATCH($C14,'[1]3_Calculations'!$B$30:$B$40,0))</f>
        <v>0.95129468567931419</v>
      </c>
      <c r="E14" s="432">
        <f>INDEX('[1]3_Calculations'!D$30:D$40,MATCH($C14,'[1]3_Calculations'!$B$30:$B$40,0))</f>
        <v>0.94450154875812042</v>
      </c>
      <c r="F14" s="432">
        <f>INDEX('[1]3_Calculations'!E$30:E$40,MATCH($C14,'[1]3_Calculations'!$B$30:$B$40,0))</f>
        <v>0.94847198001193356</v>
      </c>
      <c r="G14" s="432">
        <f>INDEX('[1]3_Calculations'!F$30:F$40,MATCH($C14,'[1]3_Calculations'!$B$30:$B$40,0))</f>
        <v>0.95865370801439898</v>
      </c>
      <c r="H14" s="432">
        <f>INDEX('[1]3_Calculations'!G$30:G$40,MATCH($C14,'[1]3_Calculations'!$B$30:$B$40,0))</f>
        <v>0.9881774626861356</v>
      </c>
      <c r="I14" s="433">
        <f>'[1]3_Calculations'!C$9*D14/'[1]3_Calculations'!C$45</f>
        <v>0.6775081609565401</v>
      </c>
      <c r="J14" s="433">
        <f>'[1]3_Calculations'!D$9*E14/'[1]3_Calculations'!D$45</f>
        <v>0.63614247191993023</v>
      </c>
      <c r="K14" s="433">
        <f>'[1]3_Calculations'!E$9*F14/'[1]3_Calculations'!E$45</f>
        <v>0.6105765126285696</v>
      </c>
      <c r="L14" s="433">
        <f>'[1]3_Calculations'!F$9*G14/'[1]3_Calculations'!F$45</f>
        <v>0.57373016148707834</v>
      </c>
      <c r="M14" s="433">
        <f>'[1]3_Calculations'!G$9*H14/'[1]3_Calculations'!G$45</f>
        <v>0.43944580207643302</v>
      </c>
      <c r="N14" s="82">
        <f>INDEX('[1]3_Calculations'!C$14:C$24,MATCH($C14,'[1]3_Calculations'!$B$14:$B$24,0))/100</f>
        <v>0.77900210903003531</v>
      </c>
      <c r="O14" s="82">
        <f>INDEX('[1]3_Calculations'!D$14:D$24,MATCH($C14,'[1]3_Calculations'!$B$14:$B$24,0))/100</f>
        <v>0.74806241472655133</v>
      </c>
      <c r="P14" s="82">
        <f>INDEX('[1]3_Calculations'!E$14:E$24,MATCH($C14,'[1]3_Calculations'!$B$14:$B$24,0))/100</f>
        <v>0.72919850367004901</v>
      </c>
      <c r="Q14" s="82">
        <f>INDEX('[1]3_Calculations'!F$14:F$24,MATCH($C14,'[1]3_Calculations'!$B$14:$B$24,0))/100</f>
        <v>0.70524239939621525</v>
      </c>
      <c r="R14" s="82">
        <f>INDEX('[1]3_Calculations'!G$14:G$24,MATCH($C14,'[1]3_Calculations'!$B$14:$B$24,0))/100</f>
        <v>0.54832228927393678</v>
      </c>
    </row>
    <row r="15" spans="1:18" ht="16" x14ac:dyDescent="0.2">
      <c r="A15" s="73">
        <v>12</v>
      </c>
      <c r="B15" s="73" t="s">
        <v>629</v>
      </c>
      <c r="C15" s="73" t="s">
        <v>626</v>
      </c>
      <c r="D15" s="432">
        <f>INDEX('[1]3_Calculations'!C$30:C$40,MATCH($C15,'[1]3_Calculations'!$B$30:$B$40,0))</f>
        <v>0.95129468567931419</v>
      </c>
      <c r="E15" s="432">
        <f>INDEX('[1]3_Calculations'!D$30:D$40,MATCH($C15,'[1]3_Calculations'!$B$30:$B$40,0))</f>
        <v>0.94450154875812042</v>
      </c>
      <c r="F15" s="432">
        <f>INDEX('[1]3_Calculations'!E$30:E$40,MATCH($C15,'[1]3_Calculations'!$B$30:$B$40,0))</f>
        <v>0.94847198001193356</v>
      </c>
      <c r="G15" s="432">
        <f>INDEX('[1]3_Calculations'!F$30:F$40,MATCH($C15,'[1]3_Calculations'!$B$30:$B$40,0))</f>
        <v>0.95865370801439898</v>
      </c>
      <c r="H15" s="432">
        <f>INDEX('[1]3_Calculations'!G$30:G$40,MATCH($C15,'[1]3_Calculations'!$B$30:$B$40,0))</f>
        <v>0.9881774626861356</v>
      </c>
      <c r="I15" s="433">
        <f>'[1]3_Calculations'!C$9*D15/'[1]3_Calculations'!C$45</f>
        <v>0.6775081609565401</v>
      </c>
      <c r="J15" s="433">
        <f>'[1]3_Calculations'!D$9*E15/'[1]3_Calculations'!D$45</f>
        <v>0.63614247191993023</v>
      </c>
      <c r="K15" s="433">
        <f>'[1]3_Calculations'!E$9*F15/'[1]3_Calculations'!E$45</f>
        <v>0.6105765126285696</v>
      </c>
      <c r="L15" s="433">
        <f>'[1]3_Calculations'!F$9*G15/'[1]3_Calculations'!F$45</f>
        <v>0.57373016148707834</v>
      </c>
      <c r="M15" s="433">
        <f>'[1]3_Calculations'!G$9*H15/'[1]3_Calculations'!G$45</f>
        <v>0.43944580207643302</v>
      </c>
      <c r="N15" s="82">
        <f>INDEX('[1]3_Calculations'!C$14:C$24,MATCH($C15,'[1]3_Calculations'!$B$14:$B$24,0))/100</f>
        <v>0.77900210903003531</v>
      </c>
      <c r="O15" s="82">
        <f>INDEX('[1]3_Calculations'!D$14:D$24,MATCH($C15,'[1]3_Calculations'!$B$14:$B$24,0))/100</f>
        <v>0.74806241472655133</v>
      </c>
      <c r="P15" s="82">
        <f>INDEX('[1]3_Calculations'!E$14:E$24,MATCH($C15,'[1]3_Calculations'!$B$14:$B$24,0))/100</f>
        <v>0.72919850367004901</v>
      </c>
      <c r="Q15" s="82">
        <f>INDEX('[1]3_Calculations'!F$14:F$24,MATCH($C15,'[1]3_Calculations'!$B$14:$B$24,0))/100</f>
        <v>0.70524239939621525</v>
      </c>
      <c r="R15" s="82">
        <f>INDEX('[1]3_Calculations'!G$14:G$24,MATCH($C15,'[1]3_Calculations'!$B$14:$B$24,0))/100</f>
        <v>0.54832228927393678</v>
      </c>
    </row>
    <row r="16" spans="1:18" ht="16" x14ac:dyDescent="0.2">
      <c r="A16" s="73">
        <v>13</v>
      </c>
      <c r="B16" s="73" t="s">
        <v>835</v>
      </c>
      <c r="C16" s="73" t="s">
        <v>809</v>
      </c>
      <c r="D16" s="432">
        <f>INDEX('[1]3_Calculations'!C$30:C$40,MATCH($C16,'[1]3_Calculations'!$B$30:$B$40,0))</f>
        <v>0.95129468567931419</v>
      </c>
      <c r="E16" s="432">
        <f>INDEX('[1]3_Calculations'!D$30:D$40,MATCH($C16,'[1]3_Calculations'!$B$30:$B$40,0))</f>
        <v>0.94450154875812042</v>
      </c>
      <c r="F16" s="432">
        <f>INDEX('[1]3_Calculations'!E$30:E$40,MATCH($C16,'[1]3_Calculations'!$B$30:$B$40,0))</f>
        <v>0.94847198001193356</v>
      </c>
      <c r="G16" s="432">
        <f>INDEX('[1]3_Calculations'!F$30:F$40,MATCH($C16,'[1]3_Calculations'!$B$30:$B$40,0))</f>
        <v>0.95865370801439898</v>
      </c>
      <c r="H16" s="432">
        <f>INDEX('[1]3_Calculations'!G$30:G$40,MATCH($C16,'[1]3_Calculations'!$B$30:$B$40,0))</f>
        <v>0.98817746268613571</v>
      </c>
      <c r="I16" s="433">
        <f>'[1]3_Calculations'!C$9*D16/'[1]3_Calculations'!C$45</f>
        <v>0.6775081609565401</v>
      </c>
      <c r="J16" s="433">
        <f>'[1]3_Calculations'!D$9*E16/'[1]3_Calculations'!D$45</f>
        <v>0.63614247191993023</v>
      </c>
      <c r="K16" s="433">
        <f>'[1]3_Calculations'!E$9*F16/'[1]3_Calculations'!E$45</f>
        <v>0.6105765126285696</v>
      </c>
      <c r="L16" s="433">
        <f>'[1]3_Calculations'!F$9*G16/'[1]3_Calculations'!F$45</f>
        <v>0.57373016148707834</v>
      </c>
      <c r="M16" s="433">
        <f>'[1]3_Calculations'!G$9*H16/'[1]3_Calculations'!G$45</f>
        <v>0.43944580207643308</v>
      </c>
      <c r="N16" s="82">
        <f>INDEX('[1]3_Calculations'!C$14:C$24,MATCH($C16,'[1]3_Calculations'!$B$14:$B$24,0))/100</f>
        <v>0.77900210903003531</v>
      </c>
      <c r="O16" s="82">
        <f>INDEX('[1]3_Calculations'!D$14:D$24,MATCH($C16,'[1]3_Calculations'!$B$14:$B$24,0))/100</f>
        <v>0.74806241472655133</v>
      </c>
      <c r="P16" s="82">
        <f>INDEX('[1]3_Calculations'!E$14:E$24,MATCH($C16,'[1]3_Calculations'!$B$14:$B$24,0))/100</f>
        <v>0.72919850367004901</v>
      </c>
      <c r="Q16" s="82">
        <f>INDEX('[1]3_Calculations'!F$14:F$24,MATCH($C16,'[1]3_Calculations'!$B$14:$B$24,0))/100</f>
        <v>0.70524239939621525</v>
      </c>
      <c r="R16" s="82">
        <f>INDEX('[1]3_Calculations'!G$14:G$24,MATCH($C16,'[1]3_Calculations'!$B$14:$B$24,0))/100</f>
        <v>0.54832228927393689</v>
      </c>
    </row>
    <row r="17" spans="1:18" ht="16" x14ac:dyDescent="0.2">
      <c r="A17" s="73">
        <v>14</v>
      </c>
      <c r="B17" s="73" t="s">
        <v>981</v>
      </c>
      <c r="C17" s="73" t="s">
        <v>802</v>
      </c>
      <c r="D17" s="432">
        <f>INDEX('[1]3_Calculations'!C$30:C$40,MATCH($C17,'[1]3_Calculations'!$B$30:$B$40,0))</f>
        <v>0.99999999999999967</v>
      </c>
      <c r="E17" s="432">
        <f>INDEX('[1]3_Calculations'!D$30:D$40,MATCH($C17,'[1]3_Calculations'!$B$30:$B$40,0))</f>
        <v>1</v>
      </c>
      <c r="F17" s="432">
        <f>INDEX('[1]3_Calculations'!E$30:E$40,MATCH($C17,'[1]3_Calculations'!$B$30:$B$40,0))</f>
        <v>1</v>
      </c>
      <c r="G17" s="432">
        <f>INDEX('[1]3_Calculations'!F$30:F$40,MATCH($C17,'[1]3_Calculations'!$B$30:$B$40,0))</f>
        <v>1</v>
      </c>
      <c r="H17" s="432">
        <f>INDEX('[1]3_Calculations'!G$30:G$40,MATCH($C17,'[1]3_Calculations'!$B$30:$B$40,0))</f>
        <v>1</v>
      </c>
      <c r="I17" s="433">
        <f>'[1]3_Calculations'!C$9*D17/'[1]3_Calculations'!C$45</f>
        <v>0.71219588541350376</v>
      </c>
      <c r="J17" s="433">
        <f>'[1]3_Calculations'!D$9*E17/'[1]3_Calculations'!D$45</f>
        <v>0.67352189390939943</v>
      </c>
      <c r="K17" s="433">
        <f>'[1]3_Calculations'!E$9*F17/'[1]3_Calculations'!E$45</f>
        <v>0.64374754921161448</v>
      </c>
      <c r="L17" s="433">
        <f>'[1]3_Calculations'!F$9*G17/'[1]3_Calculations'!F$45</f>
        <v>0.59847487856215642</v>
      </c>
      <c r="M17" s="433">
        <f>'[1]3_Calculations'!G$9*H17/'[1]3_Calculations'!G$45</f>
        <v>0.44470332371464899</v>
      </c>
      <c r="N17" s="82">
        <f>INDEX('[1]3_Calculations'!C$14:C$24,MATCH($C17,'[1]3_Calculations'!$B$14:$B$24,0))/100</f>
        <v>0.81888621975613574</v>
      </c>
      <c r="O17" s="82">
        <f>INDEX('[1]3_Calculations'!D$14:D$24,MATCH($C17,'[1]3_Calculations'!$B$14:$B$24,0))/100</f>
        <v>0.79201819807510376</v>
      </c>
      <c r="P17" s="82">
        <f>INDEX('[1]3_Calculations'!E$14:E$24,MATCH($C17,'[1]3_Calculations'!$B$14:$B$24,0))/100</f>
        <v>0.76881396502706834</v>
      </c>
      <c r="Q17" s="82">
        <f>INDEX('[1]3_Calculations'!F$14:F$24,MATCH($C17,'[1]3_Calculations'!$B$14:$B$24,0))/100</f>
        <v>0.73565917859634722</v>
      </c>
      <c r="R17" s="82">
        <f>INDEX('[1]3_Calculations'!G$14:G$24,MATCH($C17,'[1]3_Calculations'!$B$14:$B$24,0))/100</f>
        <v>0.55488240723831872</v>
      </c>
    </row>
    <row r="18" spans="1:18" ht="16" x14ac:dyDescent="0.2">
      <c r="A18" s="73">
        <v>15</v>
      </c>
      <c r="B18" s="73" t="s">
        <v>631</v>
      </c>
      <c r="C18" s="73" t="s">
        <v>626</v>
      </c>
      <c r="D18" s="432">
        <f>INDEX('[1]3_Calculations'!C$30:C$40,MATCH($C18,'[1]3_Calculations'!$B$30:$B$40,0))</f>
        <v>0.95129468567931419</v>
      </c>
      <c r="E18" s="432">
        <f>INDEX('[1]3_Calculations'!D$30:D$40,MATCH($C18,'[1]3_Calculations'!$B$30:$B$40,0))</f>
        <v>0.94450154875812042</v>
      </c>
      <c r="F18" s="432">
        <f>INDEX('[1]3_Calculations'!E$30:E$40,MATCH($C18,'[1]3_Calculations'!$B$30:$B$40,0))</f>
        <v>0.94847198001193356</v>
      </c>
      <c r="G18" s="432">
        <f>INDEX('[1]3_Calculations'!F$30:F$40,MATCH($C18,'[1]3_Calculations'!$B$30:$B$40,0))</f>
        <v>0.95865370801439898</v>
      </c>
      <c r="H18" s="432">
        <f>INDEX('[1]3_Calculations'!G$30:G$40,MATCH($C18,'[1]3_Calculations'!$B$30:$B$40,0))</f>
        <v>0.9881774626861356</v>
      </c>
      <c r="I18" s="433">
        <f>'[1]3_Calculations'!C$9*D18/'[1]3_Calculations'!C$45</f>
        <v>0.6775081609565401</v>
      </c>
      <c r="J18" s="433">
        <f>'[1]3_Calculations'!D$9*E18/'[1]3_Calculations'!D$45</f>
        <v>0.63614247191993023</v>
      </c>
      <c r="K18" s="433">
        <f>'[1]3_Calculations'!E$9*F18/'[1]3_Calculations'!E$45</f>
        <v>0.6105765126285696</v>
      </c>
      <c r="L18" s="433">
        <f>'[1]3_Calculations'!F$9*G18/'[1]3_Calculations'!F$45</f>
        <v>0.57373016148707834</v>
      </c>
      <c r="M18" s="433">
        <f>'[1]3_Calculations'!G$9*H18/'[1]3_Calculations'!G$45</f>
        <v>0.43944580207643302</v>
      </c>
      <c r="N18" s="82">
        <f>INDEX('[1]3_Calculations'!C$14:C$24,MATCH($C18,'[1]3_Calculations'!$B$14:$B$24,0))/100</f>
        <v>0.77900210903003531</v>
      </c>
      <c r="O18" s="82">
        <f>INDEX('[1]3_Calculations'!D$14:D$24,MATCH($C18,'[1]3_Calculations'!$B$14:$B$24,0))/100</f>
        <v>0.74806241472655133</v>
      </c>
      <c r="P18" s="82">
        <f>INDEX('[1]3_Calculations'!E$14:E$24,MATCH($C18,'[1]3_Calculations'!$B$14:$B$24,0))/100</f>
        <v>0.72919850367004901</v>
      </c>
      <c r="Q18" s="82">
        <f>INDEX('[1]3_Calculations'!F$14:F$24,MATCH($C18,'[1]3_Calculations'!$B$14:$B$24,0))/100</f>
        <v>0.70524239939621525</v>
      </c>
      <c r="R18" s="82">
        <f>INDEX('[1]3_Calculations'!G$14:G$24,MATCH($C18,'[1]3_Calculations'!$B$14:$B$24,0))/100</f>
        <v>0.54832228927393678</v>
      </c>
    </row>
    <row r="19" spans="1:18" ht="16" x14ac:dyDescent="0.2">
      <c r="A19" s="73">
        <v>16</v>
      </c>
      <c r="B19" s="73" t="s">
        <v>837</v>
      </c>
      <c r="C19" s="73" t="s">
        <v>626</v>
      </c>
      <c r="D19" s="432">
        <f>INDEX('[1]3_Calculations'!C$30:C$40,MATCH($C19,'[1]3_Calculations'!$B$30:$B$40,0))</f>
        <v>0.95129468567931419</v>
      </c>
      <c r="E19" s="432">
        <f>INDEX('[1]3_Calculations'!D$30:D$40,MATCH($C19,'[1]3_Calculations'!$B$30:$B$40,0))</f>
        <v>0.94450154875812042</v>
      </c>
      <c r="F19" s="432">
        <f>INDEX('[1]3_Calculations'!E$30:E$40,MATCH($C19,'[1]3_Calculations'!$B$30:$B$40,0))</f>
        <v>0.94847198001193356</v>
      </c>
      <c r="G19" s="432">
        <f>INDEX('[1]3_Calculations'!F$30:F$40,MATCH($C19,'[1]3_Calculations'!$B$30:$B$40,0))</f>
        <v>0.95865370801439898</v>
      </c>
      <c r="H19" s="432">
        <f>INDEX('[1]3_Calculations'!G$30:G$40,MATCH($C19,'[1]3_Calculations'!$B$30:$B$40,0))</f>
        <v>0.9881774626861356</v>
      </c>
      <c r="I19" s="433">
        <f>'[1]3_Calculations'!C$9*D19/'[1]3_Calculations'!C$45</f>
        <v>0.6775081609565401</v>
      </c>
      <c r="J19" s="433">
        <f>'[1]3_Calculations'!D$9*E19/'[1]3_Calculations'!D$45</f>
        <v>0.63614247191993023</v>
      </c>
      <c r="K19" s="433">
        <f>'[1]3_Calculations'!E$9*F19/'[1]3_Calculations'!E$45</f>
        <v>0.6105765126285696</v>
      </c>
      <c r="L19" s="433">
        <f>'[1]3_Calculations'!F$9*G19/'[1]3_Calculations'!F$45</f>
        <v>0.57373016148707834</v>
      </c>
      <c r="M19" s="433">
        <f>'[1]3_Calculations'!G$9*H19/'[1]3_Calculations'!G$45</f>
        <v>0.43944580207643302</v>
      </c>
      <c r="N19" s="82">
        <f>INDEX('[1]3_Calculations'!C$14:C$24,MATCH($C19,'[1]3_Calculations'!$B$14:$B$24,0))/100</f>
        <v>0.77900210903003531</v>
      </c>
      <c r="O19" s="82">
        <f>INDEX('[1]3_Calculations'!D$14:D$24,MATCH($C19,'[1]3_Calculations'!$B$14:$B$24,0))/100</f>
        <v>0.74806241472655133</v>
      </c>
      <c r="P19" s="82">
        <f>INDEX('[1]3_Calculations'!E$14:E$24,MATCH($C19,'[1]3_Calculations'!$B$14:$B$24,0))/100</f>
        <v>0.72919850367004901</v>
      </c>
      <c r="Q19" s="82">
        <f>INDEX('[1]3_Calculations'!F$14:F$24,MATCH($C19,'[1]3_Calculations'!$B$14:$B$24,0))/100</f>
        <v>0.70524239939621525</v>
      </c>
      <c r="R19" s="82">
        <f>INDEX('[1]3_Calculations'!G$14:G$24,MATCH($C19,'[1]3_Calculations'!$B$14:$B$24,0))/100</f>
        <v>0.54832228927393678</v>
      </c>
    </row>
    <row r="20" spans="1:18" ht="16" x14ac:dyDescent="0.2">
      <c r="A20" s="73">
        <v>17</v>
      </c>
      <c r="B20" s="73" t="s">
        <v>839</v>
      </c>
      <c r="C20" s="73" t="s">
        <v>626</v>
      </c>
      <c r="D20" s="432">
        <f>INDEX('[1]3_Calculations'!C$30:C$40,MATCH($C20,'[1]3_Calculations'!$B$30:$B$40,0))</f>
        <v>0.95129468567931419</v>
      </c>
      <c r="E20" s="432">
        <f>INDEX('[1]3_Calculations'!D$30:D$40,MATCH($C20,'[1]3_Calculations'!$B$30:$B$40,0))</f>
        <v>0.94450154875812042</v>
      </c>
      <c r="F20" s="432">
        <f>INDEX('[1]3_Calculations'!E$30:E$40,MATCH($C20,'[1]3_Calculations'!$B$30:$B$40,0))</f>
        <v>0.94847198001193356</v>
      </c>
      <c r="G20" s="432">
        <f>INDEX('[1]3_Calculations'!F$30:F$40,MATCH($C20,'[1]3_Calculations'!$B$30:$B$40,0))</f>
        <v>0.95865370801439898</v>
      </c>
      <c r="H20" s="432">
        <f>INDEX('[1]3_Calculations'!G$30:G$40,MATCH($C20,'[1]3_Calculations'!$B$30:$B$40,0))</f>
        <v>0.9881774626861356</v>
      </c>
      <c r="I20" s="433">
        <f>'[1]3_Calculations'!C$9*D20/'[1]3_Calculations'!C$45</f>
        <v>0.6775081609565401</v>
      </c>
      <c r="J20" s="433">
        <f>'[1]3_Calculations'!D$9*E20/'[1]3_Calculations'!D$45</f>
        <v>0.63614247191993023</v>
      </c>
      <c r="K20" s="433">
        <f>'[1]3_Calculations'!E$9*F20/'[1]3_Calculations'!E$45</f>
        <v>0.6105765126285696</v>
      </c>
      <c r="L20" s="433">
        <f>'[1]3_Calculations'!F$9*G20/'[1]3_Calculations'!F$45</f>
        <v>0.57373016148707834</v>
      </c>
      <c r="M20" s="433">
        <f>'[1]3_Calculations'!G$9*H20/'[1]3_Calculations'!G$45</f>
        <v>0.43944580207643302</v>
      </c>
      <c r="N20" s="82">
        <f>INDEX('[1]3_Calculations'!C$14:C$24,MATCH($C20,'[1]3_Calculations'!$B$14:$B$24,0))/100</f>
        <v>0.77900210903003531</v>
      </c>
      <c r="O20" s="82">
        <f>INDEX('[1]3_Calculations'!D$14:D$24,MATCH($C20,'[1]3_Calculations'!$B$14:$B$24,0))/100</f>
        <v>0.74806241472655133</v>
      </c>
      <c r="P20" s="82">
        <f>INDEX('[1]3_Calculations'!E$14:E$24,MATCH($C20,'[1]3_Calculations'!$B$14:$B$24,0))/100</f>
        <v>0.72919850367004901</v>
      </c>
      <c r="Q20" s="82">
        <f>INDEX('[1]3_Calculations'!F$14:F$24,MATCH($C20,'[1]3_Calculations'!$B$14:$B$24,0))/100</f>
        <v>0.70524239939621525</v>
      </c>
      <c r="R20" s="82">
        <f>INDEX('[1]3_Calculations'!G$14:G$24,MATCH($C20,'[1]3_Calculations'!$B$14:$B$24,0))/100</f>
        <v>0.54832228927393678</v>
      </c>
    </row>
    <row r="21" spans="1:18" ht="16" x14ac:dyDescent="0.2">
      <c r="A21" s="73">
        <v>18</v>
      </c>
      <c r="B21" s="73" t="s">
        <v>840</v>
      </c>
      <c r="C21" s="73" t="s">
        <v>626</v>
      </c>
      <c r="D21" s="432">
        <f>INDEX('[1]3_Calculations'!C$30:C$40,MATCH($C21,'[1]3_Calculations'!$B$30:$B$40,0))</f>
        <v>0.95129468567931419</v>
      </c>
      <c r="E21" s="432">
        <f>INDEX('[1]3_Calculations'!D$30:D$40,MATCH($C21,'[1]3_Calculations'!$B$30:$B$40,0))</f>
        <v>0.94450154875812042</v>
      </c>
      <c r="F21" s="432">
        <f>INDEX('[1]3_Calculations'!E$30:E$40,MATCH($C21,'[1]3_Calculations'!$B$30:$B$40,0))</f>
        <v>0.94847198001193356</v>
      </c>
      <c r="G21" s="432">
        <f>INDEX('[1]3_Calculations'!F$30:F$40,MATCH($C21,'[1]3_Calculations'!$B$30:$B$40,0))</f>
        <v>0.95865370801439898</v>
      </c>
      <c r="H21" s="432">
        <f>INDEX('[1]3_Calculations'!G$30:G$40,MATCH($C21,'[1]3_Calculations'!$B$30:$B$40,0))</f>
        <v>0.9881774626861356</v>
      </c>
      <c r="I21" s="433">
        <f>'[1]3_Calculations'!C$9*D21/'[1]3_Calculations'!C$45</f>
        <v>0.6775081609565401</v>
      </c>
      <c r="J21" s="433">
        <f>'[1]3_Calculations'!D$9*E21/'[1]3_Calculations'!D$45</f>
        <v>0.63614247191993023</v>
      </c>
      <c r="K21" s="433">
        <f>'[1]3_Calculations'!E$9*F21/'[1]3_Calculations'!E$45</f>
        <v>0.6105765126285696</v>
      </c>
      <c r="L21" s="433">
        <f>'[1]3_Calculations'!F$9*G21/'[1]3_Calculations'!F$45</f>
        <v>0.57373016148707834</v>
      </c>
      <c r="M21" s="433">
        <f>'[1]3_Calculations'!G$9*H21/'[1]3_Calculations'!G$45</f>
        <v>0.43944580207643302</v>
      </c>
      <c r="N21" s="82">
        <f>INDEX('[1]3_Calculations'!C$14:C$24,MATCH($C21,'[1]3_Calculations'!$B$14:$B$24,0))/100</f>
        <v>0.77900210903003531</v>
      </c>
      <c r="O21" s="82">
        <f>INDEX('[1]3_Calculations'!D$14:D$24,MATCH($C21,'[1]3_Calculations'!$B$14:$B$24,0))/100</f>
        <v>0.74806241472655133</v>
      </c>
      <c r="P21" s="82">
        <f>INDEX('[1]3_Calculations'!E$14:E$24,MATCH($C21,'[1]3_Calculations'!$B$14:$B$24,0))/100</f>
        <v>0.72919850367004901</v>
      </c>
      <c r="Q21" s="82">
        <f>INDEX('[1]3_Calculations'!F$14:F$24,MATCH($C21,'[1]3_Calculations'!$B$14:$B$24,0))/100</f>
        <v>0.70524239939621525</v>
      </c>
      <c r="R21" s="82">
        <f>INDEX('[1]3_Calculations'!G$14:G$24,MATCH($C21,'[1]3_Calculations'!$B$14:$B$24,0))/100</f>
        <v>0.54832228927393678</v>
      </c>
    </row>
    <row r="22" spans="1:18" ht="16" x14ac:dyDescent="0.2">
      <c r="A22" s="73">
        <v>19</v>
      </c>
      <c r="B22" s="73" t="s">
        <v>841</v>
      </c>
      <c r="C22" s="73" t="s">
        <v>626</v>
      </c>
      <c r="D22" s="432">
        <f>INDEX('[1]3_Calculations'!C$30:C$40,MATCH($C22,'[1]3_Calculations'!$B$30:$B$40,0))</f>
        <v>0.95129468567931419</v>
      </c>
      <c r="E22" s="432">
        <f>INDEX('[1]3_Calculations'!D$30:D$40,MATCH($C22,'[1]3_Calculations'!$B$30:$B$40,0))</f>
        <v>0.94450154875812042</v>
      </c>
      <c r="F22" s="432">
        <f>INDEX('[1]3_Calculations'!E$30:E$40,MATCH($C22,'[1]3_Calculations'!$B$30:$B$40,0))</f>
        <v>0.94847198001193356</v>
      </c>
      <c r="G22" s="432">
        <f>INDEX('[1]3_Calculations'!F$30:F$40,MATCH($C22,'[1]3_Calculations'!$B$30:$B$40,0))</f>
        <v>0.95865370801439898</v>
      </c>
      <c r="H22" s="432">
        <f>INDEX('[1]3_Calculations'!G$30:G$40,MATCH($C22,'[1]3_Calculations'!$B$30:$B$40,0))</f>
        <v>0.9881774626861356</v>
      </c>
      <c r="I22" s="433">
        <f>'[1]3_Calculations'!C$9*D22/'[1]3_Calculations'!C$45</f>
        <v>0.6775081609565401</v>
      </c>
      <c r="J22" s="433">
        <f>'[1]3_Calculations'!D$9*E22/'[1]3_Calculations'!D$45</f>
        <v>0.63614247191993023</v>
      </c>
      <c r="K22" s="433">
        <f>'[1]3_Calculations'!E$9*F22/'[1]3_Calculations'!E$45</f>
        <v>0.6105765126285696</v>
      </c>
      <c r="L22" s="433">
        <f>'[1]3_Calculations'!F$9*G22/'[1]3_Calculations'!F$45</f>
        <v>0.57373016148707834</v>
      </c>
      <c r="M22" s="433">
        <f>'[1]3_Calculations'!G$9*H22/'[1]3_Calculations'!G$45</f>
        <v>0.43944580207643302</v>
      </c>
      <c r="N22" s="82">
        <f>INDEX('[1]3_Calculations'!C$14:C$24,MATCH($C22,'[1]3_Calculations'!$B$14:$B$24,0))/100</f>
        <v>0.77900210903003531</v>
      </c>
      <c r="O22" s="82">
        <f>INDEX('[1]3_Calculations'!D$14:D$24,MATCH($C22,'[1]3_Calculations'!$B$14:$B$24,0))/100</f>
        <v>0.74806241472655133</v>
      </c>
      <c r="P22" s="82">
        <f>INDEX('[1]3_Calculations'!E$14:E$24,MATCH($C22,'[1]3_Calculations'!$B$14:$B$24,0))/100</f>
        <v>0.72919850367004901</v>
      </c>
      <c r="Q22" s="82">
        <f>INDEX('[1]3_Calculations'!F$14:F$24,MATCH($C22,'[1]3_Calculations'!$B$14:$B$24,0))/100</f>
        <v>0.70524239939621525</v>
      </c>
      <c r="R22" s="82">
        <f>INDEX('[1]3_Calculations'!G$14:G$24,MATCH($C22,'[1]3_Calculations'!$B$14:$B$24,0))/100</f>
        <v>0.54832228927393678</v>
      </c>
    </row>
    <row r="23" spans="1:18" ht="16" x14ac:dyDescent="0.2">
      <c r="A23" s="73">
        <v>20</v>
      </c>
      <c r="B23" s="73" t="s">
        <v>842</v>
      </c>
      <c r="C23" s="73" t="s">
        <v>626</v>
      </c>
      <c r="D23" s="432">
        <f>INDEX('[1]3_Calculations'!C$30:C$40,MATCH($C23,'[1]3_Calculations'!$B$30:$B$40,0))</f>
        <v>0.95129468567931419</v>
      </c>
      <c r="E23" s="432">
        <f>INDEX('[1]3_Calculations'!D$30:D$40,MATCH($C23,'[1]3_Calculations'!$B$30:$B$40,0))</f>
        <v>0.94450154875812042</v>
      </c>
      <c r="F23" s="432">
        <f>INDEX('[1]3_Calculations'!E$30:E$40,MATCH($C23,'[1]3_Calculations'!$B$30:$B$40,0))</f>
        <v>0.94847198001193356</v>
      </c>
      <c r="G23" s="432">
        <f>INDEX('[1]3_Calculations'!F$30:F$40,MATCH($C23,'[1]3_Calculations'!$B$30:$B$40,0))</f>
        <v>0.95865370801439898</v>
      </c>
      <c r="H23" s="432">
        <f>INDEX('[1]3_Calculations'!G$30:G$40,MATCH($C23,'[1]3_Calculations'!$B$30:$B$40,0))</f>
        <v>0.9881774626861356</v>
      </c>
      <c r="I23" s="433">
        <f>'[1]3_Calculations'!C$9*D23/'[1]3_Calculations'!C$45</f>
        <v>0.6775081609565401</v>
      </c>
      <c r="J23" s="433">
        <f>'[1]3_Calculations'!D$9*E23/'[1]3_Calculations'!D$45</f>
        <v>0.63614247191993023</v>
      </c>
      <c r="K23" s="433">
        <f>'[1]3_Calculations'!E$9*F23/'[1]3_Calculations'!E$45</f>
        <v>0.6105765126285696</v>
      </c>
      <c r="L23" s="433">
        <f>'[1]3_Calculations'!F$9*G23/'[1]3_Calculations'!F$45</f>
        <v>0.57373016148707834</v>
      </c>
      <c r="M23" s="433">
        <f>'[1]3_Calculations'!G$9*H23/'[1]3_Calculations'!G$45</f>
        <v>0.43944580207643302</v>
      </c>
      <c r="N23" s="82">
        <f>INDEX('[1]3_Calculations'!C$14:C$24,MATCH($C23,'[1]3_Calculations'!$B$14:$B$24,0))/100</f>
        <v>0.77900210903003531</v>
      </c>
      <c r="O23" s="82">
        <f>INDEX('[1]3_Calculations'!D$14:D$24,MATCH($C23,'[1]3_Calculations'!$B$14:$B$24,0))/100</f>
        <v>0.74806241472655133</v>
      </c>
      <c r="P23" s="82">
        <f>INDEX('[1]3_Calculations'!E$14:E$24,MATCH($C23,'[1]3_Calculations'!$B$14:$B$24,0))/100</f>
        <v>0.72919850367004901</v>
      </c>
      <c r="Q23" s="82">
        <f>INDEX('[1]3_Calculations'!F$14:F$24,MATCH($C23,'[1]3_Calculations'!$B$14:$B$24,0))/100</f>
        <v>0.70524239939621525</v>
      </c>
      <c r="R23" s="82">
        <f>INDEX('[1]3_Calculations'!G$14:G$24,MATCH($C23,'[1]3_Calculations'!$B$14:$B$24,0))/100</f>
        <v>0.54832228927393678</v>
      </c>
    </row>
    <row r="24" spans="1:18" ht="16" x14ac:dyDescent="0.2">
      <c r="A24" s="73">
        <v>21</v>
      </c>
      <c r="B24" s="73" t="s">
        <v>843</v>
      </c>
      <c r="C24" s="73" t="s">
        <v>626</v>
      </c>
      <c r="D24" s="432">
        <f>INDEX('[1]3_Calculations'!C$30:C$40,MATCH($C24,'[1]3_Calculations'!$B$30:$B$40,0))</f>
        <v>0.95129468567931419</v>
      </c>
      <c r="E24" s="432">
        <f>INDEX('[1]3_Calculations'!D$30:D$40,MATCH($C24,'[1]3_Calculations'!$B$30:$B$40,0))</f>
        <v>0.94450154875812042</v>
      </c>
      <c r="F24" s="432">
        <f>INDEX('[1]3_Calculations'!E$30:E$40,MATCH($C24,'[1]3_Calculations'!$B$30:$B$40,0))</f>
        <v>0.94847198001193356</v>
      </c>
      <c r="G24" s="432">
        <f>INDEX('[1]3_Calculations'!F$30:F$40,MATCH($C24,'[1]3_Calculations'!$B$30:$B$40,0))</f>
        <v>0.95865370801439898</v>
      </c>
      <c r="H24" s="432">
        <f>INDEX('[1]3_Calculations'!G$30:G$40,MATCH($C24,'[1]3_Calculations'!$B$30:$B$40,0))</f>
        <v>0.9881774626861356</v>
      </c>
      <c r="I24" s="433">
        <f>'[1]3_Calculations'!C$9*D24/'[1]3_Calculations'!C$45</f>
        <v>0.6775081609565401</v>
      </c>
      <c r="J24" s="433">
        <f>'[1]3_Calculations'!D$9*E24/'[1]3_Calculations'!D$45</f>
        <v>0.63614247191993023</v>
      </c>
      <c r="K24" s="433">
        <f>'[1]3_Calculations'!E$9*F24/'[1]3_Calculations'!E$45</f>
        <v>0.6105765126285696</v>
      </c>
      <c r="L24" s="433">
        <f>'[1]3_Calculations'!F$9*G24/'[1]3_Calculations'!F$45</f>
        <v>0.57373016148707834</v>
      </c>
      <c r="M24" s="433">
        <f>'[1]3_Calculations'!G$9*H24/'[1]3_Calculations'!G$45</f>
        <v>0.43944580207643302</v>
      </c>
      <c r="N24" s="82">
        <f>INDEX('[1]3_Calculations'!C$14:C$24,MATCH($C24,'[1]3_Calculations'!$B$14:$B$24,0))/100</f>
        <v>0.77900210903003531</v>
      </c>
      <c r="O24" s="82">
        <f>INDEX('[1]3_Calculations'!D$14:D$24,MATCH($C24,'[1]3_Calculations'!$B$14:$B$24,0))/100</f>
        <v>0.74806241472655133</v>
      </c>
      <c r="P24" s="82">
        <f>INDEX('[1]3_Calculations'!E$14:E$24,MATCH($C24,'[1]3_Calculations'!$B$14:$B$24,0))/100</f>
        <v>0.72919850367004901</v>
      </c>
      <c r="Q24" s="82">
        <f>INDEX('[1]3_Calculations'!F$14:F$24,MATCH($C24,'[1]3_Calculations'!$B$14:$B$24,0))/100</f>
        <v>0.70524239939621525</v>
      </c>
      <c r="R24" s="82">
        <f>INDEX('[1]3_Calculations'!G$14:G$24,MATCH($C24,'[1]3_Calculations'!$B$14:$B$24,0))/100</f>
        <v>0.54832228927393678</v>
      </c>
    </row>
    <row r="25" spans="1:18" ht="16" x14ac:dyDescent="0.2">
      <c r="A25" s="73">
        <v>22</v>
      </c>
      <c r="B25" s="73" t="s">
        <v>339</v>
      </c>
      <c r="C25" s="73" t="s">
        <v>626</v>
      </c>
      <c r="D25" s="432">
        <f>INDEX('[1]3_Calculations'!C$30:C$40,MATCH($C25,'[1]3_Calculations'!$B$30:$B$40,0))</f>
        <v>0.95129468567931419</v>
      </c>
      <c r="E25" s="432">
        <f>INDEX('[1]3_Calculations'!D$30:D$40,MATCH($C25,'[1]3_Calculations'!$B$30:$B$40,0))</f>
        <v>0.94450154875812042</v>
      </c>
      <c r="F25" s="432">
        <f>INDEX('[1]3_Calculations'!E$30:E$40,MATCH($C25,'[1]3_Calculations'!$B$30:$B$40,0))</f>
        <v>0.94847198001193356</v>
      </c>
      <c r="G25" s="432">
        <f>INDEX('[1]3_Calculations'!F$30:F$40,MATCH($C25,'[1]3_Calculations'!$B$30:$B$40,0))</f>
        <v>0.95865370801439898</v>
      </c>
      <c r="H25" s="432">
        <f>INDEX('[1]3_Calculations'!G$30:G$40,MATCH($C25,'[1]3_Calculations'!$B$30:$B$40,0))</f>
        <v>0.9881774626861356</v>
      </c>
      <c r="I25" s="433">
        <f>'[1]3_Calculations'!C$9*D25/'[1]3_Calculations'!C$45</f>
        <v>0.6775081609565401</v>
      </c>
      <c r="J25" s="433">
        <f>'[1]3_Calculations'!D$9*E25/'[1]3_Calculations'!D$45</f>
        <v>0.63614247191993023</v>
      </c>
      <c r="K25" s="433">
        <f>'[1]3_Calculations'!E$9*F25/'[1]3_Calculations'!E$45</f>
        <v>0.6105765126285696</v>
      </c>
      <c r="L25" s="433">
        <f>'[1]3_Calculations'!F$9*G25/'[1]3_Calculations'!F$45</f>
        <v>0.57373016148707834</v>
      </c>
      <c r="M25" s="433">
        <f>'[1]3_Calculations'!G$9*H25/'[1]3_Calculations'!G$45</f>
        <v>0.43944580207643302</v>
      </c>
      <c r="N25" s="82">
        <f>INDEX('[1]3_Calculations'!C$14:C$24,MATCH($C25,'[1]3_Calculations'!$B$14:$B$24,0))/100</f>
        <v>0.77900210903003531</v>
      </c>
      <c r="O25" s="82">
        <f>INDEX('[1]3_Calculations'!D$14:D$24,MATCH($C25,'[1]3_Calculations'!$B$14:$B$24,0))/100</f>
        <v>0.74806241472655133</v>
      </c>
      <c r="P25" s="82">
        <f>INDEX('[1]3_Calculations'!E$14:E$24,MATCH($C25,'[1]3_Calculations'!$B$14:$B$24,0))/100</f>
        <v>0.72919850367004901</v>
      </c>
      <c r="Q25" s="82">
        <f>INDEX('[1]3_Calculations'!F$14:F$24,MATCH($C25,'[1]3_Calculations'!$B$14:$B$24,0))/100</f>
        <v>0.70524239939621525</v>
      </c>
      <c r="R25" s="82">
        <f>INDEX('[1]3_Calculations'!G$14:G$24,MATCH($C25,'[1]3_Calculations'!$B$14:$B$24,0))/100</f>
        <v>0.54832228927393678</v>
      </c>
    </row>
    <row r="26" spans="1:18" ht="16" x14ac:dyDescent="0.2">
      <c r="A26" s="73">
        <v>23</v>
      </c>
      <c r="B26" s="73" t="s">
        <v>845</v>
      </c>
      <c r="C26" s="73" t="s">
        <v>626</v>
      </c>
      <c r="D26" s="432">
        <f>INDEX('[1]3_Calculations'!C$30:C$40,MATCH($C26,'[1]3_Calculations'!$B$30:$B$40,0))</f>
        <v>0.95129468567931419</v>
      </c>
      <c r="E26" s="432">
        <f>INDEX('[1]3_Calculations'!D$30:D$40,MATCH($C26,'[1]3_Calculations'!$B$30:$B$40,0))</f>
        <v>0.94450154875812042</v>
      </c>
      <c r="F26" s="432">
        <f>INDEX('[1]3_Calculations'!E$30:E$40,MATCH($C26,'[1]3_Calculations'!$B$30:$B$40,0))</f>
        <v>0.94847198001193356</v>
      </c>
      <c r="G26" s="432">
        <f>INDEX('[1]3_Calculations'!F$30:F$40,MATCH($C26,'[1]3_Calculations'!$B$30:$B$40,0))</f>
        <v>0.95865370801439898</v>
      </c>
      <c r="H26" s="432">
        <f>INDEX('[1]3_Calculations'!G$30:G$40,MATCH($C26,'[1]3_Calculations'!$B$30:$B$40,0))</f>
        <v>0.9881774626861356</v>
      </c>
      <c r="I26" s="433">
        <f>'[1]3_Calculations'!C$9*D26/'[1]3_Calculations'!C$45</f>
        <v>0.6775081609565401</v>
      </c>
      <c r="J26" s="433">
        <f>'[1]3_Calculations'!D$9*E26/'[1]3_Calculations'!D$45</f>
        <v>0.63614247191993023</v>
      </c>
      <c r="K26" s="433">
        <f>'[1]3_Calculations'!E$9*F26/'[1]3_Calculations'!E$45</f>
        <v>0.6105765126285696</v>
      </c>
      <c r="L26" s="433">
        <f>'[1]3_Calculations'!F$9*G26/'[1]3_Calculations'!F$45</f>
        <v>0.57373016148707834</v>
      </c>
      <c r="M26" s="433">
        <f>'[1]3_Calculations'!G$9*H26/'[1]3_Calculations'!G$45</f>
        <v>0.43944580207643302</v>
      </c>
      <c r="N26" s="82">
        <f>INDEX('[1]3_Calculations'!C$14:C$24,MATCH($C26,'[1]3_Calculations'!$B$14:$B$24,0))/100</f>
        <v>0.77900210903003531</v>
      </c>
      <c r="O26" s="82">
        <f>INDEX('[1]3_Calculations'!D$14:D$24,MATCH($C26,'[1]3_Calculations'!$B$14:$B$24,0))/100</f>
        <v>0.74806241472655133</v>
      </c>
      <c r="P26" s="82">
        <f>INDEX('[1]3_Calculations'!E$14:E$24,MATCH($C26,'[1]3_Calculations'!$B$14:$B$24,0))/100</f>
        <v>0.72919850367004901</v>
      </c>
      <c r="Q26" s="82">
        <f>INDEX('[1]3_Calculations'!F$14:F$24,MATCH($C26,'[1]3_Calculations'!$B$14:$B$24,0))/100</f>
        <v>0.70524239939621525</v>
      </c>
      <c r="R26" s="82">
        <f>INDEX('[1]3_Calculations'!G$14:G$24,MATCH($C26,'[1]3_Calculations'!$B$14:$B$24,0))/100</f>
        <v>0.54832228927393678</v>
      </c>
    </row>
    <row r="27" spans="1:18" ht="16" x14ac:dyDescent="0.2">
      <c r="A27" s="73">
        <v>24</v>
      </c>
      <c r="B27" s="73" t="s">
        <v>846</v>
      </c>
      <c r="C27" s="73" t="s">
        <v>626</v>
      </c>
      <c r="D27" s="432">
        <f>INDEX('[1]3_Calculations'!C$30:C$40,MATCH($C27,'[1]3_Calculations'!$B$30:$B$40,0))</f>
        <v>0.95129468567931419</v>
      </c>
      <c r="E27" s="432">
        <f>INDEX('[1]3_Calculations'!D$30:D$40,MATCH($C27,'[1]3_Calculations'!$B$30:$B$40,0))</f>
        <v>0.94450154875812042</v>
      </c>
      <c r="F27" s="432">
        <f>INDEX('[1]3_Calculations'!E$30:E$40,MATCH($C27,'[1]3_Calculations'!$B$30:$B$40,0))</f>
        <v>0.94847198001193356</v>
      </c>
      <c r="G27" s="432">
        <f>INDEX('[1]3_Calculations'!F$30:F$40,MATCH($C27,'[1]3_Calculations'!$B$30:$B$40,0))</f>
        <v>0.95865370801439898</v>
      </c>
      <c r="H27" s="432">
        <f>INDEX('[1]3_Calculations'!G$30:G$40,MATCH($C27,'[1]3_Calculations'!$B$30:$B$40,0))</f>
        <v>0.9881774626861356</v>
      </c>
      <c r="I27" s="433">
        <f>'[1]3_Calculations'!C$9*D27/'[1]3_Calculations'!C$45</f>
        <v>0.6775081609565401</v>
      </c>
      <c r="J27" s="433">
        <f>'[1]3_Calculations'!D$9*E27/'[1]3_Calculations'!D$45</f>
        <v>0.63614247191993023</v>
      </c>
      <c r="K27" s="433">
        <f>'[1]3_Calculations'!E$9*F27/'[1]3_Calculations'!E$45</f>
        <v>0.6105765126285696</v>
      </c>
      <c r="L27" s="433">
        <f>'[1]3_Calculations'!F$9*G27/'[1]3_Calculations'!F$45</f>
        <v>0.57373016148707834</v>
      </c>
      <c r="M27" s="433">
        <f>'[1]3_Calculations'!G$9*H27/'[1]3_Calculations'!G$45</f>
        <v>0.43944580207643302</v>
      </c>
      <c r="N27" s="82">
        <f>INDEX('[1]3_Calculations'!C$14:C$24,MATCH($C27,'[1]3_Calculations'!$B$14:$B$24,0))/100</f>
        <v>0.77900210903003531</v>
      </c>
      <c r="O27" s="82">
        <f>INDEX('[1]3_Calculations'!D$14:D$24,MATCH($C27,'[1]3_Calculations'!$B$14:$B$24,0))/100</f>
        <v>0.74806241472655133</v>
      </c>
      <c r="P27" s="82">
        <f>INDEX('[1]3_Calculations'!E$14:E$24,MATCH($C27,'[1]3_Calculations'!$B$14:$B$24,0))/100</f>
        <v>0.72919850367004901</v>
      </c>
      <c r="Q27" s="82">
        <f>INDEX('[1]3_Calculations'!F$14:F$24,MATCH($C27,'[1]3_Calculations'!$B$14:$B$24,0))/100</f>
        <v>0.70524239939621525</v>
      </c>
      <c r="R27" s="82">
        <f>INDEX('[1]3_Calculations'!G$14:G$24,MATCH($C27,'[1]3_Calculations'!$B$14:$B$24,0))/100</f>
        <v>0.54832228927393678</v>
      </c>
    </row>
    <row r="28" spans="1:18" ht="16" x14ac:dyDescent="0.2">
      <c r="A28" s="73">
        <v>25</v>
      </c>
      <c r="B28" s="73" t="s">
        <v>848</v>
      </c>
      <c r="C28" s="73" t="s">
        <v>626</v>
      </c>
      <c r="D28" s="432">
        <f>INDEX('[1]3_Calculations'!C$30:C$40,MATCH($C28,'[1]3_Calculations'!$B$30:$B$40,0))</f>
        <v>0.95129468567931419</v>
      </c>
      <c r="E28" s="432">
        <f>INDEX('[1]3_Calculations'!D$30:D$40,MATCH($C28,'[1]3_Calculations'!$B$30:$B$40,0))</f>
        <v>0.94450154875812042</v>
      </c>
      <c r="F28" s="432">
        <f>INDEX('[1]3_Calculations'!E$30:E$40,MATCH($C28,'[1]3_Calculations'!$B$30:$B$40,0))</f>
        <v>0.94847198001193356</v>
      </c>
      <c r="G28" s="432">
        <f>INDEX('[1]3_Calculations'!F$30:F$40,MATCH($C28,'[1]3_Calculations'!$B$30:$B$40,0))</f>
        <v>0.95865370801439898</v>
      </c>
      <c r="H28" s="432">
        <f>INDEX('[1]3_Calculations'!G$30:G$40,MATCH($C28,'[1]3_Calculations'!$B$30:$B$40,0))</f>
        <v>0.9881774626861356</v>
      </c>
      <c r="I28" s="433">
        <f>'[1]3_Calculations'!C$9*D28/'[1]3_Calculations'!C$45</f>
        <v>0.6775081609565401</v>
      </c>
      <c r="J28" s="433">
        <f>'[1]3_Calculations'!D$9*E28/'[1]3_Calculations'!D$45</f>
        <v>0.63614247191993023</v>
      </c>
      <c r="K28" s="433">
        <f>'[1]3_Calculations'!E$9*F28/'[1]3_Calculations'!E$45</f>
        <v>0.6105765126285696</v>
      </c>
      <c r="L28" s="433">
        <f>'[1]3_Calculations'!F$9*G28/'[1]3_Calculations'!F$45</f>
        <v>0.57373016148707834</v>
      </c>
      <c r="M28" s="433">
        <f>'[1]3_Calculations'!G$9*H28/'[1]3_Calculations'!G$45</f>
        <v>0.43944580207643302</v>
      </c>
      <c r="N28" s="82">
        <f>INDEX('[1]3_Calculations'!C$14:C$24,MATCH($C28,'[1]3_Calculations'!$B$14:$B$24,0))/100</f>
        <v>0.77900210903003531</v>
      </c>
      <c r="O28" s="82">
        <f>INDEX('[1]3_Calculations'!D$14:D$24,MATCH($C28,'[1]3_Calculations'!$B$14:$B$24,0))/100</f>
        <v>0.74806241472655133</v>
      </c>
      <c r="P28" s="82">
        <f>INDEX('[1]3_Calculations'!E$14:E$24,MATCH($C28,'[1]3_Calculations'!$B$14:$B$24,0))/100</f>
        <v>0.72919850367004901</v>
      </c>
      <c r="Q28" s="82">
        <f>INDEX('[1]3_Calculations'!F$14:F$24,MATCH($C28,'[1]3_Calculations'!$B$14:$B$24,0))/100</f>
        <v>0.70524239939621525</v>
      </c>
      <c r="R28" s="82">
        <f>INDEX('[1]3_Calculations'!G$14:G$24,MATCH($C28,'[1]3_Calculations'!$B$14:$B$24,0))/100</f>
        <v>0.54832228927393678</v>
      </c>
    </row>
    <row r="29" spans="1:18" ht="16" x14ac:dyDescent="0.2">
      <c r="A29" s="73">
        <v>26</v>
      </c>
      <c r="B29" s="73" t="s">
        <v>849</v>
      </c>
      <c r="C29" s="73" t="s">
        <v>626</v>
      </c>
      <c r="D29" s="432">
        <f>INDEX('[1]3_Calculations'!C$30:C$40,MATCH($C29,'[1]3_Calculations'!$B$30:$B$40,0))</f>
        <v>0.95129468567931419</v>
      </c>
      <c r="E29" s="432">
        <f>INDEX('[1]3_Calculations'!D$30:D$40,MATCH($C29,'[1]3_Calculations'!$B$30:$B$40,0))</f>
        <v>0.94450154875812042</v>
      </c>
      <c r="F29" s="432">
        <f>INDEX('[1]3_Calculations'!E$30:E$40,MATCH($C29,'[1]3_Calculations'!$B$30:$B$40,0))</f>
        <v>0.94847198001193356</v>
      </c>
      <c r="G29" s="432">
        <f>INDEX('[1]3_Calculations'!F$30:F$40,MATCH($C29,'[1]3_Calculations'!$B$30:$B$40,0))</f>
        <v>0.95865370801439898</v>
      </c>
      <c r="H29" s="432">
        <f>INDEX('[1]3_Calculations'!G$30:G$40,MATCH($C29,'[1]3_Calculations'!$B$30:$B$40,0))</f>
        <v>0.9881774626861356</v>
      </c>
      <c r="I29" s="433">
        <f>'[1]3_Calculations'!C$9*D29/'[1]3_Calculations'!C$45</f>
        <v>0.6775081609565401</v>
      </c>
      <c r="J29" s="433">
        <f>'[1]3_Calculations'!D$9*E29/'[1]3_Calculations'!D$45</f>
        <v>0.63614247191993023</v>
      </c>
      <c r="K29" s="433">
        <f>'[1]3_Calculations'!E$9*F29/'[1]3_Calculations'!E$45</f>
        <v>0.6105765126285696</v>
      </c>
      <c r="L29" s="433">
        <f>'[1]3_Calculations'!F$9*G29/'[1]3_Calculations'!F$45</f>
        <v>0.57373016148707834</v>
      </c>
      <c r="M29" s="433">
        <f>'[1]3_Calculations'!G$9*H29/'[1]3_Calculations'!G$45</f>
        <v>0.43944580207643302</v>
      </c>
      <c r="N29" s="82">
        <f>INDEX('[1]3_Calculations'!C$14:C$24,MATCH($C29,'[1]3_Calculations'!$B$14:$B$24,0))/100</f>
        <v>0.77900210903003531</v>
      </c>
      <c r="O29" s="82">
        <f>INDEX('[1]3_Calculations'!D$14:D$24,MATCH($C29,'[1]3_Calculations'!$B$14:$B$24,0))/100</f>
        <v>0.74806241472655133</v>
      </c>
      <c r="P29" s="82">
        <f>INDEX('[1]3_Calculations'!E$14:E$24,MATCH($C29,'[1]3_Calculations'!$B$14:$B$24,0))/100</f>
        <v>0.72919850367004901</v>
      </c>
      <c r="Q29" s="82">
        <f>INDEX('[1]3_Calculations'!F$14:F$24,MATCH($C29,'[1]3_Calculations'!$B$14:$B$24,0))/100</f>
        <v>0.70524239939621525</v>
      </c>
      <c r="R29" s="82">
        <f>INDEX('[1]3_Calculations'!G$14:G$24,MATCH($C29,'[1]3_Calculations'!$B$14:$B$24,0))/100</f>
        <v>0.54832228927393678</v>
      </c>
    </row>
    <row r="30" spans="1:18" ht="16" x14ac:dyDescent="0.2">
      <c r="A30" s="73">
        <v>27</v>
      </c>
      <c r="B30" s="73" t="s">
        <v>131</v>
      </c>
      <c r="C30" s="73" t="s">
        <v>626</v>
      </c>
      <c r="D30" s="432">
        <f>INDEX('[1]3_Calculations'!C$30:C$40,MATCH($C30,'[1]3_Calculations'!$B$30:$B$40,0))</f>
        <v>0.95129468567931419</v>
      </c>
      <c r="E30" s="432">
        <f>INDEX('[1]3_Calculations'!D$30:D$40,MATCH($C30,'[1]3_Calculations'!$B$30:$B$40,0))</f>
        <v>0.94450154875812042</v>
      </c>
      <c r="F30" s="432">
        <f>INDEX('[1]3_Calculations'!E$30:E$40,MATCH($C30,'[1]3_Calculations'!$B$30:$B$40,0))</f>
        <v>0.94847198001193356</v>
      </c>
      <c r="G30" s="432">
        <f>INDEX('[1]3_Calculations'!F$30:F$40,MATCH($C30,'[1]3_Calculations'!$B$30:$B$40,0))</f>
        <v>0.95865370801439898</v>
      </c>
      <c r="H30" s="432">
        <f>INDEX('[1]3_Calculations'!G$30:G$40,MATCH($C30,'[1]3_Calculations'!$B$30:$B$40,0))</f>
        <v>0.9881774626861356</v>
      </c>
      <c r="I30" s="433">
        <f>'[1]3_Calculations'!C$9*D30/'[1]3_Calculations'!C$45</f>
        <v>0.6775081609565401</v>
      </c>
      <c r="J30" s="433">
        <f>'[1]3_Calculations'!D$9*E30/'[1]3_Calculations'!D$45</f>
        <v>0.63614247191993023</v>
      </c>
      <c r="K30" s="433">
        <f>'[1]3_Calculations'!E$9*F30/'[1]3_Calculations'!E$45</f>
        <v>0.6105765126285696</v>
      </c>
      <c r="L30" s="433">
        <f>'[1]3_Calculations'!F$9*G30/'[1]3_Calculations'!F$45</f>
        <v>0.57373016148707834</v>
      </c>
      <c r="M30" s="433">
        <f>'[1]3_Calculations'!G$9*H30/'[1]3_Calculations'!G$45</f>
        <v>0.43944580207643302</v>
      </c>
      <c r="N30" s="82">
        <f>INDEX('[1]3_Calculations'!C$14:C$24,MATCH($C30,'[1]3_Calculations'!$B$14:$B$24,0))/100</f>
        <v>0.77900210903003531</v>
      </c>
      <c r="O30" s="82">
        <f>INDEX('[1]3_Calculations'!D$14:D$24,MATCH($C30,'[1]3_Calculations'!$B$14:$B$24,0))/100</f>
        <v>0.74806241472655133</v>
      </c>
      <c r="P30" s="82">
        <f>INDEX('[1]3_Calculations'!E$14:E$24,MATCH($C30,'[1]3_Calculations'!$B$14:$B$24,0))/100</f>
        <v>0.72919850367004901</v>
      </c>
      <c r="Q30" s="82">
        <f>INDEX('[1]3_Calculations'!F$14:F$24,MATCH($C30,'[1]3_Calculations'!$B$14:$B$24,0))/100</f>
        <v>0.70524239939621525</v>
      </c>
      <c r="R30" s="82">
        <f>INDEX('[1]3_Calculations'!G$14:G$24,MATCH($C30,'[1]3_Calculations'!$B$14:$B$24,0))/100</f>
        <v>0.54832228927393678</v>
      </c>
    </row>
    <row r="31" spans="1:18" ht="16" x14ac:dyDescent="0.2">
      <c r="A31" s="73">
        <v>28</v>
      </c>
      <c r="B31" s="73" t="s">
        <v>851</v>
      </c>
      <c r="C31" s="73" t="s">
        <v>809</v>
      </c>
      <c r="D31" s="432">
        <f>INDEX('[1]3_Calculations'!C$30:C$40,MATCH($C31,'[1]3_Calculations'!$B$30:$B$40,0))</f>
        <v>0.95129468567931419</v>
      </c>
      <c r="E31" s="432">
        <f>INDEX('[1]3_Calculations'!D$30:D$40,MATCH($C31,'[1]3_Calculations'!$B$30:$B$40,0))</f>
        <v>0.94450154875812042</v>
      </c>
      <c r="F31" s="432">
        <f>INDEX('[1]3_Calculations'!E$30:E$40,MATCH($C31,'[1]3_Calculations'!$B$30:$B$40,0))</f>
        <v>0.94847198001193356</v>
      </c>
      <c r="G31" s="432">
        <f>INDEX('[1]3_Calculations'!F$30:F$40,MATCH($C31,'[1]3_Calculations'!$B$30:$B$40,0))</f>
        <v>0.95865370801439898</v>
      </c>
      <c r="H31" s="432">
        <f>INDEX('[1]3_Calculations'!G$30:G$40,MATCH($C31,'[1]3_Calculations'!$B$30:$B$40,0))</f>
        <v>0.98817746268613571</v>
      </c>
      <c r="I31" s="433">
        <f>'[1]3_Calculations'!C$9*D31/'[1]3_Calculations'!C$45</f>
        <v>0.6775081609565401</v>
      </c>
      <c r="J31" s="433">
        <f>'[1]3_Calculations'!D$9*E31/'[1]3_Calculations'!D$45</f>
        <v>0.63614247191993023</v>
      </c>
      <c r="K31" s="433">
        <f>'[1]3_Calculations'!E$9*F31/'[1]3_Calculations'!E$45</f>
        <v>0.6105765126285696</v>
      </c>
      <c r="L31" s="433">
        <f>'[1]3_Calculations'!F$9*G31/'[1]3_Calculations'!F$45</f>
        <v>0.57373016148707834</v>
      </c>
      <c r="M31" s="433">
        <f>'[1]3_Calculations'!G$9*H31/'[1]3_Calculations'!G$45</f>
        <v>0.43944580207643308</v>
      </c>
      <c r="N31" s="82">
        <f>INDEX('[1]3_Calculations'!C$14:C$24,MATCH($C31,'[1]3_Calculations'!$B$14:$B$24,0))/100</f>
        <v>0.77900210903003531</v>
      </c>
      <c r="O31" s="82">
        <f>INDEX('[1]3_Calculations'!D$14:D$24,MATCH($C31,'[1]3_Calculations'!$B$14:$B$24,0))/100</f>
        <v>0.74806241472655133</v>
      </c>
      <c r="P31" s="82">
        <f>INDEX('[1]3_Calculations'!E$14:E$24,MATCH($C31,'[1]3_Calculations'!$B$14:$B$24,0))/100</f>
        <v>0.72919850367004901</v>
      </c>
      <c r="Q31" s="82">
        <f>INDEX('[1]3_Calculations'!F$14:F$24,MATCH($C31,'[1]3_Calculations'!$B$14:$B$24,0))/100</f>
        <v>0.70524239939621525</v>
      </c>
      <c r="R31" s="82">
        <f>INDEX('[1]3_Calculations'!G$14:G$24,MATCH($C31,'[1]3_Calculations'!$B$14:$B$24,0))/100</f>
        <v>0.54832228927393689</v>
      </c>
    </row>
    <row r="32" spans="1:18" ht="16" x14ac:dyDescent="0.2">
      <c r="A32" s="73">
        <v>29</v>
      </c>
      <c r="B32" s="73" t="s">
        <v>852</v>
      </c>
      <c r="C32" s="73" t="s">
        <v>802</v>
      </c>
      <c r="D32" s="432">
        <f>INDEX('[1]3_Calculations'!C$30:C$40,MATCH($C32,'[1]3_Calculations'!$B$30:$B$40,0))</f>
        <v>0.99999999999999967</v>
      </c>
      <c r="E32" s="432">
        <f>INDEX('[1]3_Calculations'!D$30:D$40,MATCH($C32,'[1]3_Calculations'!$B$30:$B$40,0))</f>
        <v>1</v>
      </c>
      <c r="F32" s="432">
        <f>INDEX('[1]3_Calculations'!E$30:E$40,MATCH($C32,'[1]3_Calculations'!$B$30:$B$40,0))</f>
        <v>1</v>
      </c>
      <c r="G32" s="432">
        <f>INDEX('[1]3_Calculations'!F$30:F$40,MATCH($C32,'[1]3_Calculations'!$B$30:$B$40,0))</f>
        <v>1</v>
      </c>
      <c r="H32" s="432">
        <f>INDEX('[1]3_Calculations'!G$30:G$40,MATCH($C32,'[1]3_Calculations'!$B$30:$B$40,0))</f>
        <v>1</v>
      </c>
      <c r="I32" s="433">
        <f>'[1]3_Calculations'!C$9*D32/'[1]3_Calculations'!C$45</f>
        <v>0.71219588541350376</v>
      </c>
      <c r="J32" s="433">
        <f>'[1]3_Calculations'!D$9*E32/'[1]3_Calculations'!D$45</f>
        <v>0.67352189390939943</v>
      </c>
      <c r="K32" s="433">
        <f>'[1]3_Calculations'!E$9*F32/'[1]3_Calculations'!E$45</f>
        <v>0.64374754921161448</v>
      </c>
      <c r="L32" s="433">
        <f>'[1]3_Calculations'!F$9*G32/'[1]3_Calculations'!F$45</f>
        <v>0.59847487856215642</v>
      </c>
      <c r="M32" s="433">
        <f>'[1]3_Calculations'!G$9*H32/'[1]3_Calculations'!G$45</f>
        <v>0.44470332371464899</v>
      </c>
      <c r="N32" s="82">
        <f>INDEX('[1]3_Calculations'!C$14:C$24,MATCH($C32,'[1]3_Calculations'!$B$14:$B$24,0))/100</f>
        <v>0.81888621975613574</v>
      </c>
      <c r="O32" s="82">
        <f>INDEX('[1]3_Calculations'!D$14:D$24,MATCH($C32,'[1]3_Calculations'!$B$14:$B$24,0))/100</f>
        <v>0.79201819807510376</v>
      </c>
      <c r="P32" s="82">
        <f>INDEX('[1]3_Calculations'!E$14:E$24,MATCH($C32,'[1]3_Calculations'!$B$14:$B$24,0))/100</f>
        <v>0.76881396502706834</v>
      </c>
      <c r="Q32" s="82">
        <f>INDEX('[1]3_Calculations'!F$14:F$24,MATCH($C32,'[1]3_Calculations'!$B$14:$B$24,0))/100</f>
        <v>0.73565917859634722</v>
      </c>
      <c r="R32" s="82">
        <f>INDEX('[1]3_Calculations'!G$14:G$24,MATCH($C32,'[1]3_Calculations'!$B$14:$B$24,0))/100</f>
        <v>0.55488240723831872</v>
      </c>
    </row>
    <row r="33" spans="1:18" ht="16" x14ac:dyDescent="0.2">
      <c r="A33" s="73">
        <v>30</v>
      </c>
      <c r="B33" s="73" t="s">
        <v>854</v>
      </c>
      <c r="C33" s="73" t="s">
        <v>802</v>
      </c>
      <c r="D33" s="432">
        <f>INDEX('[1]3_Calculations'!C$30:C$40,MATCH($C33,'[1]3_Calculations'!$B$30:$B$40,0))</f>
        <v>0.99999999999999967</v>
      </c>
      <c r="E33" s="432">
        <f>INDEX('[1]3_Calculations'!D$30:D$40,MATCH($C33,'[1]3_Calculations'!$B$30:$B$40,0))</f>
        <v>1</v>
      </c>
      <c r="F33" s="432">
        <f>INDEX('[1]3_Calculations'!E$30:E$40,MATCH($C33,'[1]3_Calculations'!$B$30:$B$40,0))</f>
        <v>1</v>
      </c>
      <c r="G33" s="432">
        <f>INDEX('[1]3_Calculations'!F$30:F$40,MATCH($C33,'[1]3_Calculations'!$B$30:$B$40,0))</f>
        <v>1</v>
      </c>
      <c r="H33" s="432">
        <f>INDEX('[1]3_Calculations'!G$30:G$40,MATCH($C33,'[1]3_Calculations'!$B$30:$B$40,0))</f>
        <v>1</v>
      </c>
      <c r="I33" s="433">
        <f>'[1]3_Calculations'!C$9*D33/'[1]3_Calculations'!C$45</f>
        <v>0.71219588541350376</v>
      </c>
      <c r="J33" s="433">
        <f>'[1]3_Calculations'!D$9*E33/'[1]3_Calculations'!D$45</f>
        <v>0.67352189390939943</v>
      </c>
      <c r="K33" s="433">
        <f>'[1]3_Calculations'!E$9*F33/'[1]3_Calculations'!E$45</f>
        <v>0.64374754921161448</v>
      </c>
      <c r="L33" s="433">
        <f>'[1]3_Calculations'!F$9*G33/'[1]3_Calculations'!F$45</f>
        <v>0.59847487856215642</v>
      </c>
      <c r="M33" s="433">
        <f>'[1]3_Calculations'!G$9*H33/'[1]3_Calculations'!G$45</f>
        <v>0.44470332371464899</v>
      </c>
      <c r="N33" s="82">
        <f>INDEX('[1]3_Calculations'!C$14:C$24,MATCH($C33,'[1]3_Calculations'!$B$14:$B$24,0))/100</f>
        <v>0.81888621975613574</v>
      </c>
      <c r="O33" s="82">
        <f>INDEX('[1]3_Calculations'!D$14:D$24,MATCH($C33,'[1]3_Calculations'!$B$14:$B$24,0))/100</f>
        <v>0.79201819807510376</v>
      </c>
      <c r="P33" s="82">
        <f>INDEX('[1]3_Calculations'!E$14:E$24,MATCH($C33,'[1]3_Calculations'!$B$14:$B$24,0))/100</f>
        <v>0.76881396502706834</v>
      </c>
      <c r="Q33" s="82">
        <f>INDEX('[1]3_Calculations'!F$14:F$24,MATCH($C33,'[1]3_Calculations'!$B$14:$B$24,0))/100</f>
        <v>0.73565917859634722</v>
      </c>
      <c r="R33" s="82">
        <f>INDEX('[1]3_Calculations'!G$14:G$24,MATCH($C33,'[1]3_Calculations'!$B$14:$B$24,0))/100</f>
        <v>0.55488240723831872</v>
      </c>
    </row>
    <row r="34" spans="1:18" ht="16" x14ac:dyDescent="0.2">
      <c r="A34" s="73">
        <v>31</v>
      </c>
      <c r="B34" s="73" t="s">
        <v>343</v>
      </c>
      <c r="C34" s="73" t="s">
        <v>809</v>
      </c>
      <c r="D34" s="432">
        <f>INDEX('[1]3_Calculations'!C$30:C$40,MATCH($C34,'[1]3_Calculations'!$B$30:$B$40,0))</f>
        <v>0.95129468567931419</v>
      </c>
      <c r="E34" s="432">
        <f>INDEX('[1]3_Calculations'!D$30:D$40,MATCH($C34,'[1]3_Calculations'!$B$30:$B$40,0))</f>
        <v>0.94450154875812042</v>
      </c>
      <c r="F34" s="432">
        <f>INDEX('[1]3_Calculations'!E$30:E$40,MATCH($C34,'[1]3_Calculations'!$B$30:$B$40,0))</f>
        <v>0.94847198001193356</v>
      </c>
      <c r="G34" s="432">
        <f>INDEX('[1]3_Calculations'!F$30:F$40,MATCH($C34,'[1]3_Calculations'!$B$30:$B$40,0))</f>
        <v>0.95865370801439898</v>
      </c>
      <c r="H34" s="432">
        <f>INDEX('[1]3_Calculations'!G$30:G$40,MATCH($C34,'[1]3_Calculations'!$B$30:$B$40,0))</f>
        <v>0.98817746268613571</v>
      </c>
      <c r="I34" s="433">
        <f>'[1]3_Calculations'!C$9*D34/'[1]3_Calculations'!C$45</f>
        <v>0.6775081609565401</v>
      </c>
      <c r="J34" s="433">
        <f>'[1]3_Calculations'!D$9*E34/'[1]3_Calculations'!D$45</f>
        <v>0.63614247191993023</v>
      </c>
      <c r="K34" s="433">
        <f>'[1]3_Calculations'!E$9*F34/'[1]3_Calculations'!E$45</f>
        <v>0.6105765126285696</v>
      </c>
      <c r="L34" s="433">
        <f>'[1]3_Calculations'!F$9*G34/'[1]3_Calculations'!F$45</f>
        <v>0.57373016148707834</v>
      </c>
      <c r="M34" s="433">
        <f>'[1]3_Calculations'!G$9*H34/'[1]3_Calculations'!G$45</f>
        <v>0.43944580207643308</v>
      </c>
      <c r="N34" s="82">
        <f>INDEX('[1]3_Calculations'!C$14:C$24,MATCH($C34,'[1]3_Calculations'!$B$14:$B$24,0))/100</f>
        <v>0.77900210903003531</v>
      </c>
      <c r="O34" s="82">
        <f>INDEX('[1]3_Calculations'!D$14:D$24,MATCH($C34,'[1]3_Calculations'!$B$14:$B$24,0))/100</f>
        <v>0.74806241472655133</v>
      </c>
      <c r="P34" s="82">
        <f>INDEX('[1]3_Calculations'!E$14:E$24,MATCH($C34,'[1]3_Calculations'!$B$14:$B$24,0))/100</f>
        <v>0.72919850367004901</v>
      </c>
      <c r="Q34" s="82">
        <f>INDEX('[1]3_Calculations'!F$14:F$24,MATCH($C34,'[1]3_Calculations'!$B$14:$B$24,0))/100</f>
        <v>0.70524239939621525</v>
      </c>
      <c r="R34" s="82">
        <f>INDEX('[1]3_Calculations'!G$14:G$24,MATCH($C34,'[1]3_Calculations'!$B$14:$B$24,0))/100</f>
        <v>0.54832228927393689</v>
      </c>
    </row>
    <row r="35" spans="1:18" ht="16" x14ac:dyDescent="0.2">
      <c r="A35" s="73">
        <v>32</v>
      </c>
      <c r="B35" s="73" t="s">
        <v>856</v>
      </c>
      <c r="C35" s="73" t="s">
        <v>809</v>
      </c>
      <c r="D35" s="432">
        <f>INDEX('[1]3_Calculations'!C$30:C$40,MATCH($C35,'[1]3_Calculations'!$B$30:$B$40,0))</f>
        <v>0.95129468567931419</v>
      </c>
      <c r="E35" s="432">
        <f>INDEX('[1]3_Calculations'!D$30:D$40,MATCH($C35,'[1]3_Calculations'!$B$30:$B$40,0))</f>
        <v>0.94450154875812042</v>
      </c>
      <c r="F35" s="432">
        <f>INDEX('[1]3_Calculations'!E$30:E$40,MATCH($C35,'[1]3_Calculations'!$B$30:$B$40,0))</f>
        <v>0.94847198001193356</v>
      </c>
      <c r="G35" s="432">
        <f>INDEX('[1]3_Calculations'!F$30:F$40,MATCH($C35,'[1]3_Calculations'!$B$30:$B$40,0))</f>
        <v>0.95865370801439898</v>
      </c>
      <c r="H35" s="432">
        <f>INDEX('[1]3_Calculations'!G$30:G$40,MATCH($C35,'[1]3_Calculations'!$B$30:$B$40,0))</f>
        <v>0.98817746268613571</v>
      </c>
      <c r="I35" s="433">
        <f>'[1]3_Calculations'!C$9*D35/'[1]3_Calculations'!C$45</f>
        <v>0.6775081609565401</v>
      </c>
      <c r="J35" s="433">
        <f>'[1]3_Calculations'!D$9*E35/'[1]3_Calculations'!D$45</f>
        <v>0.63614247191993023</v>
      </c>
      <c r="K35" s="433">
        <f>'[1]3_Calculations'!E$9*F35/'[1]3_Calculations'!E$45</f>
        <v>0.6105765126285696</v>
      </c>
      <c r="L35" s="433">
        <f>'[1]3_Calculations'!F$9*G35/'[1]3_Calculations'!F$45</f>
        <v>0.57373016148707834</v>
      </c>
      <c r="M35" s="433">
        <f>'[1]3_Calculations'!G$9*H35/'[1]3_Calculations'!G$45</f>
        <v>0.43944580207643308</v>
      </c>
      <c r="N35" s="82">
        <f>INDEX('[1]3_Calculations'!C$14:C$24,MATCH($C35,'[1]3_Calculations'!$B$14:$B$24,0))/100</f>
        <v>0.77900210903003531</v>
      </c>
      <c r="O35" s="82">
        <f>INDEX('[1]3_Calculations'!D$14:D$24,MATCH($C35,'[1]3_Calculations'!$B$14:$B$24,0))/100</f>
        <v>0.74806241472655133</v>
      </c>
      <c r="P35" s="82">
        <f>INDEX('[1]3_Calculations'!E$14:E$24,MATCH($C35,'[1]3_Calculations'!$B$14:$B$24,0))/100</f>
        <v>0.72919850367004901</v>
      </c>
      <c r="Q35" s="82">
        <f>INDEX('[1]3_Calculations'!F$14:F$24,MATCH($C35,'[1]3_Calculations'!$B$14:$B$24,0))/100</f>
        <v>0.70524239939621525</v>
      </c>
      <c r="R35" s="82">
        <f>INDEX('[1]3_Calculations'!G$14:G$24,MATCH($C35,'[1]3_Calculations'!$B$14:$B$24,0))/100</f>
        <v>0.54832228927393689</v>
      </c>
    </row>
    <row r="36" spans="1:18" ht="16" x14ac:dyDescent="0.2">
      <c r="A36" s="73">
        <v>33</v>
      </c>
      <c r="B36" s="73" t="s">
        <v>857</v>
      </c>
      <c r="C36" s="73" t="s">
        <v>809</v>
      </c>
      <c r="D36" s="432">
        <f>INDEX('[1]3_Calculations'!C$30:C$40,MATCH($C36,'[1]3_Calculations'!$B$30:$B$40,0))</f>
        <v>0.95129468567931419</v>
      </c>
      <c r="E36" s="432">
        <f>INDEX('[1]3_Calculations'!D$30:D$40,MATCH($C36,'[1]3_Calculations'!$B$30:$B$40,0))</f>
        <v>0.94450154875812042</v>
      </c>
      <c r="F36" s="432">
        <f>INDEX('[1]3_Calculations'!E$30:E$40,MATCH($C36,'[1]3_Calculations'!$B$30:$B$40,0))</f>
        <v>0.94847198001193356</v>
      </c>
      <c r="G36" s="432">
        <f>INDEX('[1]3_Calculations'!F$30:F$40,MATCH($C36,'[1]3_Calculations'!$B$30:$B$40,0))</f>
        <v>0.95865370801439898</v>
      </c>
      <c r="H36" s="432">
        <f>INDEX('[1]3_Calculations'!G$30:G$40,MATCH($C36,'[1]3_Calculations'!$B$30:$B$40,0))</f>
        <v>0.98817746268613571</v>
      </c>
      <c r="I36" s="433">
        <f>'[1]3_Calculations'!C$9*D36/'[1]3_Calculations'!C$45</f>
        <v>0.6775081609565401</v>
      </c>
      <c r="J36" s="433">
        <f>'[1]3_Calculations'!D$9*E36/'[1]3_Calculations'!D$45</f>
        <v>0.63614247191993023</v>
      </c>
      <c r="K36" s="433">
        <f>'[1]3_Calculations'!E$9*F36/'[1]3_Calculations'!E$45</f>
        <v>0.6105765126285696</v>
      </c>
      <c r="L36" s="433">
        <f>'[1]3_Calculations'!F$9*G36/'[1]3_Calculations'!F$45</f>
        <v>0.57373016148707834</v>
      </c>
      <c r="M36" s="433">
        <f>'[1]3_Calculations'!G$9*H36/'[1]3_Calculations'!G$45</f>
        <v>0.43944580207643308</v>
      </c>
      <c r="N36" s="82">
        <f>INDEX('[1]3_Calculations'!C$14:C$24,MATCH($C36,'[1]3_Calculations'!$B$14:$B$24,0))/100</f>
        <v>0.77900210903003531</v>
      </c>
      <c r="O36" s="82">
        <f>INDEX('[1]3_Calculations'!D$14:D$24,MATCH($C36,'[1]3_Calculations'!$B$14:$B$24,0))/100</f>
        <v>0.74806241472655133</v>
      </c>
      <c r="P36" s="82">
        <f>INDEX('[1]3_Calculations'!E$14:E$24,MATCH($C36,'[1]3_Calculations'!$B$14:$B$24,0))/100</f>
        <v>0.72919850367004901</v>
      </c>
      <c r="Q36" s="82">
        <f>INDEX('[1]3_Calculations'!F$14:F$24,MATCH($C36,'[1]3_Calculations'!$B$14:$B$24,0))/100</f>
        <v>0.70524239939621525</v>
      </c>
      <c r="R36" s="82">
        <f>INDEX('[1]3_Calculations'!G$14:G$24,MATCH($C36,'[1]3_Calculations'!$B$14:$B$24,0))/100</f>
        <v>0.54832228927393689</v>
      </c>
    </row>
    <row r="37" spans="1:18" ht="16" x14ac:dyDescent="0.2">
      <c r="A37" s="73">
        <v>34</v>
      </c>
      <c r="B37" s="73" t="s">
        <v>859</v>
      </c>
      <c r="C37" s="73" t="s">
        <v>809</v>
      </c>
      <c r="D37" s="432">
        <f>INDEX('[1]3_Calculations'!C$30:C$40,MATCH($C37,'[1]3_Calculations'!$B$30:$B$40,0))</f>
        <v>0.95129468567931419</v>
      </c>
      <c r="E37" s="432">
        <f>INDEX('[1]3_Calculations'!D$30:D$40,MATCH($C37,'[1]3_Calculations'!$B$30:$B$40,0))</f>
        <v>0.94450154875812042</v>
      </c>
      <c r="F37" s="432">
        <f>INDEX('[1]3_Calculations'!E$30:E$40,MATCH($C37,'[1]3_Calculations'!$B$30:$B$40,0))</f>
        <v>0.94847198001193356</v>
      </c>
      <c r="G37" s="432">
        <f>INDEX('[1]3_Calculations'!F$30:F$40,MATCH($C37,'[1]3_Calculations'!$B$30:$B$40,0))</f>
        <v>0.95865370801439898</v>
      </c>
      <c r="H37" s="432">
        <f>INDEX('[1]3_Calculations'!G$30:G$40,MATCH($C37,'[1]3_Calculations'!$B$30:$B$40,0))</f>
        <v>0.98817746268613571</v>
      </c>
      <c r="I37" s="433">
        <f>'[1]3_Calculations'!C$9*D37/'[1]3_Calculations'!C$45</f>
        <v>0.6775081609565401</v>
      </c>
      <c r="J37" s="433">
        <f>'[1]3_Calculations'!D$9*E37/'[1]3_Calculations'!D$45</f>
        <v>0.63614247191993023</v>
      </c>
      <c r="K37" s="433">
        <f>'[1]3_Calculations'!E$9*F37/'[1]3_Calculations'!E$45</f>
        <v>0.6105765126285696</v>
      </c>
      <c r="L37" s="433">
        <f>'[1]3_Calculations'!F$9*G37/'[1]3_Calculations'!F$45</f>
        <v>0.57373016148707834</v>
      </c>
      <c r="M37" s="433">
        <f>'[1]3_Calculations'!G$9*H37/'[1]3_Calculations'!G$45</f>
        <v>0.43944580207643308</v>
      </c>
      <c r="N37" s="82">
        <f>INDEX('[1]3_Calculations'!C$14:C$24,MATCH($C37,'[1]3_Calculations'!$B$14:$B$24,0))/100</f>
        <v>0.77900210903003531</v>
      </c>
      <c r="O37" s="82">
        <f>INDEX('[1]3_Calculations'!D$14:D$24,MATCH($C37,'[1]3_Calculations'!$B$14:$B$24,0))/100</f>
        <v>0.74806241472655133</v>
      </c>
      <c r="P37" s="82">
        <f>INDEX('[1]3_Calculations'!E$14:E$24,MATCH($C37,'[1]3_Calculations'!$B$14:$B$24,0))/100</f>
        <v>0.72919850367004901</v>
      </c>
      <c r="Q37" s="82">
        <f>INDEX('[1]3_Calculations'!F$14:F$24,MATCH($C37,'[1]3_Calculations'!$B$14:$B$24,0))/100</f>
        <v>0.70524239939621525</v>
      </c>
      <c r="R37" s="82">
        <f>INDEX('[1]3_Calculations'!G$14:G$24,MATCH($C37,'[1]3_Calculations'!$B$14:$B$24,0))/100</f>
        <v>0.54832228927393689</v>
      </c>
    </row>
    <row r="38" spans="1:18" ht="16" x14ac:dyDescent="0.2">
      <c r="A38" s="73">
        <v>35</v>
      </c>
      <c r="B38" s="73" t="s">
        <v>860</v>
      </c>
      <c r="C38" s="73" t="s">
        <v>809</v>
      </c>
      <c r="D38" s="432">
        <f>INDEX('[1]3_Calculations'!C$30:C$40,MATCH($C38,'[1]3_Calculations'!$B$30:$B$40,0))</f>
        <v>0.95129468567931419</v>
      </c>
      <c r="E38" s="432">
        <f>INDEX('[1]3_Calculations'!D$30:D$40,MATCH($C38,'[1]3_Calculations'!$B$30:$B$40,0))</f>
        <v>0.94450154875812042</v>
      </c>
      <c r="F38" s="432">
        <f>INDEX('[1]3_Calculations'!E$30:E$40,MATCH($C38,'[1]3_Calculations'!$B$30:$B$40,0))</f>
        <v>0.94847198001193356</v>
      </c>
      <c r="G38" s="432">
        <f>INDEX('[1]3_Calculations'!F$30:F$40,MATCH($C38,'[1]3_Calculations'!$B$30:$B$40,0))</f>
        <v>0.95865370801439898</v>
      </c>
      <c r="H38" s="432">
        <f>INDEX('[1]3_Calculations'!G$30:G$40,MATCH($C38,'[1]3_Calculations'!$B$30:$B$40,0))</f>
        <v>0.98817746268613571</v>
      </c>
      <c r="I38" s="433">
        <f>'[1]3_Calculations'!C$9*D38/'[1]3_Calculations'!C$45</f>
        <v>0.6775081609565401</v>
      </c>
      <c r="J38" s="433">
        <f>'[1]3_Calculations'!D$9*E38/'[1]3_Calculations'!D$45</f>
        <v>0.63614247191993023</v>
      </c>
      <c r="K38" s="433">
        <f>'[1]3_Calculations'!E$9*F38/'[1]3_Calculations'!E$45</f>
        <v>0.6105765126285696</v>
      </c>
      <c r="L38" s="433">
        <f>'[1]3_Calculations'!F$9*G38/'[1]3_Calculations'!F$45</f>
        <v>0.57373016148707834</v>
      </c>
      <c r="M38" s="433">
        <f>'[1]3_Calculations'!G$9*H38/'[1]3_Calculations'!G$45</f>
        <v>0.43944580207643308</v>
      </c>
      <c r="N38" s="82">
        <f>INDEX('[1]3_Calculations'!C$14:C$24,MATCH($C38,'[1]3_Calculations'!$B$14:$B$24,0))/100</f>
        <v>0.77900210903003531</v>
      </c>
      <c r="O38" s="82">
        <f>INDEX('[1]3_Calculations'!D$14:D$24,MATCH($C38,'[1]3_Calculations'!$B$14:$B$24,0))/100</f>
        <v>0.74806241472655133</v>
      </c>
      <c r="P38" s="82">
        <f>INDEX('[1]3_Calculations'!E$14:E$24,MATCH($C38,'[1]3_Calculations'!$B$14:$B$24,0))/100</f>
        <v>0.72919850367004901</v>
      </c>
      <c r="Q38" s="82">
        <f>INDEX('[1]3_Calculations'!F$14:F$24,MATCH($C38,'[1]3_Calculations'!$B$14:$B$24,0))/100</f>
        <v>0.70524239939621525</v>
      </c>
      <c r="R38" s="82">
        <f>INDEX('[1]3_Calculations'!G$14:G$24,MATCH($C38,'[1]3_Calculations'!$B$14:$B$24,0))/100</f>
        <v>0.54832228927393689</v>
      </c>
    </row>
    <row r="39" spans="1:18" ht="16" x14ac:dyDescent="0.2">
      <c r="A39" s="73">
        <v>36</v>
      </c>
      <c r="B39" s="73" t="s">
        <v>862</v>
      </c>
      <c r="C39" s="73" t="s">
        <v>809</v>
      </c>
      <c r="D39" s="432">
        <f>INDEX('[1]3_Calculations'!C$30:C$40,MATCH($C39,'[1]3_Calculations'!$B$30:$B$40,0))</f>
        <v>0.95129468567931419</v>
      </c>
      <c r="E39" s="432">
        <f>INDEX('[1]3_Calculations'!D$30:D$40,MATCH($C39,'[1]3_Calculations'!$B$30:$B$40,0))</f>
        <v>0.94450154875812042</v>
      </c>
      <c r="F39" s="432">
        <f>INDEX('[1]3_Calculations'!E$30:E$40,MATCH($C39,'[1]3_Calculations'!$B$30:$B$40,0))</f>
        <v>0.94847198001193356</v>
      </c>
      <c r="G39" s="432">
        <f>INDEX('[1]3_Calculations'!F$30:F$40,MATCH($C39,'[1]3_Calculations'!$B$30:$B$40,0))</f>
        <v>0.95865370801439898</v>
      </c>
      <c r="H39" s="432">
        <f>INDEX('[1]3_Calculations'!G$30:G$40,MATCH($C39,'[1]3_Calculations'!$B$30:$B$40,0))</f>
        <v>0.98817746268613571</v>
      </c>
      <c r="I39" s="433">
        <f>'[1]3_Calculations'!C$9*D39/'[1]3_Calculations'!C$45</f>
        <v>0.6775081609565401</v>
      </c>
      <c r="J39" s="433">
        <f>'[1]3_Calculations'!D$9*E39/'[1]3_Calculations'!D$45</f>
        <v>0.63614247191993023</v>
      </c>
      <c r="K39" s="433">
        <f>'[1]3_Calculations'!E$9*F39/'[1]3_Calculations'!E$45</f>
        <v>0.6105765126285696</v>
      </c>
      <c r="L39" s="433">
        <f>'[1]3_Calculations'!F$9*G39/'[1]3_Calculations'!F$45</f>
        <v>0.57373016148707834</v>
      </c>
      <c r="M39" s="433">
        <f>'[1]3_Calculations'!G$9*H39/'[1]3_Calculations'!G$45</f>
        <v>0.43944580207643308</v>
      </c>
      <c r="N39" s="82">
        <f>INDEX('[1]3_Calculations'!C$14:C$24,MATCH($C39,'[1]3_Calculations'!$B$14:$B$24,0))/100</f>
        <v>0.77900210903003531</v>
      </c>
      <c r="O39" s="82">
        <f>INDEX('[1]3_Calculations'!D$14:D$24,MATCH($C39,'[1]3_Calculations'!$B$14:$B$24,0))/100</f>
        <v>0.74806241472655133</v>
      </c>
      <c r="P39" s="82">
        <f>INDEX('[1]3_Calculations'!E$14:E$24,MATCH($C39,'[1]3_Calculations'!$B$14:$B$24,0))/100</f>
        <v>0.72919850367004901</v>
      </c>
      <c r="Q39" s="82">
        <f>INDEX('[1]3_Calculations'!F$14:F$24,MATCH($C39,'[1]3_Calculations'!$B$14:$B$24,0))/100</f>
        <v>0.70524239939621525</v>
      </c>
      <c r="R39" s="82">
        <f>INDEX('[1]3_Calculations'!G$14:G$24,MATCH($C39,'[1]3_Calculations'!$B$14:$B$24,0))/100</f>
        <v>0.54832228927393689</v>
      </c>
    </row>
    <row r="40" spans="1:18" ht="16" x14ac:dyDescent="0.2">
      <c r="A40" s="73">
        <v>37</v>
      </c>
      <c r="B40" s="73" t="s">
        <v>863</v>
      </c>
      <c r="C40" s="73" t="s">
        <v>809</v>
      </c>
      <c r="D40" s="432">
        <f>INDEX('[1]3_Calculations'!C$30:C$40,MATCH($C40,'[1]3_Calculations'!$B$30:$B$40,0))</f>
        <v>0.95129468567931419</v>
      </c>
      <c r="E40" s="432">
        <f>INDEX('[1]3_Calculations'!D$30:D$40,MATCH($C40,'[1]3_Calculations'!$B$30:$B$40,0))</f>
        <v>0.94450154875812042</v>
      </c>
      <c r="F40" s="432">
        <f>INDEX('[1]3_Calculations'!E$30:E$40,MATCH($C40,'[1]3_Calculations'!$B$30:$B$40,0))</f>
        <v>0.94847198001193356</v>
      </c>
      <c r="G40" s="432">
        <f>INDEX('[1]3_Calculations'!F$30:F$40,MATCH($C40,'[1]3_Calculations'!$B$30:$B$40,0))</f>
        <v>0.95865370801439898</v>
      </c>
      <c r="H40" s="432">
        <f>INDEX('[1]3_Calculations'!G$30:G$40,MATCH($C40,'[1]3_Calculations'!$B$30:$B$40,0))</f>
        <v>0.98817746268613571</v>
      </c>
      <c r="I40" s="433">
        <f>'[1]3_Calculations'!C$9*D40/'[1]3_Calculations'!C$45</f>
        <v>0.6775081609565401</v>
      </c>
      <c r="J40" s="433">
        <f>'[1]3_Calculations'!D$9*E40/'[1]3_Calculations'!D$45</f>
        <v>0.63614247191993023</v>
      </c>
      <c r="K40" s="433">
        <f>'[1]3_Calculations'!E$9*F40/'[1]3_Calculations'!E$45</f>
        <v>0.6105765126285696</v>
      </c>
      <c r="L40" s="433">
        <f>'[1]3_Calculations'!F$9*G40/'[1]3_Calculations'!F$45</f>
        <v>0.57373016148707834</v>
      </c>
      <c r="M40" s="433">
        <f>'[1]3_Calculations'!G$9*H40/'[1]3_Calculations'!G$45</f>
        <v>0.43944580207643308</v>
      </c>
      <c r="N40" s="82">
        <f>INDEX('[1]3_Calculations'!C$14:C$24,MATCH($C40,'[1]3_Calculations'!$B$14:$B$24,0))/100</f>
        <v>0.77900210903003531</v>
      </c>
      <c r="O40" s="82">
        <f>INDEX('[1]3_Calculations'!D$14:D$24,MATCH($C40,'[1]3_Calculations'!$B$14:$B$24,0))/100</f>
        <v>0.74806241472655133</v>
      </c>
      <c r="P40" s="82">
        <f>INDEX('[1]3_Calculations'!E$14:E$24,MATCH($C40,'[1]3_Calculations'!$B$14:$B$24,0))/100</f>
        <v>0.72919850367004901</v>
      </c>
      <c r="Q40" s="82">
        <f>INDEX('[1]3_Calculations'!F$14:F$24,MATCH($C40,'[1]3_Calculations'!$B$14:$B$24,0))/100</f>
        <v>0.70524239939621525</v>
      </c>
      <c r="R40" s="82">
        <f>INDEX('[1]3_Calculations'!G$14:G$24,MATCH($C40,'[1]3_Calculations'!$B$14:$B$24,0))/100</f>
        <v>0.54832228927393689</v>
      </c>
    </row>
    <row r="41" spans="1:18" ht="16" x14ac:dyDescent="0.2">
      <c r="A41" s="73">
        <v>38</v>
      </c>
      <c r="B41" s="73" t="s">
        <v>864</v>
      </c>
      <c r="C41" s="73" t="s">
        <v>809</v>
      </c>
      <c r="D41" s="432">
        <f>INDEX('[1]3_Calculations'!C$30:C$40,MATCH($C41,'[1]3_Calculations'!$B$30:$B$40,0))</f>
        <v>0.95129468567931419</v>
      </c>
      <c r="E41" s="432">
        <f>INDEX('[1]3_Calculations'!D$30:D$40,MATCH($C41,'[1]3_Calculations'!$B$30:$B$40,0))</f>
        <v>0.94450154875812042</v>
      </c>
      <c r="F41" s="432">
        <f>INDEX('[1]3_Calculations'!E$30:E$40,MATCH($C41,'[1]3_Calculations'!$B$30:$B$40,0))</f>
        <v>0.94847198001193356</v>
      </c>
      <c r="G41" s="432">
        <f>INDEX('[1]3_Calculations'!F$30:F$40,MATCH($C41,'[1]3_Calculations'!$B$30:$B$40,0))</f>
        <v>0.95865370801439898</v>
      </c>
      <c r="H41" s="432">
        <f>INDEX('[1]3_Calculations'!G$30:G$40,MATCH($C41,'[1]3_Calculations'!$B$30:$B$40,0))</f>
        <v>0.98817746268613571</v>
      </c>
      <c r="I41" s="433">
        <f>'[1]3_Calculations'!C$9*D41/'[1]3_Calculations'!C$45</f>
        <v>0.6775081609565401</v>
      </c>
      <c r="J41" s="433">
        <f>'[1]3_Calculations'!D$9*E41/'[1]3_Calculations'!D$45</f>
        <v>0.63614247191993023</v>
      </c>
      <c r="K41" s="433">
        <f>'[1]3_Calculations'!E$9*F41/'[1]3_Calculations'!E$45</f>
        <v>0.6105765126285696</v>
      </c>
      <c r="L41" s="433">
        <f>'[1]3_Calculations'!F$9*G41/'[1]3_Calculations'!F$45</f>
        <v>0.57373016148707834</v>
      </c>
      <c r="M41" s="433">
        <f>'[1]3_Calculations'!G$9*H41/'[1]3_Calculations'!G$45</f>
        <v>0.43944580207643308</v>
      </c>
      <c r="N41" s="82">
        <f>INDEX('[1]3_Calculations'!C$14:C$24,MATCH($C41,'[1]3_Calculations'!$B$14:$B$24,0))/100</f>
        <v>0.77900210903003531</v>
      </c>
      <c r="O41" s="82">
        <f>INDEX('[1]3_Calculations'!D$14:D$24,MATCH($C41,'[1]3_Calculations'!$B$14:$B$24,0))/100</f>
        <v>0.74806241472655133</v>
      </c>
      <c r="P41" s="82">
        <f>INDEX('[1]3_Calculations'!E$14:E$24,MATCH($C41,'[1]3_Calculations'!$B$14:$B$24,0))/100</f>
        <v>0.72919850367004901</v>
      </c>
      <c r="Q41" s="82">
        <f>INDEX('[1]3_Calculations'!F$14:F$24,MATCH($C41,'[1]3_Calculations'!$B$14:$B$24,0))/100</f>
        <v>0.70524239939621525</v>
      </c>
      <c r="R41" s="82">
        <f>INDEX('[1]3_Calculations'!G$14:G$24,MATCH($C41,'[1]3_Calculations'!$B$14:$B$24,0))/100</f>
        <v>0.54832228927393689</v>
      </c>
    </row>
    <row r="42" spans="1:18" ht="16" x14ac:dyDescent="0.2">
      <c r="A42" s="73">
        <v>39</v>
      </c>
      <c r="B42" s="73" t="s">
        <v>865</v>
      </c>
      <c r="C42" s="73" t="s">
        <v>809</v>
      </c>
      <c r="D42" s="432">
        <f>INDEX('[1]3_Calculations'!C$30:C$40,MATCH($C42,'[1]3_Calculations'!$B$30:$B$40,0))</f>
        <v>0.95129468567931419</v>
      </c>
      <c r="E42" s="432">
        <f>INDEX('[1]3_Calculations'!D$30:D$40,MATCH($C42,'[1]3_Calculations'!$B$30:$B$40,0))</f>
        <v>0.94450154875812042</v>
      </c>
      <c r="F42" s="432">
        <f>INDEX('[1]3_Calculations'!E$30:E$40,MATCH($C42,'[1]3_Calculations'!$B$30:$B$40,0))</f>
        <v>0.94847198001193356</v>
      </c>
      <c r="G42" s="432">
        <f>INDEX('[1]3_Calculations'!F$30:F$40,MATCH($C42,'[1]3_Calculations'!$B$30:$B$40,0))</f>
        <v>0.95865370801439898</v>
      </c>
      <c r="H42" s="432">
        <f>INDEX('[1]3_Calculations'!G$30:G$40,MATCH($C42,'[1]3_Calculations'!$B$30:$B$40,0))</f>
        <v>0.98817746268613571</v>
      </c>
      <c r="I42" s="433">
        <f>'[1]3_Calculations'!C$9*D42/'[1]3_Calculations'!C$45</f>
        <v>0.6775081609565401</v>
      </c>
      <c r="J42" s="433">
        <f>'[1]3_Calculations'!D$9*E42/'[1]3_Calculations'!D$45</f>
        <v>0.63614247191993023</v>
      </c>
      <c r="K42" s="433">
        <f>'[1]3_Calculations'!E$9*F42/'[1]3_Calculations'!E$45</f>
        <v>0.6105765126285696</v>
      </c>
      <c r="L42" s="433">
        <f>'[1]3_Calculations'!F$9*G42/'[1]3_Calculations'!F$45</f>
        <v>0.57373016148707834</v>
      </c>
      <c r="M42" s="433">
        <f>'[1]3_Calculations'!G$9*H42/'[1]3_Calculations'!G$45</f>
        <v>0.43944580207643308</v>
      </c>
      <c r="N42" s="82">
        <f>INDEX('[1]3_Calculations'!C$14:C$24,MATCH($C42,'[1]3_Calculations'!$B$14:$B$24,0))/100</f>
        <v>0.77900210903003531</v>
      </c>
      <c r="O42" s="82">
        <f>INDEX('[1]3_Calculations'!D$14:D$24,MATCH($C42,'[1]3_Calculations'!$B$14:$B$24,0))/100</f>
        <v>0.74806241472655133</v>
      </c>
      <c r="P42" s="82">
        <f>INDEX('[1]3_Calculations'!E$14:E$24,MATCH($C42,'[1]3_Calculations'!$B$14:$B$24,0))/100</f>
        <v>0.72919850367004901</v>
      </c>
      <c r="Q42" s="82">
        <f>INDEX('[1]3_Calculations'!F$14:F$24,MATCH($C42,'[1]3_Calculations'!$B$14:$B$24,0))/100</f>
        <v>0.70524239939621525</v>
      </c>
      <c r="R42" s="82">
        <f>INDEX('[1]3_Calculations'!G$14:G$24,MATCH($C42,'[1]3_Calculations'!$B$14:$B$24,0))/100</f>
        <v>0.54832228927393689</v>
      </c>
    </row>
    <row r="43" spans="1:18" ht="16" x14ac:dyDescent="0.2">
      <c r="A43" s="73">
        <v>40</v>
      </c>
      <c r="B43" s="73" t="s">
        <v>866</v>
      </c>
      <c r="C43" s="73" t="s">
        <v>809</v>
      </c>
      <c r="D43" s="432">
        <f>INDEX('[1]3_Calculations'!C$30:C$40,MATCH($C43,'[1]3_Calculations'!$B$30:$B$40,0))</f>
        <v>0.95129468567931419</v>
      </c>
      <c r="E43" s="432">
        <f>INDEX('[1]3_Calculations'!D$30:D$40,MATCH($C43,'[1]3_Calculations'!$B$30:$B$40,0))</f>
        <v>0.94450154875812042</v>
      </c>
      <c r="F43" s="432">
        <f>INDEX('[1]3_Calculations'!E$30:E$40,MATCH($C43,'[1]3_Calculations'!$B$30:$B$40,0))</f>
        <v>0.94847198001193356</v>
      </c>
      <c r="G43" s="432">
        <f>INDEX('[1]3_Calculations'!F$30:F$40,MATCH($C43,'[1]3_Calculations'!$B$30:$B$40,0))</f>
        <v>0.95865370801439898</v>
      </c>
      <c r="H43" s="432">
        <f>INDEX('[1]3_Calculations'!G$30:G$40,MATCH($C43,'[1]3_Calculations'!$B$30:$B$40,0))</f>
        <v>0.98817746268613571</v>
      </c>
      <c r="I43" s="433">
        <f>'[1]3_Calculations'!C$9*D43/'[1]3_Calculations'!C$45</f>
        <v>0.6775081609565401</v>
      </c>
      <c r="J43" s="433">
        <f>'[1]3_Calculations'!D$9*E43/'[1]3_Calculations'!D$45</f>
        <v>0.63614247191993023</v>
      </c>
      <c r="K43" s="433">
        <f>'[1]3_Calculations'!E$9*F43/'[1]3_Calculations'!E$45</f>
        <v>0.6105765126285696</v>
      </c>
      <c r="L43" s="433">
        <f>'[1]3_Calculations'!F$9*G43/'[1]3_Calculations'!F$45</f>
        <v>0.57373016148707834</v>
      </c>
      <c r="M43" s="433">
        <f>'[1]3_Calculations'!G$9*H43/'[1]3_Calculations'!G$45</f>
        <v>0.43944580207643308</v>
      </c>
      <c r="N43" s="82">
        <f>INDEX('[1]3_Calculations'!C$14:C$24,MATCH($C43,'[1]3_Calculations'!$B$14:$B$24,0))/100</f>
        <v>0.77900210903003531</v>
      </c>
      <c r="O43" s="82">
        <f>INDEX('[1]3_Calculations'!D$14:D$24,MATCH($C43,'[1]3_Calculations'!$B$14:$B$24,0))/100</f>
        <v>0.74806241472655133</v>
      </c>
      <c r="P43" s="82">
        <f>INDEX('[1]3_Calculations'!E$14:E$24,MATCH($C43,'[1]3_Calculations'!$B$14:$B$24,0))/100</f>
        <v>0.72919850367004901</v>
      </c>
      <c r="Q43" s="82">
        <f>INDEX('[1]3_Calculations'!F$14:F$24,MATCH($C43,'[1]3_Calculations'!$B$14:$B$24,0))/100</f>
        <v>0.70524239939621525</v>
      </c>
      <c r="R43" s="82">
        <f>INDEX('[1]3_Calculations'!G$14:G$24,MATCH($C43,'[1]3_Calculations'!$B$14:$B$24,0))/100</f>
        <v>0.54832228927393689</v>
      </c>
    </row>
    <row r="44" spans="1:18" ht="16" x14ac:dyDescent="0.2">
      <c r="A44" s="73">
        <v>41</v>
      </c>
      <c r="B44" s="73" t="s">
        <v>867</v>
      </c>
      <c r="C44" s="73" t="s">
        <v>809</v>
      </c>
      <c r="D44" s="432">
        <f>INDEX('[1]3_Calculations'!C$30:C$40,MATCH($C44,'[1]3_Calculations'!$B$30:$B$40,0))</f>
        <v>0.95129468567931419</v>
      </c>
      <c r="E44" s="432">
        <f>INDEX('[1]3_Calculations'!D$30:D$40,MATCH($C44,'[1]3_Calculations'!$B$30:$B$40,0))</f>
        <v>0.94450154875812042</v>
      </c>
      <c r="F44" s="432">
        <f>INDEX('[1]3_Calculations'!E$30:E$40,MATCH($C44,'[1]3_Calculations'!$B$30:$B$40,0))</f>
        <v>0.94847198001193356</v>
      </c>
      <c r="G44" s="432">
        <f>INDEX('[1]3_Calculations'!F$30:F$40,MATCH($C44,'[1]3_Calculations'!$B$30:$B$40,0))</f>
        <v>0.95865370801439898</v>
      </c>
      <c r="H44" s="432">
        <f>INDEX('[1]3_Calculations'!G$30:G$40,MATCH($C44,'[1]3_Calculations'!$B$30:$B$40,0))</f>
        <v>0.98817746268613571</v>
      </c>
      <c r="I44" s="433">
        <f>'[1]3_Calculations'!C$9*D44/'[1]3_Calculations'!C$45</f>
        <v>0.6775081609565401</v>
      </c>
      <c r="J44" s="433">
        <f>'[1]3_Calculations'!D$9*E44/'[1]3_Calculations'!D$45</f>
        <v>0.63614247191993023</v>
      </c>
      <c r="K44" s="433">
        <f>'[1]3_Calculations'!E$9*F44/'[1]3_Calculations'!E$45</f>
        <v>0.6105765126285696</v>
      </c>
      <c r="L44" s="433">
        <f>'[1]3_Calculations'!F$9*G44/'[1]3_Calculations'!F$45</f>
        <v>0.57373016148707834</v>
      </c>
      <c r="M44" s="433">
        <f>'[1]3_Calculations'!G$9*H44/'[1]3_Calculations'!G$45</f>
        <v>0.43944580207643308</v>
      </c>
      <c r="N44" s="82">
        <f>INDEX('[1]3_Calculations'!C$14:C$24,MATCH($C44,'[1]3_Calculations'!$B$14:$B$24,0))/100</f>
        <v>0.77900210903003531</v>
      </c>
      <c r="O44" s="82">
        <f>INDEX('[1]3_Calculations'!D$14:D$24,MATCH($C44,'[1]3_Calculations'!$B$14:$B$24,0))/100</f>
        <v>0.74806241472655133</v>
      </c>
      <c r="P44" s="82">
        <f>INDEX('[1]3_Calculations'!E$14:E$24,MATCH($C44,'[1]3_Calculations'!$B$14:$B$24,0))/100</f>
        <v>0.72919850367004901</v>
      </c>
      <c r="Q44" s="82">
        <f>INDEX('[1]3_Calculations'!F$14:F$24,MATCH($C44,'[1]3_Calculations'!$B$14:$B$24,0))/100</f>
        <v>0.70524239939621525</v>
      </c>
      <c r="R44" s="82">
        <f>INDEX('[1]3_Calculations'!G$14:G$24,MATCH($C44,'[1]3_Calculations'!$B$14:$B$24,0))/100</f>
        <v>0.54832228927393689</v>
      </c>
    </row>
    <row r="45" spans="1:18" ht="16" x14ac:dyDescent="0.2">
      <c r="A45" s="73">
        <v>42</v>
      </c>
      <c r="B45" s="73" t="s">
        <v>868</v>
      </c>
      <c r="C45" s="73" t="s">
        <v>809</v>
      </c>
      <c r="D45" s="432">
        <f>INDEX('[1]3_Calculations'!C$30:C$40,MATCH($C45,'[1]3_Calculations'!$B$30:$B$40,0))</f>
        <v>0.95129468567931419</v>
      </c>
      <c r="E45" s="432">
        <f>INDEX('[1]3_Calculations'!D$30:D$40,MATCH($C45,'[1]3_Calculations'!$B$30:$B$40,0))</f>
        <v>0.94450154875812042</v>
      </c>
      <c r="F45" s="432">
        <f>INDEX('[1]3_Calculations'!E$30:E$40,MATCH($C45,'[1]3_Calculations'!$B$30:$B$40,0))</f>
        <v>0.94847198001193356</v>
      </c>
      <c r="G45" s="432">
        <f>INDEX('[1]3_Calculations'!F$30:F$40,MATCH($C45,'[1]3_Calculations'!$B$30:$B$40,0))</f>
        <v>0.95865370801439898</v>
      </c>
      <c r="H45" s="432">
        <f>INDEX('[1]3_Calculations'!G$30:G$40,MATCH($C45,'[1]3_Calculations'!$B$30:$B$40,0))</f>
        <v>0.98817746268613571</v>
      </c>
      <c r="I45" s="433">
        <f>'[1]3_Calculations'!C$9*D45/'[1]3_Calculations'!C$45</f>
        <v>0.6775081609565401</v>
      </c>
      <c r="J45" s="433">
        <f>'[1]3_Calculations'!D$9*E45/'[1]3_Calculations'!D$45</f>
        <v>0.63614247191993023</v>
      </c>
      <c r="K45" s="433">
        <f>'[1]3_Calculations'!E$9*F45/'[1]3_Calculations'!E$45</f>
        <v>0.6105765126285696</v>
      </c>
      <c r="L45" s="433">
        <f>'[1]3_Calculations'!F$9*G45/'[1]3_Calculations'!F$45</f>
        <v>0.57373016148707834</v>
      </c>
      <c r="M45" s="433">
        <f>'[1]3_Calculations'!G$9*H45/'[1]3_Calculations'!G$45</f>
        <v>0.43944580207643308</v>
      </c>
      <c r="N45" s="82">
        <f>INDEX('[1]3_Calculations'!C$14:C$24,MATCH($C45,'[1]3_Calculations'!$B$14:$B$24,0))/100</f>
        <v>0.77900210903003531</v>
      </c>
      <c r="O45" s="82">
        <f>INDEX('[1]3_Calculations'!D$14:D$24,MATCH($C45,'[1]3_Calculations'!$B$14:$B$24,0))/100</f>
        <v>0.74806241472655133</v>
      </c>
      <c r="P45" s="82">
        <f>INDEX('[1]3_Calculations'!E$14:E$24,MATCH($C45,'[1]3_Calculations'!$B$14:$B$24,0))/100</f>
        <v>0.72919850367004901</v>
      </c>
      <c r="Q45" s="82">
        <f>INDEX('[1]3_Calculations'!F$14:F$24,MATCH($C45,'[1]3_Calculations'!$B$14:$B$24,0))/100</f>
        <v>0.70524239939621525</v>
      </c>
      <c r="R45" s="82">
        <f>INDEX('[1]3_Calculations'!G$14:G$24,MATCH($C45,'[1]3_Calculations'!$B$14:$B$24,0))/100</f>
        <v>0.54832228927393689</v>
      </c>
    </row>
    <row r="46" spans="1:18" ht="16" x14ac:dyDescent="0.2">
      <c r="A46" s="73">
        <v>43</v>
      </c>
      <c r="B46" s="73" t="s">
        <v>147</v>
      </c>
      <c r="C46" s="73" t="s">
        <v>1003</v>
      </c>
      <c r="D46" s="432">
        <f>INDEX('[1]3_Calculations'!C$30:C$40,MATCH($C46,'[1]3_Calculations'!$B$30:$B$40,0))</f>
        <v>1.0442341746324169</v>
      </c>
      <c r="E46" s="432">
        <f>INDEX('[1]3_Calculations'!D$30:D$40,MATCH($C46,'[1]3_Calculations'!$B$30:$B$40,0))</f>
        <v>1.0525194502930282</v>
      </c>
      <c r="F46" s="432">
        <f>INDEX('[1]3_Calculations'!E$30:E$40,MATCH($C46,'[1]3_Calculations'!$B$30:$B$40,0))</f>
        <v>1.060140956197327</v>
      </c>
      <c r="G46" s="432">
        <f>INDEX('[1]3_Calculations'!F$30:F$40,MATCH($C46,'[1]3_Calculations'!$B$30:$B$40,0))</f>
        <v>1.071865023667079</v>
      </c>
      <c r="H46" s="432">
        <f>INDEX('[1]3_Calculations'!G$30:G$40,MATCH($C46,'[1]3_Calculations'!$B$30:$B$40,0))</f>
        <v>1.1604367292800135</v>
      </c>
      <c r="I46" s="433">
        <f>'[1]3_Calculations'!C$9*D46/'[1]3_Calculations'!C$45</f>
        <v>0.74369928258137363</v>
      </c>
      <c r="J46" s="433">
        <f>'[1]3_Calculations'!D$9*E46/'[1]3_Calculations'!D$45</f>
        <v>0.70889489353784041</v>
      </c>
      <c r="K46" s="433">
        <f>'[1]3_Calculations'!E$9*F46/'[1]3_Calculations'!E$45</f>
        <v>0.68246314237088679</v>
      </c>
      <c r="L46" s="433">
        <f>'[1]3_Calculations'!F$9*G46/'[1]3_Calculations'!F$45</f>
        <v>0.64148428987417805</v>
      </c>
      <c r="M46" s="433">
        <f>'[1]3_Calculations'!G$9*H46/'[1]3_Calculations'!G$45</f>
        <v>0.5160500704713783</v>
      </c>
      <c r="N46" s="82">
        <f>INDEX('[1]3_Calculations'!C$14:C$24,MATCH($C46,'[1]3_Calculations'!$B$14:$B$24,0))/100</f>
        <v>0.85510897580490863</v>
      </c>
      <c r="O46" s="82">
        <f>INDEX('[1]3_Calculations'!D$14:D$24,MATCH($C46,'[1]3_Calculations'!$B$14:$B$24,0))/100</f>
        <v>0.83361455846008292</v>
      </c>
      <c r="P46" s="82">
        <f>INDEX('[1]3_Calculations'!E$14:E$24,MATCH($C46,'[1]3_Calculations'!$B$14:$B$24,0))/100</f>
        <v>0.81505117202165456</v>
      </c>
      <c r="Q46" s="82">
        <f>INDEX('[1]3_Calculations'!F$14:F$24,MATCH($C46,'[1]3_Calculations'!$B$14:$B$24,0))/100</f>
        <v>0.7885273428770776</v>
      </c>
      <c r="R46" s="82">
        <f>INDEX('[1]3_Calculations'!G$14:G$24,MATCH($C46,'[1]3_Calculations'!$B$14:$B$24,0))/100</f>
        <v>0.64390592579065509</v>
      </c>
    </row>
    <row r="47" spans="1:18" ht="16" x14ac:dyDescent="0.2">
      <c r="A47" s="73">
        <v>44</v>
      </c>
      <c r="B47" s="73" t="s">
        <v>869</v>
      </c>
      <c r="C47" s="73" t="s">
        <v>809</v>
      </c>
      <c r="D47" s="432">
        <f>INDEX('[1]3_Calculations'!C$30:C$40,MATCH($C47,'[1]3_Calculations'!$B$30:$B$40,0))</f>
        <v>0.95129468567931419</v>
      </c>
      <c r="E47" s="432">
        <f>INDEX('[1]3_Calculations'!D$30:D$40,MATCH($C47,'[1]3_Calculations'!$B$30:$B$40,0))</f>
        <v>0.94450154875812042</v>
      </c>
      <c r="F47" s="432">
        <f>INDEX('[1]3_Calculations'!E$30:E$40,MATCH($C47,'[1]3_Calculations'!$B$30:$B$40,0))</f>
        <v>0.94847198001193356</v>
      </c>
      <c r="G47" s="432">
        <f>INDEX('[1]3_Calculations'!F$30:F$40,MATCH($C47,'[1]3_Calculations'!$B$30:$B$40,0))</f>
        <v>0.95865370801439898</v>
      </c>
      <c r="H47" s="432">
        <f>INDEX('[1]3_Calculations'!G$30:G$40,MATCH($C47,'[1]3_Calculations'!$B$30:$B$40,0))</f>
        <v>0.98817746268613571</v>
      </c>
      <c r="I47" s="433">
        <f>'[1]3_Calculations'!C$9*D47/'[1]3_Calculations'!C$45</f>
        <v>0.6775081609565401</v>
      </c>
      <c r="J47" s="433">
        <f>'[1]3_Calculations'!D$9*E47/'[1]3_Calculations'!D$45</f>
        <v>0.63614247191993023</v>
      </c>
      <c r="K47" s="433">
        <f>'[1]3_Calculations'!E$9*F47/'[1]3_Calculations'!E$45</f>
        <v>0.6105765126285696</v>
      </c>
      <c r="L47" s="433">
        <f>'[1]3_Calculations'!F$9*G47/'[1]3_Calculations'!F$45</f>
        <v>0.57373016148707834</v>
      </c>
      <c r="M47" s="433">
        <f>'[1]3_Calculations'!G$9*H47/'[1]3_Calculations'!G$45</f>
        <v>0.43944580207643308</v>
      </c>
      <c r="N47" s="82">
        <f>INDEX('[1]3_Calculations'!C$14:C$24,MATCH($C47,'[1]3_Calculations'!$B$14:$B$24,0))/100</f>
        <v>0.77900210903003531</v>
      </c>
      <c r="O47" s="82">
        <f>INDEX('[1]3_Calculations'!D$14:D$24,MATCH($C47,'[1]3_Calculations'!$B$14:$B$24,0))/100</f>
        <v>0.74806241472655133</v>
      </c>
      <c r="P47" s="82">
        <f>INDEX('[1]3_Calculations'!E$14:E$24,MATCH($C47,'[1]3_Calculations'!$B$14:$B$24,0))/100</f>
        <v>0.72919850367004901</v>
      </c>
      <c r="Q47" s="82">
        <f>INDEX('[1]3_Calculations'!F$14:F$24,MATCH($C47,'[1]3_Calculations'!$B$14:$B$24,0))/100</f>
        <v>0.70524239939621525</v>
      </c>
      <c r="R47" s="82">
        <f>INDEX('[1]3_Calculations'!G$14:G$24,MATCH($C47,'[1]3_Calculations'!$B$14:$B$24,0))/100</f>
        <v>0.54832228927393689</v>
      </c>
    </row>
    <row r="48" spans="1:18" ht="16" x14ac:dyDescent="0.2">
      <c r="A48" s="73">
        <v>45</v>
      </c>
      <c r="B48" s="73" t="s">
        <v>712</v>
      </c>
      <c r="C48" s="73" t="s">
        <v>809</v>
      </c>
      <c r="D48" s="432">
        <f>INDEX('[1]3_Calculations'!C$30:C$40,MATCH($C48,'[1]3_Calculations'!$B$30:$B$40,0))</f>
        <v>0.95129468567931419</v>
      </c>
      <c r="E48" s="432">
        <f>INDEX('[1]3_Calculations'!D$30:D$40,MATCH($C48,'[1]3_Calculations'!$B$30:$B$40,0))</f>
        <v>0.94450154875812042</v>
      </c>
      <c r="F48" s="432">
        <f>INDEX('[1]3_Calculations'!E$30:E$40,MATCH($C48,'[1]3_Calculations'!$B$30:$B$40,0))</f>
        <v>0.94847198001193356</v>
      </c>
      <c r="G48" s="432">
        <f>INDEX('[1]3_Calculations'!F$30:F$40,MATCH($C48,'[1]3_Calculations'!$B$30:$B$40,0))</f>
        <v>0.95865370801439898</v>
      </c>
      <c r="H48" s="432">
        <f>INDEX('[1]3_Calculations'!G$30:G$40,MATCH($C48,'[1]3_Calculations'!$B$30:$B$40,0))</f>
        <v>0.98817746268613571</v>
      </c>
      <c r="I48" s="433">
        <f>'[1]3_Calculations'!C$9*D48/'[1]3_Calculations'!C$45</f>
        <v>0.6775081609565401</v>
      </c>
      <c r="J48" s="433">
        <f>'[1]3_Calculations'!D$9*E48/'[1]3_Calculations'!D$45</f>
        <v>0.63614247191993023</v>
      </c>
      <c r="K48" s="433">
        <f>'[1]3_Calculations'!E$9*F48/'[1]3_Calculations'!E$45</f>
        <v>0.6105765126285696</v>
      </c>
      <c r="L48" s="433">
        <f>'[1]3_Calculations'!F$9*G48/'[1]3_Calculations'!F$45</f>
        <v>0.57373016148707834</v>
      </c>
      <c r="M48" s="433">
        <f>'[1]3_Calculations'!G$9*H48/'[1]3_Calculations'!G$45</f>
        <v>0.43944580207643308</v>
      </c>
      <c r="N48" s="82">
        <f>INDEX('[1]3_Calculations'!C$14:C$24,MATCH($C48,'[1]3_Calculations'!$B$14:$B$24,0))/100</f>
        <v>0.77900210903003531</v>
      </c>
      <c r="O48" s="82">
        <f>INDEX('[1]3_Calculations'!D$14:D$24,MATCH($C48,'[1]3_Calculations'!$B$14:$B$24,0))/100</f>
        <v>0.74806241472655133</v>
      </c>
      <c r="P48" s="82">
        <f>INDEX('[1]3_Calculations'!E$14:E$24,MATCH($C48,'[1]3_Calculations'!$B$14:$B$24,0))/100</f>
        <v>0.72919850367004901</v>
      </c>
      <c r="Q48" s="82">
        <f>INDEX('[1]3_Calculations'!F$14:F$24,MATCH($C48,'[1]3_Calculations'!$B$14:$B$24,0))/100</f>
        <v>0.70524239939621525</v>
      </c>
      <c r="R48" s="82">
        <f>INDEX('[1]3_Calculations'!G$14:G$24,MATCH($C48,'[1]3_Calculations'!$B$14:$B$24,0))/100</f>
        <v>0.54832228927393689</v>
      </c>
    </row>
    <row r="49" spans="1:18" ht="16" x14ac:dyDescent="0.2">
      <c r="A49" s="73">
        <v>46</v>
      </c>
      <c r="B49" s="73" t="s">
        <v>871</v>
      </c>
      <c r="C49" s="73" t="s">
        <v>809</v>
      </c>
      <c r="D49" s="432">
        <f>INDEX('[1]3_Calculations'!C$30:C$40,MATCH($C49,'[1]3_Calculations'!$B$30:$B$40,0))</f>
        <v>0.95129468567931419</v>
      </c>
      <c r="E49" s="432">
        <f>INDEX('[1]3_Calculations'!D$30:D$40,MATCH($C49,'[1]3_Calculations'!$B$30:$B$40,0))</f>
        <v>0.94450154875812042</v>
      </c>
      <c r="F49" s="432">
        <f>INDEX('[1]3_Calculations'!E$30:E$40,MATCH($C49,'[1]3_Calculations'!$B$30:$B$40,0))</f>
        <v>0.94847198001193356</v>
      </c>
      <c r="G49" s="432">
        <f>INDEX('[1]3_Calculations'!F$30:F$40,MATCH($C49,'[1]3_Calculations'!$B$30:$B$40,0))</f>
        <v>0.95865370801439898</v>
      </c>
      <c r="H49" s="432">
        <f>INDEX('[1]3_Calculations'!G$30:G$40,MATCH($C49,'[1]3_Calculations'!$B$30:$B$40,0))</f>
        <v>0.98817746268613571</v>
      </c>
      <c r="I49" s="433">
        <f>'[1]3_Calculations'!C$9*D49/'[1]3_Calculations'!C$45</f>
        <v>0.6775081609565401</v>
      </c>
      <c r="J49" s="433">
        <f>'[1]3_Calculations'!D$9*E49/'[1]3_Calculations'!D$45</f>
        <v>0.63614247191993023</v>
      </c>
      <c r="K49" s="433">
        <f>'[1]3_Calculations'!E$9*F49/'[1]3_Calculations'!E$45</f>
        <v>0.6105765126285696</v>
      </c>
      <c r="L49" s="433">
        <f>'[1]3_Calculations'!F$9*G49/'[1]3_Calculations'!F$45</f>
        <v>0.57373016148707834</v>
      </c>
      <c r="M49" s="433">
        <f>'[1]3_Calculations'!G$9*H49/'[1]3_Calculations'!G$45</f>
        <v>0.43944580207643308</v>
      </c>
      <c r="N49" s="82">
        <f>INDEX('[1]3_Calculations'!C$14:C$24,MATCH($C49,'[1]3_Calculations'!$B$14:$B$24,0))/100</f>
        <v>0.77900210903003531</v>
      </c>
      <c r="O49" s="82">
        <f>INDEX('[1]3_Calculations'!D$14:D$24,MATCH($C49,'[1]3_Calculations'!$B$14:$B$24,0))/100</f>
        <v>0.74806241472655133</v>
      </c>
      <c r="P49" s="82">
        <f>INDEX('[1]3_Calculations'!E$14:E$24,MATCH($C49,'[1]3_Calculations'!$B$14:$B$24,0))/100</f>
        <v>0.72919850367004901</v>
      </c>
      <c r="Q49" s="82">
        <f>INDEX('[1]3_Calculations'!F$14:F$24,MATCH($C49,'[1]3_Calculations'!$B$14:$B$24,0))/100</f>
        <v>0.70524239939621525</v>
      </c>
      <c r="R49" s="82">
        <f>INDEX('[1]3_Calculations'!G$14:G$24,MATCH($C49,'[1]3_Calculations'!$B$14:$B$24,0))/100</f>
        <v>0.54832228927393689</v>
      </c>
    </row>
    <row r="50" spans="1:18" ht="16" x14ac:dyDescent="0.2">
      <c r="A50" s="73">
        <v>47</v>
      </c>
      <c r="B50" s="73" t="s">
        <v>872</v>
      </c>
      <c r="C50" s="73" t="s">
        <v>809</v>
      </c>
      <c r="D50" s="432">
        <f>INDEX('[1]3_Calculations'!C$30:C$40,MATCH($C50,'[1]3_Calculations'!$B$30:$B$40,0))</f>
        <v>0.95129468567931419</v>
      </c>
      <c r="E50" s="432">
        <f>INDEX('[1]3_Calculations'!D$30:D$40,MATCH($C50,'[1]3_Calculations'!$B$30:$B$40,0))</f>
        <v>0.94450154875812042</v>
      </c>
      <c r="F50" s="432">
        <f>INDEX('[1]3_Calculations'!E$30:E$40,MATCH($C50,'[1]3_Calculations'!$B$30:$B$40,0))</f>
        <v>0.94847198001193356</v>
      </c>
      <c r="G50" s="432">
        <f>INDEX('[1]3_Calculations'!F$30:F$40,MATCH($C50,'[1]3_Calculations'!$B$30:$B$40,0))</f>
        <v>0.95865370801439898</v>
      </c>
      <c r="H50" s="432">
        <f>INDEX('[1]3_Calculations'!G$30:G$40,MATCH($C50,'[1]3_Calculations'!$B$30:$B$40,0))</f>
        <v>0.98817746268613571</v>
      </c>
      <c r="I50" s="433">
        <f>'[1]3_Calculations'!C$9*D50/'[1]3_Calculations'!C$45</f>
        <v>0.6775081609565401</v>
      </c>
      <c r="J50" s="433">
        <f>'[1]3_Calculations'!D$9*E50/'[1]3_Calculations'!D$45</f>
        <v>0.63614247191993023</v>
      </c>
      <c r="K50" s="433">
        <f>'[1]3_Calculations'!E$9*F50/'[1]3_Calculations'!E$45</f>
        <v>0.6105765126285696</v>
      </c>
      <c r="L50" s="433">
        <f>'[1]3_Calculations'!F$9*G50/'[1]3_Calculations'!F$45</f>
        <v>0.57373016148707834</v>
      </c>
      <c r="M50" s="433">
        <f>'[1]3_Calculations'!G$9*H50/'[1]3_Calculations'!G$45</f>
        <v>0.43944580207643308</v>
      </c>
      <c r="N50" s="82">
        <f>INDEX('[1]3_Calculations'!C$14:C$24,MATCH($C50,'[1]3_Calculations'!$B$14:$B$24,0))/100</f>
        <v>0.77900210903003531</v>
      </c>
      <c r="O50" s="82">
        <f>INDEX('[1]3_Calculations'!D$14:D$24,MATCH($C50,'[1]3_Calculations'!$B$14:$B$24,0))/100</f>
        <v>0.74806241472655133</v>
      </c>
      <c r="P50" s="82">
        <f>INDEX('[1]3_Calculations'!E$14:E$24,MATCH($C50,'[1]3_Calculations'!$B$14:$B$24,0))/100</f>
        <v>0.72919850367004901</v>
      </c>
      <c r="Q50" s="82">
        <f>INDEX('[1]3_Calculations'!F$14:F$24,MATCH($C50,'[1]3_Calculations'!$B$14:$B$24,0))/100</f>
        <v>0.70524239939621525</v>
      </c>
      <c r="R50" s="82">
        <f>INDEX('[1]3_Calculations'!G$14:G$24,MATCH($C50,'[1]3_Calculations'!$B$14:$B$24,0))/100</f>
        <v>0.54832228927393689</v>
      </c>
    </row>
    <row r="51" spans="1:18" ht="16" x14ac:dyDescent="0.2">
      <c r="A51" s="73">
        <v>48</v>
      </c>
      <c r="B51" s="73" t="s">
        <v>873</v>
      </c>
      <c r="C51" s="73" t="s">
        <v>809</v>
      </c>
      <c r="D51" s="432">
        <f>INDEX('[1]3_Calculations'!C$30:C$40,MATCH($C51,'[1]3_Calculations'!$B$30:$B$40,0))</f>
        <v>0.95129468567931419</v>
      </c>
      <c r="E51" s="432">
        <f>INDEX('[1]3_Calculations'!D$30:D$40,MATCH($C51,'[1]3_Calculations'!$B$30:$B$40,0))</f>
        <v>0.94450154875812042</v>
      </c>
      <c r="F51" s="432">
        <f>INDEX('[1]3_Calculations'!E$30:E$40,MATCH($C51,'[1]3_Calculations'!$B$30:$B$40,0))</f>
        <v>0.94847198001193356</v>
      </c>
      <c r="G51" s="432">
        <f>INDEX('[1]3_Calculations'!F$30:F$40,MATCH($C51,'[1]3_Calculations'!$B$30:$B$40,0))</f>
        <v>0.95865370801439898</v>
      </c>
      <c r="H51" s="432">
        <f>INDEX('[1]3_Calculations'!G$30:G$40,MATCH($C51,'[1]3_Calculations'!$B$30:$B$40,0))</f>
        <v>0.98817746268613571</v>
      </c>
      <c r="I51" s="433">
        <f>'[1]3_Calculations'!C$9*D51/'[1]3_Calculations'!C$45</f>
        <v>0.6775081609565401</v>
      </c>
      <c r="J51" s="433">
        <f>'[1]3_Calculations'!D$9*E51/'[1]3_Calculations'!D$45</f>
        <v>0.63614247191993023</v>
      </c>
      <c r="K51" s="433">
        <f>'[1]3_Calculations'!E$9*F51/'[1]3_Calculations'!E$45</f>
        <v>0.6105765126285696</v>
      </c>
      <c r="L51" s="433">
        <f>'[1]3_Calculations'!F$9*G51/'[1]3_Calculations'!F$45</f>
        <v>0.57373016148707834</v>
      </c>
      <c r="M51" s="433">
        <f>'[1]3_Calculations'!G$9*H51/'[1]3_Calculations'!G$45</f>
        <v>0.43944580207643308</v>
      </c>
      <c r="N51" s="82">
        <f>INDEX('[1]3_Calculations'!C$14:C$24,MATCH($C51,'[1]3_Calculations'!$B$14:$B$24,0))/100</f>
        <v>0.77900210903003531</v>
      </c>
      <c r="O51" s="82">
        <f>INDEX('[1]3_Calculations'!D$14:D$24,MATCH($C51,'[1]3_Calculations'!$B$14:$B$24,0))/100</f>
        <v>0.74806241472655133</v>
      </c>
      <c r="P51" s="82">
        <f>INDEX('[1]3_Calculations'!E$14:E$24,MATCH($C51,'[1]3_Calculations'!$B$14:$B$24,0))/100</f>
        <v>0.72919850367004901</v>
      </c>
      <c r="Q51" s="82">
        <f>INDEX('[1]3_Calculations'!F$14:F$24,MATCH($C51,'[1]3_Calculations'!$B$14:$B$24,0))/100</f>
        <v>0.70524239939621525</v>
      </c>
      <c r="R51" s="82">
        <f>INDEX('[1]3_Calculations'!G$14:G$24,MATCH($C51,'[1]3_Calculations'!$B$14:$B$24,0))/100</f>
        <v>0.54832228927393689</v>
      </c>
    </row>
    <row r="52" spans="1:18" ht="16" x14ac:dyDescent="0.2">
      <c r="A52" s="73">
        <v>49</v>
      </c>
      <c r="B52" s="73" t="s">
        <v>874</v>
      </c>
      <c r="C52" s="73" t="s">
        <v>809</v>
      </c>
      <c r="D52" s="432">
        <f>INDEX('[1]3_Calculations'!C$30:C$40,MATCH($C52,'[1]3_Calculations'!$B$30:$B$40,0))</f>
        <v>0.95129468567931419</v>
      </c>
      <c r="E52" s="432">
        <f>INDEX('[1]3_Calculations'!D$30:D$40,MATCH($C52,'[1]3_Calculations'!$B$30:$B$40,0))</f>
        <v>0.94450154875812042</v>
      </c>
      <c r="F52" s="432">
        <f>INDEX('[1]3_Calculations'!E$30:E$40,MATCH($C52,'[1]3_Calculations'!$B$30:$B$40,0))</f>
        <v>0.94847198001193356</v>
      </c>
      <c r="G52" s="432">
        <f>INDEX('[1]3_Calculations'!F$30:F$40,MATCH($C52,'[1]3_Calculations'!$B$30:$B$40,0))</f>
        <v>0.95865370801439898</v>
      </c>
      <c r="H52" s="432">
        <f>INDEX('[1]3_Calculations'!G$30:G$40,MATCH($C52,'[1]3_Calculations'!$B$30:$B$40,0))</f>
        <v>0.98817746268613571</v>
      </c>
      <c r="I52" s="433">
        <f>'[1]3_Calculations'!C$9*D52/'[1]3_Calculations'!C$45</f>
        <v>0.6775081609565401</v>
      </c>
      <c r="J52" s="433">
        <f>'[1]3_Calculations'!D$9*E52/'[1]3_Calculations'!D$45</f>
        <v>0.63614247191993023</v>
      </c>
      <c r="K52" s="433">
        <f>'[1]3_Calculations'!E$9*F52/'[1]3_Calculations'!E$45</f>
        <v>0.6105765126285696</v>
      </c>
      <c r="L52" s="433">
        <f>'[1]3_Calculations'!F$9*G52/'[1]3_Calculations'!F$45</f>
        <v>0.57373016148707834</v>
      </c>
      <c r="M52" s="433">
        <f>'[1]3_Calculations'!G$9*H52/'[1]3_Calculations'!G$45</f>
        <v>0.43944580207643308</v>
      </c>
      <c r="N52" s="82">
        <f>INDEX('[1]3_Calculations'!C$14:C$24,MATCH($C52,'[1]3_Calculations'!$B$14:$B$24,0))/100</f>
        <v>0.77900210903003531</v>
      </c>
      <c r="O52" s="82">
        <f>INDEX('[1]3_Calculations'!D$14:D$24,MATCH($C52,'[1]3_Calculations'!$B$14:$B$24,0))/100</f>
        <v>0.74806241472655133</v>
      </c>
      <c r="P52" s="82">
        <f>INDEX('[1]3_Calculations'!E$14:E$24,MATCH($C52,'[1]3_Calculations'!$B$14:$B$24,0))/100</f>
        <v>0.72919850367004901</v>
      </c>
      <c r="Q52" s="82">
        <f>INDEX('[1]3_Calculations'!F$14:F$24,MATCH($C52,'[1]3_Calculations'!$B$14:$B$24,0))/100</f>
        <v>0.70524239939621525</v>
      </c>
      <c r="R52" s="82">
        <f>INDEX('[1]3_Calculations'!G$14:G$24,MATCH($C52,'[1]3_Calculations'!$B$14:$B$24,0))/100</f>
        <v>0.54832228927393689</v>
      </c>
    </row>
    <row r="53" spans="1:18" ht="16" x14ac:dyDescent="0.2">
      <c r="A53" s="73">
        <v>50</v>
      </c>
      <c r="B53" s="73" t="s">
        <v>154</v>
      </c>
      <c r="C53" s="73" t="s">
        <v>809</v>
      </c>
      <c r="D53" s="432">
        <f>INDEX('[1]3_Calculations'!C$30:C$40,MATCH($C53,'[1]3_Calculations'!$B$30:$B$40,0))</f>
        <v>0.95129468567931419</v>
      </c>
      <c r="E53" s="432">
        <f>INDEX('[1]3_Calculations'!D$30:D$40,MATCH($C53,'[1]3_Calculations'!$B$30:$B$40,0))</f>
        <v>0.94450154875812042</v>
      </c>
      <c r="F53" s="432">
        <f>INDEX('[1]3_Calculations'!E$30:E$40,MATCH($C53,'[1]3_Calculations'!$B$30:$B$40,0))</f>
        <v>0.94847198001193356</v>
      </c>
      <c r="G53" s="432">
        <f>INDEX('[1]3_Calculations'!F$30:F$40,MATCH($C53,'[1]3_Calculations'!$B$30:$B$40,0))</f>
        <v>0.95865370801439898</v>
      </c>
      <c r="H53" s="432">
        <f>INDEX('[1]3_Calculations'!G$30:G$40,MATCH($C53,'[1]3_Calculations'!$B$30:$B$40,0))</f>
        <v>0.98817746268613571</v>
      </c>
      <c r="I53" s="433">
        <f>'[1]3_Calculations'!C$9*D53/'[1]3_Calculations'!C$45</f>
        <v>0.6775081609565401</v>
      </c>
      <c r="J53" s="433">
        <f>'[1]3_Calculations'!D$9*E53/'[1]3_Calculations'!D$45</f>
        <v>0.63614247191993023</v>
      </c>
      <c r="K53" s="433">
        <f>'[1]3_Calculations'!E$9*F53/'[1]3_Calculations'!E$45</f>
        <v>0.6105765126285696</v>
      </c>
      <c r="L53" s="433">
        <f>'[1]3_Calculations'!F$9*G53/'[1]3_Calculations'!F$45</f>
        <v>0.57373016148707834</v>
      </c>
      <c r="M53" s="433">
        <f>'[1]3_Calculations'!G$9*H53/'[1]3_Calculations'!G$45</f>
        <v>0.43944580207643308</v>
      </c>
      <c r="N53" s="82">
        <f>INDEX('[1]3_Calculations'!C$14:C$24,MATCH($C53,'[1]3_Calculations'!$B$14:$B$24,0))/100</f>
        <v>0.77900210903003531</v>
      </c>
      <c r="O53" s="82">
        <f>INDEX('[1]3_Calculations'!D$14:D$24,MATCH($C53,'[1]3_Calculations'!$B$14:$B$24,0))/100</f>
        <v>0.74806241472655133</v>
      </c>
      <c r="P53" s="82">
        <f>INDEX('[1]3_Calculations'!E$14:E$24,MATCH($C53,'[1]3_Calculations'!$B$14:$B$24,0))/100</f>
        <v>0.72919850367004901</v>
      </c>
      <c r="Q53" s="82">
        <f>INDEX('[1]3_Calculations'!F$14:F$24,MATCH($C53,'[1]3_Calculations'!$B$14:$B$24,0))/100</f>
        <v>0.70524239939621525</v>
      </c>
      <c r="R53" s="82">
        <f>INDEX('[1]3_Calculations'!G$14:G$24,MATCH($C53,'[1]3_Calculations'!$B$14:$B$24,0))/100</f>
        <v>0.54832228927393689</v>
      </c>
    </row>
    <row r="54" spans="1:18" ht="16" x14ac:dyDescent="0.2">
      <c r="A54" s="73">
        <v>51</v>
      </c>
      <c r="B54" s="73" t="s">
        <v>875</v>
      </c>
      <c r="C54" s="73" t="s">
        <v>809</v>
      </c>
      <c r="D54" s="432">
        <f>INDEX('[1]3_Calculations'!C$30:C$40,MATCH($C54,'[1]3_Calculations'!$B$30:$B$40,0))</f>
        <v>0.95129468567931419</v>
      </c>
      <c r="E54" s="432">
        <f>INDEX('[1]3_Calculations'!D$30:D$40,MATCH($C54,'[1]3_Calculations'!$B$30:$B$40,0))</f>
        <v>0.94450154875812042</v>
      </c>
      <c r="F54" s="432">
        <f>INDEX('[1]3_Calculations'!E$30:E$40,MATCH($C54,'[1]3_Calculations'!$B$30:$B$40,0))</f>
        <v>0.94847198001193356</v>
      </c>
      <c r="G54" s="432">
        <f>INDEX('[1]3_Calculations'!F$30:F$40,MATCH($C54,'[1]3_Calculations'!$B$30:$B$40,0))</f>
        <v>0.95865370801439898</v>
      </c>
      <c r="H54" s="432">
        <f>INDEX('[1]3_Calculations'!G$30:G$40,MATCH($C54,'[1]3_Calculations'!$B$30:$B$40,0))</f>
        <v>0.98817746268613571</v>
      </c>
      <c r="I54" s="433">
        <f>'[1]3_Calculations'!C$9*D54/'[1]3_Calculations'!C$45</f>
        <v>0.6775081609565401</v>
      </c>
      <c r="J54" s="433">
        <f>'[1]3_Calculations'!D$9*E54/'[1]3_Calculations'!D$45</f>
        <v>0.63614247191993023</v>
      </c>
      <c r="K54" s="433">
        <f>'[1]3_Calculations'!E$9*F54/'[1]3_Calculations'!E$45</f>
        <v>0.6105765126285696</v>
      </c>
      <c r="L54" s="433">
        <f>'[1]3_Calculations'!F$9*G54/'[1]3_Calculations'!F$45</f>
        <v>0.57373016148707834</v>
      </c>
      <c r="M54" s="433">
        <f>'[1]3_Calculations'!G$9*H54/'[1]3_Calculations'!G$45</f>
        <v>0.43944580207643308</v>
      </c>
      <c r="N54" s="82">
        <f>INDEX('[1]3_Calculations'!C$14:C$24,MATCH($C54,'[1]3_Calculations'!$B$14:$B$24,0))/100</f>
        <v>0.77900210903003531</v>
      </c>
      <c r="O54" s="82">
        <f>INDEX('[1]3_Calculations'!D$14:D$24,MATCH($C54,'[1]3_Calculations'!$B$14:$B$24,0))/100</f>
        <v>0.74806241472655133</v>
      </c>
      <c r="P54" s="82">
        <f>INDEX('[1]3_Calculations'!E$14:E$24,MATCH($C54,'[1]3_Calculations'!$B$14:$B$24,0))/100</f>
        <v>0.72919850367004901</v>
      </c>
      <c r="Q54" s="82">
        <f>INDEX('[1]3_Calculations'!F$14:F$24,MATCH($C54,'[1]3_Calculations'!$B$14:$B$24,0))/100</f>
        <v>0.70524239939621525</v>
      </c>
      <c r="R54" s="82">
        <f>INDEX('[1]3_Calculations'!G$14:G$24,MATCH($C54,'[1]3_Calculations'!$B$14:$B$24,0))/100</f>
        <v>0.54832228927393689</v>
      </c>
    </row>
    <row r="55" spans="1:18" ht="16" x14ac:dyDescent="0.2">
      <c r="A55" s="73">
        <v>52</v>
      </c>
      <c r="B55" s="73" t="s">
        <v>156</v>
      </c>
      <c r="C55" s="73" t="s">
        <v>809</v>
      </c>
      <c r="D55" s="432">
        <f>INDEX('[1]3_Calculations'!C$30:C$40,MATCH($C55,'[1]3_Calculations'!$B$30:$B$40,0))</f>
        <v>0.95129468567931419</v>
      </c>
      <c r="E55" s="432">
        <f>INDEX('[1]3_Calculations'!D$30:D$40,MATCH($C55,'[1]3_Calculations'!$B$30:$B$40,0))</f>
        <v>0.94450154875812042</v>
      </c>
      <c r="F55" s="432">
        <f>INDEX('[1]3_Calculations'!E$30:E$40,MATCH($C55,'[1]3_Calculations'!$B$30:$B$40,0))</f>
        <v>0.94847198001193356</v>
      </c>
      <c r="G55" s="432">
        <f>INDEX('[1]3_Calculations'!F$30:F$40,MATCH($C55,'[1]3_Calculations'!$B$30:$B$40,0))</f>
        <v>0.95865370801439898</v>
      </c>
      <c r="H55" s="432">
        <f>INDEX('[1]3_Calculations'!G$30:G$40,MATCH($C55,'[1]3_Calculations'!$B$30:$B$40,0))</f>
        <v>0.98817746268613571</v>
      </c>
      <c r="I55" s="433">
        <f>'[1]3_Calculations'!C$9*D55/'[1]3_Calculations'!C$45</f>
        <v>0.6775081609565401</v>
      </c>
      <c r="J55" s="433">
        <f>'[1]3_Calculations'!D$9*E55/'[1]3_Calculations'!D$45</f>
        <v>0.63614247191993023</v>
      </c>
      <c r="K55" s="433">
        <f>'[1]3_Calculations'!E$9*F55/'[1]3_Calculations'!E$45</f>
        <v>0.6105765126285696</v>
      </c>
      <c r="L55" s="433">
        <f>'[1]3_Calculations'!F$9*G55/'[1]3_Calculations'!F$45</f>
        <v>0.57373016148707834</v>
      </c>
      <c r="M55" s="433">
        <f>'[1]3_Calculations'!G$9*H55/'[1]3_Calculations'!G$45</f>
        <v>0.43944580207643308</v>
      </c>
      <c r="N55" s="82">
        <f>INDEX('[1]3_Calculations'!C$14:C$24,MATCH($C55,'[1]3_Calculations'!$B$14:$B$24,0))/100</f>
        <v>0.77900210903003531</v>
      </c>
      <c r="O55" s="82">
        <f>INDEX('[1]3_Calculations'!D$14:D$24,MATCH($C55,'[1]3_Calculations'!$B$14:$B$24,0))/100</f>
        <v>0.74806241472655133</v>
      </c>
      <c r="P55" s="82">
        <f>INDEX('[1]3_Calculations'!E$14:E$24,MATCH($C55,'[1]3_Calculations'!$B$14:$B$24,0))/100</f>
        <v>0.72919850367004901</v>
      </c>
      <c r="Q55" s="82">
        <f>INDEX('[1]3_Calculations'!F$14:F$24,MATCH($C55,'[1]3_Calculations'!$B$14:$B$24,0))/100</f>
        <v>0.70524239939621525</v>
      </c>
      <c r="R55" s="82">
        <f>INDEX('[1]3_Calculations'!G$14:G$24,MATCH($C55,'[1]3_Calculations'!$B$14:$B$24,0))/100</f>
        <v>0.54832228927393689</v>
      </c>
    </row>
    <row r="56" spans="1:18" ht="16" x14ac:dyDescent="0.2">
      <c r="A56" s="73">
        <v>53</v>
      </c>
      <c r="B56" s="73" t="s">
        <v>876</v>
      </c>
      <c r="C56" s="73" t="s">
        <v>809</v>
      </c>
      <c r="D56" s="432">
        <f>INDEX('[1]3_Calculations'!C$30:C$40,MATCH($C56,'[1]3_Calculations'!$B$30:$B$40,0))</f>
        <v>0.95129468567931419</v>
      </c>
      <c r="E56" s="432">
        <f>INDEX('[1]3_Calculations'!D$30:D$40,MATCH($C56,'[1]3_Calculations'!$B$30:$B$40,0))</f>
        <v>0.94450154875812042</v>
      </c>
      <c r="F56" s="432">
        <f>INDEX('[1]3_Calculations'!E$30:E$40,MATCH($C56,'[1]3_Calculations'!$B$30:$B$40,0))</f>
        <v>0.94847198001193356</v>
      </c>
      <c r="G56" s="432">
        <f>INDEX('[1]3_Calculations'!F$30:F$40,MATCH($C56,'[1]3_Calculations'!$B$30:$B$40,0))</f>
        <v>0.95865370801439898</v>
      </c>
      <c r="H56" s="432">
        <f>INDEX('[1]3_Calculations'!G$30:G$40,MATCH($C56,'[1]3_Calculations'!$B$30:$B$40,0))</f>
        <v>0.98817746268613571</v>
      </c>
      <c r="I56" s="433">
        <f>'[1]3_Calculations'!C$9*D56/'[1]3_Calculations'!C$45</f>
        <v>0.6775081609565401</v>
      </c>
      <c r="J56" s="433">
        <f>'[1]3_Calculations'!D$9*E56/'[1]3_Calculations'!D$45</f>
        <v>0.63614247191993023</v>
      </c>
      <c r="K56" s="433">
        <f>'[1]3_Calculations'!E$9*F56/'[1]3_Calculations'!E$45</f>
        <v>0.6105765126285696</v>
      </c>
      <c r="L56" s="433">
        <f>'[1]3_Calculations'!F$9*G56/'[1]3_Calculations'!F$45</f>
        <v>0.57373016148707834</v>
      </c>
      <c r="M56" s="433">
        <f>'[1]3_Calculations'!G$9*H56/'[1]3_Calculations'!G$45</f>
        <v>0.43944580207643308</v>
      </c>
      <c r="N56" s="82">
        <f>INDEX('[1]3_Calculations'!C$14:C$24,MATCH($C56,'[1]3_Calculations'!$B$14:$B$24,0))/100</f>
        <v>0.77900210903003531</v>
      </c>
      <c r="O56" s="82">
        <f>INDEX('[1]3_Calculations'!D$14:D$24,MATCH($C56,'[1]3_Calculations'!$B$14:$B$24,0))/100</f>
        <v>0.74806241472655133</v>
      </c>
      <c r="P56" s="82">
        <f>INDEX('[1]3_Calculations'!E$14:E$24,MATCH($C56,'[1]3_Calculations'!$B$14:$B$24,0))/100</f>
        <v>0.72919850367004901</v>
      </c>
      <c r="Q56" s="82">
        <f>INDEX('[1]3_Calculations'!F$14:F$24,MATCH($C56,'[1]3_Calculations'!$B$14:$B$24,0))/100</f>
        <v>0.70524239939621525</v>
      </c>
      <c r="R56" s="82">
        <f>INDEX('[1]3_Calculations'!G$14:G$24,MATCH($C56,'[1]3_Calculations'!$B$14:$B$24,0))/100</f>
        <v>0.54832228927393689</v>
      </c>
    </row>
    <row r="57" spans="1:18" ht="16" x14ac:dyDescent="0.2">
      <c r="A57" s="73">
        <v>54</v>
      </c>
      <c r="B57" s="73" t="s">
        <v>878</v>
      </c>
      <c r="C57" s="73" t="s">
        <v>809</v>
      </c>
      <c r="D57" s="432">
        <f>INDEX('[1]3_Calculations'!C$30:C$40,MATCH($C57,'[1]3_Calculations'!$B$30:$B$40,0))</f>
        <v>0.95129468567931419</v>
      </c>
      <c r="E57" s="432">
        <f>INDEX('[1]3_Calculations'!D$30:D$40,MATCH($C57,'[1]3_Calculations'!$B$30:$B$40,0))</f>
        <v>0.94450154875812042</v>
      </c>
      <c r="F57" s="432">
        <f>INDEX('[1]3_Calculations'!E$30:E$40,MATCH($C57,'[1]3_Calculations'!$B$30:$B$40,0))</f>
        <v>0.94847198001193356</v>
      </c>
      <c r="G57" s="432">
        <f>INDEX('[1]3_Calculations'!F$30:F$40,MATCH($C57,'[1]3_Calculations'!$B$30:$B$40,0))</f>
        <v>0.95865370801439898</v>
      </c>
      <c r="H57" s="432">
        <f>INDEX('[1]3_Calculations'!G$30:G$40,MATCH($C57,'[1]3_Calculations'!$B$30:$B$40,0))</f>
        <v>0.98817746268613571</v>
      </c>
      <c r="I57" s="433">
        <f>'[1]3_Calculations'!C$9*D57/'[1]3_Calculations'!C$45</f>
        <v>0.6775081609565401</v>
      </c>
      <c r="J57" s="433">
        <f>'[1]3_Calculations'!D$9*E57/'[1]3_Calculations'!D$45</f>
        <v>0.63614247191993023</v>
      </c>
      <c r="K57" s="433">
        <f>'[1]3_Calculations'!E$9*F57/'[1]3_Calculations'!E$45</f>
        <v>0.6105765126285696</v>
      </c>
      <c r="L57" s="433">
        <f>'[1]3_Calculations'!F$9*G57/'[1]3_Calculations'!F$45</f>
        <v>0.57373016148707834</v>
      </c>
      <c r="M57" s="433">
        <f>'[1]3_Calculations'!G$9*H57/'[1]3_Calculations'!G$45</f>
        <v>0.43944580207643308</v>
      </c>
      <c r="N57" s="82">
        <f>INDEX('[1]3_Calculations'!C$14:C$24,MATCH($C57,'[1]3_Calculations'!$B$14:$B$24,0))/100</f>
        <v>0.77900210903003531</v>
      </c>
      <c r="O57" s="82">
        <f>INDEX('[1]3_Calculations'!D$14:D$24,MATCH($C57,'[1]3_Calculations'!$B$14:$B$24,0))/100</f>
        <v>0.74806241472655133</v>
      </c>
      <c r="P57" s="82">
        <f>INDEX('[1]3_Calculations'!E$14:E$24,MATCH($C57,'[1]3_Calculations'!$B$14:$B$24,0))/100</f>
        <v>0.72919850367004901</v>
      </c>
      <c r="Q57" s="82">
        <f>INDEX('[1]3_Calculations'!F$14:F$24,MATCH($C57,'[1]3_Calculations'!$B$14:$B$24,0))/100</f>
        <v>0.70524239939621525</v>
      </c>
      <c r="R57" s="82">
        <f>INDEX('[1]3_Calculations'!G$14:G$24,MATCH($C57,'[1]3_Calculations'!$B$14:$B$24,0))/100</f>
        <v>0.54832228927393689</v>
      </c>
    </row>
    <row r="58" spans="1:18" ht="16" x14ac:dyDescent="0.2">
      <c r="A58" s="73">
        <v>55</v>
      </c>
      <c r="B58" s="73" t="s">
        <v>879</v>
      </c>
      <c r="C58" s="73" t="s">
        <v>809</v>
      </c>
      <c r="D58" s="432">
        <f>INDEX('[1]3_Calculations'!C$30:C$40,MATCH($C58,'[1]3_Calculations'!$B$30:$B$40,0))</f>
        <v>0.95129468567931419</v>
      </c>
      <c r="E58" s="432">
        <f>INDEX('[1]3_Calculations'!D$30:D$40,MATCH($C58,'[1]3_Calculations'!$B$30:$B$40,0))</f>
        <v>0.94450154875812042</v>
      </c>
      <c r="F58" s="432">
        <f>INDEX('[1]3_Calculations'!E$30:E$40,MATCH($C58,'[1]3_Calculations'!$B$30:$B$40,0))</f>
        <v>0.94847198001193356</v>
      </c>
      <c r="G58" s="432">
        <f>INDEX('[1]3_Calculations'!F$30:F$40,MATCH($C58,'[1]3_Calculations'!$B$30:$B$40,0))</f>
        <v>0.95865370801439898</v>
      </c>
      <c r="H58" s="432">
        <f>INDEX('[1]3_Calculations'!G$30:G$40,MATCH($C58,'[1]3_Calculations'!$B$30:$B$40,0))</f>
        <v>0.98817746268613571</v>
      </c>
      <c r="I58" s="433">
        <f>'[1]3_Calculations'!C$9*D58/'[1]3_Calculations'!C$45</f>
        <v>0.6775081609565401</v>
      </c>
      <c r="J58" s="433">
        <f>'[1]3_Calculations'!D$9*E58/'[1]3_Calculations'!D$45</f>
        <v>0.63614247191993023</v>
      </c>
      <c r="K58" s="433">
        <f>'[1]3_Calculations'!E$9*F58/'[1]3_Calculations'!E$45</f>
        <v>0.6105765126285696</v>
      </c>
      <c r="L58" s="433">
        <f>'[1]3_Calculations'!F$9*G58/'[1]3_Calculations'!F$45</f>
        <v>0.57373016148707834</v>
      </c>
      <c r="M58" s="433">
        <f>'[1]3_Calculations'!G$9*H58/'[1]3_Calculations'!G$45</f>
        <v>0.43944580207643308</v>
      </c>
      <c r="N58" s="82">
        <f>INDEX('[1]3_Calculations'!C$14:C$24,MATCH($C58,'[1]3_Calculations'!$B$14:$B$24,0))/100</f>
        <v>0.77900210903003531</v>
      </c>
      <c r="O58" s="82">
        <f>INDEX('[1]3_Calculations'!D$14:D$24,MATCH($C58,'[1]3_Calculations'!$B$14:$B$24,0))/100</f>
        <v>0.74806241472655133</v>
      </c>
      <c r="P58" s="82">
        <f>INDEX('[1]3_Calculations'!E$14:E$24,MATCH($C58,'[1]3_Calculations'!$B$14:$B$24,0))/100</f>
        <v>0.72919850367004901</v>
      </c>
      <c r="Q58" s="82">
        <f>INDEX('[1]3_Calculations'!F$14:F$24,MATCH($C58,'[1]3_Calculations'!$B$14:$B$24,0))/100</f>
        <v>0.70524239939621525</v>
      </c>
      <c r="R58" s="82">
        <f>INDEX('[1]3_Calculations'!G$14:G$24,MATCH($C58,'[1]3_Calculations'!$B$14:$B$24,0))/100</f>
        <v>0.54832228927393689</v>
      </c>
    </row>
    <row r="59" spans="1:18" ht="16" x14ac:dyDescent="0.2">
      <c r="A59" s="73">
        <v>56</v>
      </c>
      <c r="B59" s="73" t="s">
        <v>880</v>
      </c>
      <c r="C59" s="73" t="s">
        <v>809</v>
      </c>
      <c r="D59" s="432">
        <f>INDEX('[1]3_Calculations'!C$30:C$40,MATCH($C59,'[1]3_Calculations'!$B$30:$B$40,0))</f>
        <v>0.95129468567931419</v>
      </c>
      <c r="E59" s="432">
        <f>INDEX('[1]3_Calculations'!D$30:D$40,MATCH($C59,'[1]3_Calculations'!$B$30:$B$40,0))</f>
        <v>0.94450154875812042</v>
      </c>
      <c r="F59" s="432">
        <f>INDEX('[1]3_Calculations'!E$30:E$40,MATCH($C59,'[1]3_Calculations'!$B$30:$B$40,0))</f>
        <v>0.94847198001193356</v>
      </c>
      <c r="G59" s="432">
        <f>INDEX('[1]3_Calculations'!F$30:F$40,MATCH($C59,'[1]3_Calculations'!$B$30:$B$40,0))</f>
        <v>0.95865370801439898</v>
      </c>
      <c r="H59" s="432">
        <f>INDEX('[1]3_Calculations'!G$30:G$40,MATCH($C59,'[1]3_Calculations'!$B$30:$B$40,0))</f>
        <v>0.98817746268613571</v>
      </c>
      <c r="I59" s="433">
        <f>'[1]3_Calculations'!C$9*D59/'[1]3_Calculations'!C$45</f>
        <v>0.6775081609565401</v>
      </c>
      <c r="J59" s="433">
        <f>'[1]3_Calculations'!D$9*E59/'[1]3_Calculations'!D$45</f>
        <v>0.63614247191993023</v>
      </c>
      <c r="K59" s="433">
        <f>'[1]3_Calculations'!E$9*F59/'[1]3_Calculations'!E$45</f>
        <v>0.6105765126285696</v>
      </c>
      <c r="L59" s="433">
        <f>'[1]3_Calculations'!F$9*G59/'[1]3_Calculations'!F$45</f>
        <v>0.57373016148707834</v>
      </c>
      <c r="M59" s="433">
        <f>'[1]3_Calculations'!G$9*H59/'[1]3_Calculations'!G$45</f>
        <v>0.43944580207643308</v>
      </c>
      <c r="N59" s="82">
        <f>INDEX('[1]3_Calculations'!C$14:C$24,MATCH($C59,'[1]3_Calculations'!$B$14:$B$24,0))/100</f>
        <v>0.77900210903003531</v>
      </c>
      <c r="O59" s="82">
        <f>INDEX('[1]3_Calculations'!D$14:D$24,MATCH($C59,'[1]3_Calculations'!$B$14:$B$24,0))/100</f>
        <v>0.74806241472655133</v>
      </c>
      <c r="P59" s="82">
        <f>INDEX('[1]3_Calculations'!E$14:E$24,MATCH($C59,'[1]3_Calculations'!$B$14:$B$24,0))/100</f>
        <v>0.72919850367004901</v>
      </c>
      <c r="Q59" s="82">
        <f>INDEX('[1]3_Calculations'!F$14:F$24,MATCH($C59,'[1]3_Calculations'!$B$14:$B$24,0))/100</f>
        <v>0.70524239939621525</v>
      </c>
      <c r="R59" s="82">
        <f>INDEX('[1]3_Calculations'!G$14:G$24,MATCH($C59,'[1]3_Calculations'!$B$14:$B$24,0))/100</f>
        <v>0.54832228927393689</v>
      </c>
    </row>
    <row r="60" spans="1:18" ht="16" x14ac:dyDescent="0.2">
      <c r="A60" s="73">
        <v>57</v>
      </c>
      <c r="B60" s="73" t="s">
        <v>881</v>
      </c>
      <c r="C60" s="73" t="s">
        <v>806</v>
      </c>
      <c r="D60" s="432">
        <f>INDEX('[1]3_Calculations'!C$30:C$40,MATCH($C60,'[1]3_Calculations'!$B$30:$B$40,0))</f>
        <v>0.99999999999999967</v>
      </c>
      <c r="E60" s="432">
        <f>INDEX('[1]3_Calculations'!D$30:D$40,MATCH($C60,'[1]3_Calculations'!$B$30:$B$40,0))</f>
        <v>1</v>
      </c>
      <c r="F60" s="432">
        <f>INDEX('[1]3_Calculations'!E$30:E$40,MATCH($C60,'[1]3_Calculations'!$B$30:$B$40,0))</f>
        <v>0.99999999999999978</v>
      </c>
      <c r="G60" s="432">
        <f>INDEX('[1]3_Calculations'!F$30:F$40,MATCH($C60,'[1]3_Calculations'!$B$30:$B$40,0))</f>
        <v>1</v>
      </c>
      <c r="H60" s="432">
        <f>INDEX('[1]3_Calculations'!G$30:G$40,MATCH($C60,'[1]3_Calculations'!$B$30:$B$40,0))</f>
        <v>1</v>
      </c>
      <c r="I60" s="433">
        <f>'[1]3_Calculations'!C$9*D60/'[1]3_Calculations'!C$45</f>
        <v>0.71219588541350376</v>
      </c>
      <c r="J60" s="433">
        <f>'[1]3_Calculations'!D$9*E60/'[1]3_Calculations'!D$45</f>
        <v>0.67352189390939943</v>
      </c>
      <c r="K60" s="433">
        <f>'[1]3_Calculations'!E$9*F60/'[1]3_Calculations'!E$45</f>
        <v>0.64374754921161437</v>
      </c>
      <c r="L60" s="433">
        <f>'[1]3_Calculations'!F$9*G60/'[1]3_Calculations'!F$45</f>
        <v>0.59847487856215642</v>
      </c>
      <c r="M60" s="433">
        <f>'[1]3_Calculations'!G$9*H60/'[1]3_Calculations'!G$45</f>
        <v>0.44470332371464899</v>
      </c>
      <c r="N60" s="82">
        <f>INDEX('[1]3_Calculations'!C$14:C$24,MATCH($C60,'[1]3_Calculations'!$B$14:$B$24,0))/100</f>
        <v>0.81888621975613574</v>
      </c>
      <c r="O60" s="82">
        <f>INDEX('[1]3_Calculations'!D$14:D$24,MATCH($C60,'[1]3_Calculations'!$B$14:$B$24,0))/100</f>
        <v>0.79201819807510376</v>
      </c>
      <c r="P60" s="82">
        <f>INDEX('[1]3_Calculations'!E$14:E$24,MATCH($C60,'[1]3_Calculations'!$B$14:$B$24,0))/100</f>
        <v>0.76881396502706822</v>
      </c>
      <c r="Q60" s="82">
        <f>INDEX('[1]3_Calculations'!F$14:F$24,MATCH($C60,'[1]3_Calculations'!$B$14:$B$24,0))/100</f>
        <v>0.73565917859634722</v>
      </c>
      <c r="R60" s="82">
        <f>INDEX('[1]3_Calculations'!G$14:G$24,MATCH($C60,'[1]3_Calculations'!$B$14:$B$24,0))/100</f>
        <v>0.55488240723831872</v>
      </c>
    </row>
    <row r="61" spans="1:18" ht="16" x14ac:dyDescent="0.2">
      <c r="A61" s="73">
        <v>58</v>
      </c>
      <c r="B61" s="73" t="s">
        <v>352</v>
      </c>
      <c r="C61" s="73" t="s">
        <v>806</v>
      </c>
      <c r="D61" s="432">
        <f>INDEX('[1]3_Calculations'!C$30:C$40,MATCH($C61,'[1]3_Calculations'!$B$30:$B$40,0))</f>
        <v>0.99999999999999967</v>
      </c>
      <c r="E61" s="432">
        <f>INDEX('[1]3_Calculations'!D$30:D$40,MATCH($C61,'[1]3_Calculations'!$B$30:$B$40,0))</f>
        <v>1</v>
      </c>
      <c r="F61" s="432">
        <f>INDEX('[1]3_Calculations'!E$30:E$40,MATCH($C61,'[1]3_Calculations'!$B$30:$B$40,0))</f>
        <v>0.99999999999999978</v>
      </c>
      <c r="G61" s="432">
        <f>INDEX('[1]3_Calculations'!F$30:F$40,MATCH($C61,'[1]3_Calculations'!$B$30:$B$40,0))</f>
        <v>1</v>
      </c>
      <c r="H61" s="432">
        <f>INDEX('[1]3_Calculations'!G$30:G$40,MATCH($C61,'[1]3_Calculations'!$B$30:$B$40,0))</f>
        <v>1</v>
      </c>
      <c r="I61" s="433">
        <f>'[1]3_Calculations'!C$9*D61/'[1]3_Calculations'!C$45</f>
        <v>0.71219588541350376</v>
      </c>
      <c r="J61" s="433">
        <f>'[1]3_Calculations'!D$9*E61/'[1]3_Calculations'!D$45</f>
        <v>0.67352189390939943</v>
      </c>
      <c r="K61" s="433">
        <f>'[1]3_Calculations'!E$9*F61/'[1]3_Calculations'!E$45</f>
        <v>0.64374754921161437</v>
      </c>
      <c r="L61" s="433">
        <f>'[1]3_Calculations'!F$9*G61/'[1]3_Calculations'!F$45</f>
        <v>0.59847487856215642</v>
      </c>
      <c r="M61" s="433">
        <f>'[1]3_Calculations'!G$9*H61/'[1]3_Calculations'!G$45</f>
        <v>0.44470332371464899</v>
      </c>
      <c r="N61" s="82">
        <f>INDEX('[1]3_Calculations'!C$14:C$24,MATCH($C61,'[1]3_Calculations'!$B$14:$B$24,0))/100</f>
        <v>0.81888621975613574</v>
      </c>
      <c r="O61" s="82">
        <f>INDEX('[1]3_Calculations'!D$14:D$24,MATCH($C61,'[1]3_Calculations'!$B$14:$B$24,0))/100</f>
        <v>0.79201819807510376</v>
      </c>
      <c r="P61" s="82">
        <f>INDEX('[1]3_Calculations'!E$14:E$24,MATCH($C61,'[1]3_Calculations'!$B$14:$B$24,0))/100</f>
        <v>0.76881396502706822</v>
      </c>
      <c r="Q61" s="82">
        <f>INDEX('[1]3_Calculations'!F$14:F$24,MATCH($C61,'[1]3_Calculations'!$B$14:$B$24,0))/100</f>
        <v>0.73565917859634722</v>
      </c>
      <c r="R61" s="82">
        <f>INDEX('[1]3_Calculations'!G$14:G$24,MATCH($C61,'[1]3_Calculations'!$B$14:$B$24,0))/100</f>
        <v>0.55488240723831872</v>
      </c>
    </row>
    <row r="62" spans="1:18" ht="16" x14ac:dyDescent="0.2">
      <c r="A62" s="73">
        <v>59</v>
      </c>
      <c r="B62" s="73" t="s">
        <v>882</v>
      </c>
      <c r="C62" s="73" t="s">
        <v>806</v>
      </c>
      <c r="D62" s="432">
        <f>INDEX('[1]3_Calculations'!C$30:C$40,MATCH($C62,'[1]3_Calculations'!$B$30:$B$40,0))</f>
        <v>0.99999999999999967</v>
      </c>
      <c r="E62" s="432">
        <f>INDEX('[1]3_Calculations'!D$30:D$40,MATCH($C62,'[1]3_Calculations'!$B$30:$B$40,0))</f>
        <v>1</v>
      </c>
      <c r="F62" s="432">
        <f>INDEX('[1]3_Calculations'!E$30:E$40,MATCH($C62,'[1]3_Calculations'!$B$30:$B$40,0))</f>
        <v>0.99999999999999978</v>
      </c>
      <c r="G62" s="432">
        <f>INDEX('[1]3_Calculations'!F$30:F$40,MATCH($C62,'[1]3_Calculations'!$B$30:$B$40,0))</f>
        <v>1</v>
      </c>
      <c r="H62" s="432">
        <f>INDEX('[1]3_Calculations'!G$30:G$40,MATCH($C62,'[1]3_Calculations'!$B$30:$B$40,0))</f>
        <v>1</v>
      </c>
      <c r="I62" s="433">
        <f>'[1]3_Calculations'!C$9*D62/'[1]3_Calculations'!C$45</f>
        <v>0.71219588541350376</v>
      </c>
      <c r="J62" s="433">
        <f>'[1]3_Calculations'!D$9*E62/'[1]3_Calculations'!D$45</f>
        <v>0.67352189390939943</v>
      </c>
      <c r="K62" s="433">
        <f>'[1]3_Calculations'!E$9*F62/'[1]3_Calculations'!E$45</f>
        <v>0.64374754921161437</v>
      </c>
      <c r="L62" s="433">
        <f>'[1]3_Calculations'!F$9*G62/'[1]3_Calculations'!F$45</f>
        <v>0.59847487856215642</v>
      </c>
      <c r="M62" s="433">
        <f>'[1]3_Calculations'!G$9*H62/'[1]3_Calculations'!G$45</f>
        <v>0.44470332371464899</v>
      </c>
      <c r="N62" s="82">
        <f>INDEX('[1]3_Calculations'!C$14:C$24,MATCH($C62,'[1]3_Calculations'!$B$14:$B$24,0))/100</f>
        <v>0.81888621975613574</v>
      </c>
      <c r="O62" s="82">
        <f>INDEX('[1]3_Calculations'!D$14:D$24,MATCH($C62,'[1]3_Calculations'!$B$14:$B$24,0))/100</f>
        <v>0.79201819807510376</v>
      </c>
      <c r="P62" s="82">
        <f>INDEX('[1]3_Calculations'!E$14:E$24,MATCH($C62,'[1]3_Calculations'!$B$14:$B$24,0))/100</f>
        <v>0.76881396502706822</v>
      </c>
      <c r="Q62" s="82">
        <f>INDEX('[1]3_Calculations'!F$14:F$24,MATCH($C62,'[1]3_Calculations'!$B$14:$B$24,0))/100</f>
        <v>0.73565917859634722</v>
      </c>
      <c r="R62" s="82">
        <f>INDEX('[1]3_Calculations'!G$14:G$24,MATCH($C62,'[1]3_Calculations'!$B$14:$B$24,0))/100</f>
        <v>0.55488240723831872</v>
      </c>
    </row>
    <row r="63" spans="1:18" ht="16" x14ac:dyDescent="0.2">
      <c r="A63" s="73">
        <v>60</v>
      </c>
      <c r="B63" s="73" t="s">
        <v>883</v>
      </c>
      <c r="C63" s="73" t="s">
        <v>809</v>
      </c>
      <c r="D63" s="432">
        <f>INDEX('[1]3_Calculations'!C$30:C$40,MATCH($C63,'[1]3_Calculations'!$B$30:$B$40,0))</f>
        <v>0.95129468567931419</v>
      </c>
      <c r="E63" s="432">
        <f>INDEX('[1]3_Calculations'!D$30:D$40,MATCH($C63,'[1]3_Calculations'!$B$30:$B$40,0))</f>
        <v>0.94450154875812042</v>
      </c>
      <c r="F63" s="432">
        <f>INDEX('[1]3_Calculations'!E$30:E$40,MATCH($C63,'[1]3_Calculations'!$B$30:$B$40,0))</f>
        <v>0.94847198001193356</v>
      </c>
      <c r="G63" s="432">
        <f>INDEX('[1]3_Calculations'!F$30:F$40,MATCH($C63,'[1]3_Calculations'!$B$30:$B$40,0))</f>
        <v>0.95865370801439898</v>
      </c>
      <c r="H63" s="432">
        <f>INDEX('[1]3_Calculations'!G$30:G$40,MATCH($C63,'[1]3_Calculations'!$B$30:$B$40,0))</f>
        <v>0.98817746268613571</v>
      </c>
      <c r="I63" s="433">
        <f>'[1]3_Calculations'!C$9*D63/'[1]3_Calculations'!C$45</f>
        <v>0.6775081609565401</v>
      </c>
      <c r="J63" s="433">
        <f>'[1]3_Calculations'!D$9*E63/'[1]3_Calculations'!D$45</f>
        <v>0.63614247191993023</v>
      </c>
      <c r="K63" s="433">
        <f>'[1]3_Calculations'!E$9*F63/'[1]3_Calculations'!E$45</f>
        <v>0.6105765126285696</v>
      </c>
      <c r="L63" s="433">
        <f>'[1]3_Calculations'!F$9*G63/'[1]3_Calculations'!F$45</f>
        <v>0.57373016148707834</v>
      </c>
      <c r="M63" s="433">
        <f>'[1]3_Calculations'!G$9*H63/'[1]3_Calculations'!G$45</f>
        <v>0.43944580207643308</v>
      </c>
      <c r="N63" s="82">
        <f>INDEX('[1]3_Calculations'!C$14:C$24,MATCH($C63,'[1]3_Calculations'!$B$14:$B$24,0))/100</f>
        <v>0.77900210903003531</v>
      </c>
      <c r="O63" s="82">
        <f>INDEX('[1]3_Calculations'!D$14:D$24,MATCH($C63,'[1]3_Calculations'!$B$14:$B$24,0))/100</f>
        <v>0.74806241472655133</v>
      </c>
      <c r="P63" s="82">
        <f>INDEX('[1]3_Calculations'!E$14:E$24,MATCH($C63,'[1]3_Calculations'!$B$14:$B$24,0))/100</f>
        <v>0.72919850367004901</v>
      </c>
      <c r="Q63" s="82">
        <f>INDEX('[1]3_Calculations'!F$14:F$24,MATCH($C63,'[1]3_Calculations'!$B$14:$B$24,0))/100</f>
        <v>0.70524239939621525</v>
      </c>
      <c r="R63" s="82">
        <f>INDEX('[1]3_Calculations'!G$14:G$24,MATCH($C63,'[1]3_Calculations'!$B$14:$B$24,0))/100</f>
        <v>0.54832228927393689</v>
      </c>
    </row>
    <row r="64" spans="1:18" ht="16" x14ac:dyDescent="0.2">
      <c r="A64" s="73">
        <v>61</v>
      </c>
      <c r="B64" s="73" t="s">
        <v>884</v>
      </c>
      <c r="C64" s="73" t="s">
        <v>806</v>
      </c>
      <c r="D64" s="432">
        <f>INDEX('[1]3_Calculations'!C$30:C$40,MATCH($C64,'[1]3_Calculations'!$B$30:$B$40,0))</f>
        <v>0.99999999999999967</v>
      </c>
      <c r="E64" s="432">
        <f>INDEX('[1]3_Calculations'!D$30:D$40,MATCH($C64,'[1]3_Calculations'!$B$30:$B$40,0))</f>
        <v>1</v>
      </c>
      <c r="F64" s="432">
        <f>INDEX('[1]3_Calculations'!E$30:E$40,MATCH($C64,'[1]3_Calculations'!$B$30:$B$40,0))</f>
        <v>0.99999999999999978</v>
      </c>
      <c r="G64" s="432">
        <f>INDEX('[1]3_Calculations'!F$30:F$40,MATCH($C64,'[1]3_Calculations'!$B$30:$B$40,0))</f>
        <v>1</v>
      </c>
      <c r="H64" s="432">
        <f>INDEX('[1]3_Calculations'!G$30:G$40,MATCH($C64,'[1]3_Calculations'!$B$30:$B$40,0))</f>
        <v>1</v>
      </c>
      <c r="I64" s="433">
        <f>'[1]3_Calculations'!C$9*D64/'[1]3_Calculations'!C$45</f>
        <v>0.71219588541350376</v>
      </c>
      <c r="J64" s="433">
        <f>'[1]3_Calculations'!D$9*E64/'[1]3_Calculations'!D$45</f>
        <v>0.67352189390939943</v>
      </c>
      <c r="K64" s="433">
        <f>'[1]3_Calculations'!E$9*F64/'[1]3_Calculations'!E$45</f>
        <v>0.64374754921161437</v>
      </c>
      <c r="L64" s="433">
        <f>'[1]3_Calculations'!F$9*G64/'[1]3_Calculations'!F$45</f>
        <v>0.59847487856215642</v>
      </c>
      <c r="M64" s="433">
        <f>'[1]3_Calculations'!G$9*H64/'[1]3_Calculations'!G$45</f>
        <v>0.44470332371464899</v>
      </c>
      <c r="N64" s="82">
        <f>INDEX('[1]3_Calculations'!C$14:C$24,MATCH($C64,'[1]3_Calculations'!$B$14:$B$24,0))/100</f>
        <v>0.81888621975613574</v>
      </c>
      <c r="O64" s="82">
        <f>INDEX('[1]3_Calculations'!D$14:D$24,MATCH($C64,'[1]3_Calculations'!$B$14:$B$24,0))/100</f>
        <v>0.79201819807510376</v>
      </c>
      <c r="P64" s="82">
        <f>INDEX('[1]3_Calculations'!E$14:E$24,MATCH($C64,'[1]3_Calculations'!$B$14:$B$24,0))/100</f>
        <v>0.76881396502706822</v>
      </c>
      <c r="Q64" s="82">
        <f>INDEX('[1]3_Calculations'!F$14:F$24,MATCH($C64,'[1]3_Calculations'!$B$14:$B$24,0))/100</f>
        <v>0.73565917859634722</v>
      </c>
      <c r="R64" s="82">
        <f>INDEX('[1]3_Calculations'!G$14:G$24,MATCH($C64,'[1]3_Calculations'!$B$14:$B$24,0))/100</f>
        <v>0.55488240723831872</v>
      </c>
    </row>
    <row r="65" spans="1:18" ht="16" x14ac:dyDescent="0.2">
      <c r="A65" s="73">
        <v>62</v>
      </c>
      <c r="B65" s="73" t="s">
        <v>886</v>
      </c>
      <c r="C65" s="73" t="s">
        <v>809</v>
      </c>
      <c r="D65" s="432">
        <f>INDEX('[1]3_Calculations'!C$30:C$40,MATCH($C65,'[1]3_Calculations'!$B$30:$B$40,0))</f>
        <v>0.95129468567931419</v>
      </c>
      <c r="E65" s="432">
        <f>INDEX('[1]3_Calculations'!D$30:D$40,MATCH($C65,'[1]3_Calculations'!$B$30:$B$40,0))</f>
        <v>0.94450154875812042</v>
      </c>
      <c r="F65" s="432">
        <f>INDEX('[1]3_Calculations'!E$30:E$40,MATCH($C65,'[1]3_Calculations'!$B$30:$B$40,0))</f>
        <v>0.94847198001193356</v>
      </c>
      <c r="G65" s="432">
        <f>INDEX('[1]3_Calculations'!F$30:F$40,MATCH($C65,'[1]3_Calculations'!$B$30:$B$40,0))</f>
        <v>0.95865370801439898</v>
      </c>
      <c r="H65" s="432">
        <f>INDEX('[1]3_Calculations'!G$30:G$40,MATCH($C65,'[1]3_Calculations'!$B$30:$B$40,0))</f>
        <v>0.98817746268613571</v>
      </c>
      <c r="I65" s="433">
        <f>'[1]3_Calculations'!C$9*D65/'[1]3_Calculations'!C$45</f>
        <v>0.6775081609565401</v>
      </c>
      <c r="J65" s="433">
        <f>'[1]3_Calculations'!D$9*E65/'[1]3_Calculations'!D$45</f>
        <v>0.63614247191993023</v>
      </c>
      <c r="K65" s="433">
        <f>'[1]3_Calculations'!E$9*F65/'[1]3_Calculations'!E$45</f>
        <v>0.6105765126285696</v>
      </c>
      <c r="L65" s="433">
        <f>'[1]3_Calculations'!F$9*G65/'[1]3_Calculations'!F$45</f>
        <v>0.57373016148707834</v>
      </c>
      <c r="M65" s="433">
        <f>'[1]3_Calculations'!G$9*H65/'[1]3_Calculations'!G$45</f>
        <v>0.43944580207643308</v>
      </c>
      <c r="N65" s="82">
        <f>INDEX('[1]3_Calculations'!C$14:C$24,MATCH($C65,'[1]3_Calculations'!$B$14:$B$24,0))/100</f>
        <v>0.77900210903003531</v>
      </c>
      <c r="O65" s="82">
        <f>INDEX('[1]3_Calculations'!D$14:D$24,MATCH($C65,'[1]3_Calculations'!$B$14:$B$24,0))/100</f>
        <v>0.74806241472655133</v>
      </c>
      <c r="P65" s="82">
        <f>INDEX('[1]3_Calculations'!E$14:E$24,MATCH($C65,'[1]3_Calculations'!$B$14:$B$24,0))/100</f>
        <v>0.72919850367004901</v>
      </c>
      <c r="Q65" s="82">
        <f>INDEX('[1]3_Calculations'!F$14:F$24,MATCH($C65,'[1]3_Calculations'!$B$14:$B$24,0))/100</f>
        <v>0.70524239939621525</v>
      </c>
      <c r="R65" s="82">
        <f>INDEX('[1]3_Calculations'!G$14:G$24,MATCH($C65,'[1]3_Calculations'!$B$14:$B$24,0))/100</f>
        <v>0.54832228927393689</v>
      </c>
    </row>
    <row r="66" spans="1:18" ht="16" x14ac:dyDescent="0.2">
      <c r="A66" s="73">
        <v>63</v>
      </c>
      <c r="B66" s="73" t="s">
        <v>887</v>
      </c>
      <c r="C66" s="73" t="s">
        <v>809</v>
      </c>
      <c r="D66" s="432">
        <f>INDEX('[1]3_Calculations'!C$30:C$40,MATCH($C66,'[1]3_Calculations'!$B$30:$B$40,0))</f>
        <v>0.95129468567931419</v>
      </c>
      <c r="E66" s="432">
        <f>INDEX('[1]3_Calculations'!D$30:D$40,MATCH($C66,'[1]3_Calculations'!$B$30:$B$40,0))</f>
        <v>0.94450154875812042</v>
      </c>
      <c r="F66" s="432">
        <f>INDEX('[1]3_Calculations'!E$30:E$40,MATCH($C66,'[1]3_Calculations'!$B$30:$B$40,0))</f>
        <v>0.94847198001193356</v>
      </c>
      <c r="G66" s="432">
        <f>INDEX('[1]3_Calculations'!F$30:F$40,MATCH($C66,'[1]3_Calculations'!$B$30:$B$40,0))</f>
        <v>0.95865370801439898</v>
      </c>
      <c r="H66" s="432">
        <f>INDEX('[1]3_Calculations'!G$30:G$40,MATCH($C66,'[1]3_Calculations'!$B$30:$B$40,0))</f>
        <v>0.98817746268613571</v>
      </c>
      <c r="I66" s="433">
        <f>'[1]3_Calculations'!C$9*D66/'[1]3_Calculations'!C$45</f>
        <v>0.6775081609565401</v>
      </c>
      <c r="J66" s="433">
        <f>'[1]3_Calculations'!D$9*E66/'[1]3_Calculations'!D$45</f>
        <v>0.63614247191993023</v>
      </c>
      <c r="K66" s="433">
        <f>'[1]3_Calculations'!E$9*F66/'[1]3_Calculations'!E$45</f>
        <v>0.6105765126285696</v>
      </c>
      <c r="L66" s="433">
        <f>'[1]3_Calculations'!F$9*G66/'[1]3_Calculations'!F$45</f>
        <v>0.57373016148707834</v>
      </c>
      <c r="M66" s="433">
        <f>'[1]3_Calculations'!G$9*H66/'[1]3_Calculations'!G$45</f>
        <v>0.43944580207643308</v>
      </c>
      <c r="N66" s="82">
        <f>INDEX('[1]3_Calculations'!C$14:C$24,MATCH($C66,'[1]3_Calculations'!$B$14:$B$24,0))/100</f>
        <v>0.77900210903003531</v>
      </c>
      <c r="O66" s="82">
        <f>INDEX('[1]3_Calculations'!D$14:D$24,MATCH($C66,'[1]3_Calculations'!$B$14:$B$24,0))/100</f>
        <v>0.74806241472655133</v>
      </c>
      <c r="P66" s="82">
        <f>INDEX('[1]3_Calculations'!E$14:E$24,MATCH($C66,'[1]3_Calculations'!$B$14:$B$24,0))/100</f>
        <v>0.72919850367004901</v>
      </c>
      <c r="Q66" s="82">
        <f>INDEX('[1]3_Calculations'!F$14:F$24,MATCH($C66,'[1]3_Calculations'!$B$14:$B$24,0))/100</f>
        <v>0.70524239939621525</v>
      </c>
      <c r="R66" s="82">
        <f>INDEX('[1]3_Calculations'!G$14:G$24,MATCH($C66,'[1]3_Calculations'!$B$14:$B$24,0))/100</f>
        <v>0.54832228927393689</v>
      </c>
    </row>
    <row r="67" spans="1:18" ht="16" x14ac:dyDescent="0.2">
      <c r="A67" s="73">
        <v>64</v>
      </c>
      <c r="B67" s="73" t="s">
        <v>888</v>
      </c>
      <c r="C67" s="73" t="s">
        <v>809</v>
      </c>
      <c r="D67" s="432">
        <f>INDEX('[1]3_Calculations'!C$30:C$40,MATCH($C67,'[1]3_Calculations'!$B$30:$B$40,0))</f>
        <v>0.95129468567931419</v>
      </c>
      <c r="E67" s="432">
        <f>INDEX('[1]3_Calculations'!D$30:D$40,MATCH($C67,'[1]3_Calculations'!$B$30:$B$40,0))</f>
        <v>0.94450154875812042</v>
      </c>
      <c r="F67" s="432">
        <f>INDEX('[1]3_Calculations'!E$30:E$40,MATCH($C67,'[1]3_Calculations'!$B$30:$B$40,0))</f>
        <v>0.94847198001193356</v>
      </c>
      <c r="G67" s="432">
        <f>INDEX('[1]3_Calculations'!F$30:F$40,MATCH($C67,'[1]3_Calculations'!$B$30:$B$40,0))</f>
        <v>0.95865370801439898</v>
      </c>
      <c r="H67" s="432">
        <f>INDEX('[1]3_Calculations'!G$30:G$40,MATCH($C67,'[1]3_Calculations'!$B$30:$B$40,0))</f>
        <v>0.98817746268613571</v>
      </c>
      <c r="I67" s="433">
        <f>'[1]3_Calculations'!C$9*D67/'[1]3_Calculations'!C$45</f>
        <v>0.6775081609565401</v>
      </c>
      <c r="J67" s="433">
        <f>'[1]3_Calculations'!D$9*E67/'[1]3_Calculations'!D$45</f>
        <v>0.63614247191993023</v>
      </c>
      <c r="K67" s="433">
        <f>'[1]3_Calculations'!E$9*F67/'[1]3_Calculations'!E$45</f>
        <v>0.6105765126285696</v>
      </c>
      <c r="L67" s="433">
        <f>'[1]3_Calculations'!F$9*G67/'[1]3_Calculations'!F$45</f>
        <v>0.57373016148707834</v>
      </c>
      <c r="M67" s="433">
        <f>'[1]3_Calculations'!G$9*H67/'[1]3_Calculations'!G$45</f>
        <v>0.43944580207643308</v>
      </c>
      <c r="N67" s="82">
        <f>INDEX('[1]3_Calculations'!C$14:C$24,MATCH($C67,'[1]3_Calculations'!$B$14:$B$24,0))/100</f>
        <v>0.77900210903003531</v>
      </c>
      <c r="O67" s="82">
        <f>INDEX('[1]3_Calculations'!D$14:D$24,MATCH($C67,'[1]3_Calculations'!$B$14:$B$24,0))/100</f>
        <v>0.74806241472655133</v>
      </c>
      <c r="P67" s="82">
        <f>INDEX('[1]3_Calculations'!E$14:E$24,MATCH($C67,'[1]3_Calculations'!$B$14:$B$24,0))/100</f>
        <v>0.72919850367004901</v>
      </c>
      <c r="Q67" s="82">
        <f>INDEX('[1]3_Calculations'!F$14:F$24,MATCH($C67,'[1]3_Calculations'!$B$14:$B$24,0))/100</f>
        <v>0.70524239939621525</v>
      </c>
      <c r="R67" s="82">
        <f>INDEX('[1]3_Calculations'!G$14:G$24,MATCH($C67,'[1]3_Calculations'!$B$14:$B$24,0))/100</f>
        <v>0.54832228927393689</v>
      </c>
    </row>
    <row r="68" spans="1:18" ht="16" x14ac:dyDescent="0.2">
      <c r="A68" s="73">
        <v>65</v>
      </c>
      <c r="B68" s="73" t="s">
        <v>889</v>
      </c>
      <c r="C68" s="73" t="s">
        <v>809</v>
      </c>
      <c r="D68" s="432">
        <f>INDEX('[1]3_Calculations'!C$30:C$40,MATCH($C68,'[1]3_Calculations'!$B$30:$B$40,0))</f>
        <v>0.95129468567931419</v>
      </c>
      <c r="E68" s="432">
        <f>INDEX('[1]3_Calculations'!D$30:D$40,MATCH($C68,'[1]3_Calculations'!$B$30:$B$40,0))</f>
        <v>0.94450154875812042</v>
      </c>
      <c r="F68" s="432">
        <f>INDEX('[1]3_Calculations'!E$30:E$40,MATCH($C68,'[1]3_Calculations'!$B$30:$B$40,0))</f>
        <v>0.94847198001193356</v>
      </c>
      <c r="G68" s="432">
        <f>INDEX('[1]3_Calculations'!F$30:F$40,MATCH($C68,'[1]3_Calculations'!$B$30:$B$40,0))</f>
        <v>0.95865370801439898</v>
      </c>
      <c r="H68" s="432">
        <f>INDEX('[1]3_Calculations'!G$30:G$40,MATCH($C68,'[1]3_Calculations'!$B$30:$B$40,0))</f>
        <v>0.98817746268613571</v>
      </c>
      <c r="I68" s="433">
        <f>'[1]3_Calculations'!C$9*D68/'[1]3_Calculations'!C$45</f>
        <v>0.6775081609565401</v>
      </c>
      <c r="J68" s="433">
        <f>'[1]3_Calculations'!D$9*E68/'[1]3_Calculations'!D$45</f>
        <v>0.63614247191993023</v>
      </c>
      <c r="K68" s="433">
        <f>'[1]3_Calculations'!E$9*F68/'[1]3_Calculations'!E$45</f>
        <v>0.6105765126285696</v>
      </c>
      <c r="L68" s="433">
        <f>'[1]3_Calculations'!F$9*G68/'[1]3_Calculations'!F$45</f>
        <v>0.57373016148707834</v>
      </c>
      <c r="M68" s="433">
        <f>'[1]3_Calculations'!G$9*H68/'[1]3_Calculations'!G$45</f>
        <v>0.43944580207643308</v>
      </c>
      <c r="N68" s="82">
        <f>INDEX('[1]3_Calculations'!C$14:C$24,MATCH($C68,'[1]3_Calculations'!$B$14:$B$24,0))/100</f>
        <v>0.77900210903003531</v>
      </c>
      <c r="O68" s="82">
        <f>INDEX('[1]3_Calculations'!D$14:D$24,MATCH($C68,'[1]3_Calculations'!$B$14:$B$24,0))/100</f>
        <v>0.74806241472655133</v>
      </c>
      <c r="P68" s="82">
        <f>INDEX('[1]3_Calculations'!E$14:E$24,MATCH($C68,'[1]3_Calculations'!$B$14:$B$24,0))/100</f>
        <v>0.72919850367004901</v>
      </c>
      <c r="Q68" s="82">
        <f>INDEX('[1]3_Calculations'!F$14:F$24,MATCH($C68,'[1]3_Calculations'!$B$14:$B$24,0))/100</f>
        <v>0.70524239939621525</v>
      </c>
      <c r="R68" s="82">
        <f>INDEX('[1]3_Calculations'!G$14:G$24,MATCH($C68,'[1]3_Calculations'!$B$14:$B$24,0))/100</f>
        <v>0.54832228927393689</v>
      </c>
    </row>
    <row r="69" spans="1:18" ht="16" x14ac:dyDescent="0.2">
      <c r="A69" s="73">
        <v>66</v>
      </c>
      <c r="B69" s="73" t="s">
        <v>890</v>
      </c>
      <c r="C69" s="73" t="s">
        <v>809</v>
      </c>
      <c r="D69" s="432">
        <f>INDEX('[1]3_Calculations'!C$30:C$40,MATCH($C69,'[1]3_Calculations'!$B$30:$B$40,0))</f>
        <v>0.95129468567931419</v>
      </c>
      <c r="E69" s="432">
        <f>INDEX('[1]3_Calculations'!D$30:D$40,MATCH($C69,'[1]3_Calculations'!$B$30:$B$40,0))</f>
        <v>0.94450154875812042</v>
      </c>
      <c r="F69" s="432">
        <f>INDEX('[1]3_Calculations'!E$30:E$40,MATCH($C69,'[1]3_Calculations'!$B$30:$B$40,0))</f>
        <v>0.94847198001193356</v>
      </c>
      <c r="G69" s="432">
        <f>INDEX('[1]3_Calculations'!F$30:F$40,MATCH($C69,'[1]3_Calculations'!$B$30:$B$40,0))</f>
        <v>0.95865370801439898</v>
      </c>
      <c r="H69" s="432">
        <f>INDEX('[1]3_Calculations'!G$30:G$40,MATCH($C69,'[1]3_Calculations'!$B$30:$B$40,0))</f>
        <v>0.98817746268613571</v>
      </c>
      <c r="I69" s="433">
        <f>'[1]3_Calculations'!C$9*D69/'[1]3_Calculations'!C$45</f>
        <v>0.6775081609565401</v>
      </c>
      <c r="J69" s="433">
        <f>'[1]3_Calculations'!D$9*E69/'[1]3_Calculations'!D$45</f>
        <v>0.63614247191993023</v>
      </c>
      <c r="K69" s="433">
        <f>'[1]3_Calculations'!E$9*F69/'[1]3_Calculations'!E$45</f>
        <v>0.6105765126285696</v>
      </c>
      <c r="L69" s="433">
        <f>'[1]3_Calculations'!F$9*G69/'[1]3_Calculations'!F$45</f>
        <v>0.57373016148707834</v>
      </c>
      <c r="M69" s="433">
        <f>'[1]3_Calculations'!G$9*H69/'[1]3_Calculations'!G$45</f>
        <v>0.43944580207643308</v>
      </c>
      <c r="N69" s="82">
        <f>INDEX('[1]3_Calculations'!C$14:C$24,MATCH($C69,'[1]3_Calculations'!$B$14:$B$24,0))/100</f>
        <v>0.77900210903003531</v>
      </c>
      <c r="O69" s="82">
        <f>INDEX('[1]3_Calculations'!D$14:D$24,MATCH($C69,'[1]3_Calculations'!$B$14:$B$24,0))/100</f>
        <v>0.74806241472655133</v>
      </c>
      <c r="P69" s="82">
        <f>INDEX('[1]3_Calculations'!E$14:E$24,MATCH($C69,'[1]3_Calculations'!$B$14:$B$24,0))/100</f>
        <v>0.72919850367004901</v>
      </c>
      <c r="Q69" s="82">
        <f>INDEX('[1]3_Calculations'!F$14:F$24,MATCH($C69,'[1]3_Calculations'!$B$14:$B$24,0))/100</f>
        <v>0.70524239939621525</v>
      </c>
      <c r="R69" s="82">
        <f>INDEX('[1]3_Calculations'!G$14:G$24,MATCH($C69,'[1]3_Calculations'!$B$14:$B$24,0))/100</f>
        <v>0.54832228927393689</v>
      </c>
    </row>
    <row r="70" spans="1:18" ht="16" x14ac:dyDescent="0.2">
      <c r="A70" s="73">
        <v>67</v>
      </c>
      <c r="B70" s="73" t="s">
        <v>891</v>
      </c>
      <c r="C70" s="73" t="s">
        <v>809</v>
      </c>
      <c r="D70" s="432">
        <f>INDEX('[1]3_Calculations'!C$30:C$40,MATCH($C70,'[1]3_Calculations'!$B$30:$B$40,0))</f>
        <v>0.95129468567931419</v>
      </c>
      <c r="E70" s="432">
        <f>INDEX('[1]3_Calculations'!D$30:D$40,MATCH($C70,'[1]3_Calculations'!$B$30:$B$40,0))</f>
        <v>0.94450154875812042</v>
      </c>
      <c r="F70" s="432">
        <f>INDEX('[1]3_Calculations'!E$30:E$40,MATCH($C70,'[1]3_Calculations'!$B$30:$B$40,0))</f>
        <v>0.94847198001193356</v>
      </c>
      <c r="G70" s="432">
        <f>INDEX('[1]3_Calculations'!F$30:F$40,MATCH($C70,'[1]3_Calculations'!$B$30:$B$40,0))</f>
        <v>0.95865370801439898</v>
      </c>
      <c r="H70" s="432">
        <f>INDEX('[1]3_Calculations'!G$30:G$40,MATCH($C70,'[1]3_Calculations'!$B$30:$B$40,0))</f>
        <v>0.98817746268613571</v>
      </c>
      <c r="I70" s="433">
        <f>'[1]3_Calculations'!C$9*D70/'[1]3_Calculations'!C$45</f>
        <v>0.6775081609565401</v>
      </c>
      <c r="J70" s="433">
        <f>'[1]3_Calculations'!D$9*E70/'[1]3_Calculations'!D$45</f>
        <v>0.63614247191993023</v>
      </c>
      <c r="K70" s="433">
        <f>'[1]3_Calculations'!E$9*F70/'[1]3_Calculations'!E$45</f>
        <v>0.6105765126285696</v>
      </c>
      <c r="L70" s="433">
        <f>'[1]3_Calculations'!F$9*G70/'[1]3_Calculations'!F$45</f>
        <v>0.57373016148707834</v>
      </c>
      <c r="M70" s="433">
        <f>'[1]3_Calculations'!G$9*H70/'[1]3_Calculations'!G$45</f>
        <v>0.43944580207643308</v>
      </c>
      <c r="N70" s="82">
        <f>INDEX('[1]3_Calculations'!C$14:C$24,MATCH($C70,'[1]3_Calculations'!$B$14:$B$24,0))/100</f>
        <v>0.77900210903003531</v>
      </c>
      <c r="O70" s="82">
        <f>INDEX('[1]3_Calculations'!D$14:D$24,MATCH($C70,'[1]3_Calculations'!$B$14:$B$24,0))/100</f>
        <v>0.74806241472655133</v>
      </c>
      <c r="P70" s="82">
        <f>INDEX('[1]3_Calculations'!E$14:E$24,MATCH($C70,'[1]3_Calculations'!$B$14:$B$24,0))/100</f>
        <v>0.72919850367004901</v>
      </c>
      <c r="Q70" s="82">
        <f>INDEX('[1]3_Calculations'!F$14:F$24,MATCH($C70,'[1]3_Calculations'!$B$14:$B$24,0))/100</f>
        <v>0.70524239939621525</v>
      </c>
      <c r="R70" s="82">
        <f>INDEX('[1]3_Calculations'!G$14:G$24,MATCH($C70,'[1]3_Calculations'!$B$14:$B$24,0))/100</f>
        <v>0.54832228927393689</v>
      </c>
    </row>
    <row r="72" spans="1:18" x14ac:dyDescent="0.2">
      <c r="B72" s="434" t="s">
        <v>1004</v>
      </c>
      <c r="I72" s="435">
        <f>SUMPRODUCT('[1]2_Egypt_CQ Mapping'!D4:D70,I4:I70)/SUM('[1]2_Egypt_CQ Mapping'!D4:D70)</f>
        <v>0.7205196836026575</v>
      </c>
      <c r="J72" s="435">
        <f>SUMPRODUCT('[1]2_Egypt_CQ Mapping'!E4:E70,J4:J70)/SUM('[1]2_Egypt_CQ Mapping'!E4:E70)</f>
        <v>0.68064742216061147</v>
      </c>
      <c r="K72" s="435">
        <f>SUMPRODUCT('[1]2_Egypt_CQ Mapping'!F4:F70,K4:K70)/SUM('[1]2_Egypt_CQ Mapping'!F4:F70)</f>
        <v>0.65188581252771116</v>
      </c>
      <c r="L72" s="435">
        <f>SUMPRODUCT('[1]2_Egypt_CQ Mapping'!G4:G70,L4:L70)/SUM('[1]2_Egypt_CQ Mapping'!G4:G70)</f>
        <v>0.60892892198467097</v>
      </c>
      <c r="M72" s="435">
        <f>SUMPRODUCT('[1]2_Egypt_CQ Mapping'!H4:H70,M4:M70)/SUM('[1]2_Egypt_CQ Mapping'!H4:H70)</f>
        <v>0.46486925376120181</v>
      </c>
    </row>
    <row r="73" spans="1:18" ht="16" x14ac:dyDescent="0.2">
      <c r="B73" s="434" t="s">
        <v>1005</v>
      </c>
      <c r="I73" s="436">
        <f>'[1]3_Calculations'!C9</f>
        <v>0.72051968360265706</v>
      </c>
      <c r="J73" s="436">
        <f>'[1]3_Calculations'!D9</f>
        <v>0.68064742216061136</v>
      </c>
      <c r="K73" s="436">
        <f>'[1]3_Calculations'!E9</f>
        <v>0.65188581252771116</v>
      </c>
      <c r="L73" s="436">
        <f>'[1]3_Calculations'!F9</f>
        <v>0.60892892198467141</v>
      </c>
      <c r="M73" s="436">
        <f>'[1]3_Calculations'!G9</f>
        <v>0.46486925376120203</v>
      </c>
    </row>
    <row r="77" spans="1:18" ht="16" x14ac:dyDescent="0.2">
      <c r="A77" s="115" t="s">
        <v>1008</v>
      </c>
      <c r="H77" s="61"/>
      <c r="I77" s="6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C032-B999-1F4A-87E5-037026FE7D33}">
  <sheetPr>
    <tabColor theme="7" tint="0.79998168889431442"/>
  </sheetPr>
  <dimension ref="A1:H77"/>
  <sheetViews>
    <sheetView tabSelected="1" zoomScale="114" workbookViewId="0">
      <selection activeCell="H84" sqref="H84"/>
    </sheetView>
  </sheetViews>
  <sheetFormatPr baseColWidth="10" defaultColWidth="8.83203125" defaultRowHeight="15" x14ac:dyDescent="0.2"/>
  <cols>
    <col min="1" max="1" width="10" style="73" customWidth="1"/>
    <col min="2" max="2" width="60" style="73" customWidth="1"/>
    <col min="3" max="7" width="10" style="73" customWidth="1"/>
    <col min="8" max="8" width="65" style="73" customWidth="1"/>
    <col min="9" max="16384" width="8.83203125" style="73"/>
  </cols>
  <sheetData>
    <row r="1" spans="1:8" ht="28" customHeight="1" x14ac:dyDescent="0.2">
      <c r="A1" s="88" t="s">
        <v>618</v>
      </c>
      <c r="B1" s="88" t="s">
        <v>466</v>
      </c>
      <c r="C1" s="88" t="s">
        <v>467</v>
      </c>
      <c r="D1" s="88" t="s">
        <v>468</v>
      </c>
      <c r="E1" s="88" t="s">
        <v>469</v>
      </c>
      <c r="F1" s="88" t="s">
        <v>470</v>
      </c>
      <c r="G1" s="88" t="s">
        <v>471</v>
      </c>
      <c r="H1" s="88" t="s">
        <v>560</v>
      </c>
    </row>
    <row r="2" spans="1:8" x14ac:dyDescent="0.2">
      <c r="A2" s="173">
        <v>1</v>
      </c>
      <c r="B2" s="94" t="s">
        <v>105</v>
      </c>
      <c r="C2" s="174">
        <v>-0.1115</v>
      </c>
      <c r="D2" s="174">
        <v>-0.126</v>
      </c>
      <c r="E2" s="174">
        <v>-0.14050000000000001</v>
      </c>
      <c r="F2" s="174">
        <v>-0.155</v>
      </c>
      <c r="G2" s="174">
        <v>-0.1694</v>
      </c>
      <c r="H2" s="175" t="s">
        <v>561</v>
      </c>
    </row>
    <row r="3" spans="1:8" x14ac:dyDescent="0.2">
      <c r="A3" s="173">
        <v>2</v>
      </c>
      <c r="B3" s="94" t="s">
        <v>106</v>
      </c>
      <c r="C3" s="174">
        <v>-0.1125</v>
      </c>
      <c r="D3" s="174">
        <v>-0.12709999999999999</v>
      </c>
      <c r="E3" s="174">
        <v>-0.14180000000000001</v>
      </c>
      <c r="F3" s="174">
        <v>-0.15640000000000001</v>
      </c>
      <c r="G3" s="174">
        <v>-0.1711</v>
      </c>
      <c r="H3" s="175" t="s">
        <v>562</v>
      </c>
    </row>
    <row r="4" spans="1:8" x14ac:dyDescent="0.2">
      <c r="A4" s="176">
        <v>3</v>
      </c>
      <c r="B4" s="98" t="s">
        <v>107</v>
      </c>
      <c r="C4" s="177">
        <v>-9.4600000000000004E-2</v>
      </c>
      <c r="D4" s="177">
        <v>-0.1061</v>
      </c>
      <c r="E4" s="177">
        <v>-0.11749999999999999</v>
      </c>
      <c r="F4" s="177">
        <v>-0.12889999999999999</v>
      </c>
      <c r="G4" s="177">
        <v>-0.1404</v>
      </c>
      <c r="H4" s="178" t="s">
        <v>563</v>
      </c>
    </row>
    <row r="5" spans="1:8" x14ac:dyDescent="0.2">
      <c r="A5" s="173">
        <v>4</v>
      </c>
      <c r="B5" s="94" t="s">
        <v>484</v>
      </c>
      <c r="C5" s="174">
        <v>-0.2394</v>
      </c>
      <c r="D5" s="174">
        <v>-0.26540000000000002</v>
      </c>
      <c r="E5" s="174">
        <v>-0.29139999999999999</v>
      </c>
      <c r="F5" s="174">
        <v>-0.31740000000000002</v>
      </c>
      <c r="G5" s="174">
        <v>-0.34350000000000003</v>
      </c>
      <c r="H5" s="175" t="s">
        <v>564</v>
      </c>
    </row>
    <row r="6" spans="1:8" x14ac:dyDescent="0.2">
      <c r="A6" s="173">
        <v>5</v>
      </c>
      <c r="B6" s="94" t="s">
        <v>109</v>
      </c>
      <c r="C6" s="174">
        <v>-0.1331</v>
      </c>
      <c r="D6" s="174">
        <v>-0.14810000000000001</v>
      </c>
      <c r="E6" s="174">
        <v>-0.16309999999999999</v>
      </c>
      <c r="F6" s="174">
        <v>-0.17810000000000001</v>
      </c>
      <c r="G6" s="174">
        <v>-0.19309999999999999</v>
      </c>
      <c r="H6" s="175" t="s">
        <v>565</v>
      </c>
    </row>
    <row r="7" spans="1:8" x14ac:dyDescent="0.2">
      <c r="A7" s="173">
        <v>6</v>
      </c>
      <c r="B7" s="94" t="s">
        <v>110</v>
      </c>
      <c r="C7" s="174">
        <v>-0.13089999999999999</v>
      </c>
      <c r="D7" s="174">
        <v>-0.15010000000000001</v>
      </c>
      <c r="E7" s="174">
        <v>-0.16930000000000001</v>
      </c>
      <c r="F7" s="174">
        <v>-0.1885</v>
      </c>
      <c r="G7" s="174">
        <v>-0.2077</v>
      </c>
      <c r="H7" s="175" t="s">
        <v>566</v>
      </c>
    </row>
    <row r="8" spans="1:8" x14ac:dyDescent="0.2">
      <c r="A8" s="173">
        <v>7</v>
      </c>
      <c r="B8" s="94" t="s">
        <v>111</v>
      </c>
      <c r="C8" s="174">
        <v>-0.112</v>
      </c>
      <c r="D8" s="174">
        <v>-0.1244</v>
      </c>
      <c r="E8" s="174">
        <v>-0.13669999999999999</v>
      </c>
      <c r="F8" s="174">
        <v>-0.14910000000000001</v>
      </c>
      <c r="G8" s="174">
        <v>-0.16139999999999999</v>
      </c>
      <c r="H8" s="175" t="s">
        <v>567</v>
      </c>
    </row>
    <row r="9" spans="1:8" x14ac:dyDescent="0.2">
      <c r="A9" s="173">
        <v>8</v>
      </c>
      <c r="B9" s="94" t="s">
        <v>112</v>
      </c>
      <c r="C9" s="174">
        <v>-0.2122</v>
      </c>
      <c r="D9" s="174">
        <v>-0.23830000000000001</v>
      </c>
      <c r="E9" s="174">
        <v>-0.26440000000000002</v>
      </c>
      <c r="F9" s="174">
        <v>-0.29039999999999999</v>
      </c>
      <c r="G9" s="174">
        <v>-0.3165</v>
      </c>
      <c r="H9" s="175" t="s">
        <v>568</v>
      </c>
    </row>
    <row r="10" spans="1:8" x14ac:dyDescent="0.2">
      <c r="A10" s="176">
        <v>9</v>
      </c>
      <c r="B10" s="98" t="s">
        <v>113</v>
      </c>
      <c r="C10" s="177">
        <v>-0.20250000000000001</v>
      </c>
      <c r="D10" s="177">
        <v>-0.2266</v>
      </c>
      <c r="E10" s="177">
        <v>-0.25080000000000002</v>
      </c>
      <c r="F10" s="177">
        <v>-0.27489999999999998</v>
      </c>
      <c r="G10" s="177">
        <v>-0.29899999999999999</v>
      </c>
      <c r="H10" s="178" t="s">
        <v>569</v>
      </c>
    </row>
    <row r="11" spans="1:8" x14ac:dyDescent="0.2">
      <c r="A11" s="173">
        <v>10</v>
      </c>
      <c r="B11" s="94" t="s">
        <v>114</v>
      </c>
      <c r="C11" s="174">
        <v>-0.16550000000000001</v>
      </c>
      <c r="D11" s="174">
        <v>-0.1895</v>
      </c>
      <c r="E11" s="174">
        <v>-0.21340000000000001</v>
      </c>
      <c r="F11" s="174">
        <v>-0.2374</v>
      </c>
      <c r="G11" s="174">
        <v>-0.26129999999999998</v>
      </c>
      <c r="H11" s="175" t="s">
        <v>570</v>
      </c>
    </row>
    <row r="12" spans="1:8" x14ac:dyDescent="0.2">
      <c r="A12" s="173">
        <v>11</v>
      </c>
      <c r="B12" s="94" t="s">
        <v>571</v>
      </c>
      <c r="C12" s="174">
        <v>-0.37769999999999998</v>
      </c>
      <c r="D12" s="174">
        <v>-0.43099999999999999</v>
      </c>
      <c r="E12" s="174">
        <v>-0.48430000000000001</v>
      </c>
      <c r="F12" s="174">
        <v>-0.53749999999999998</v>
      </c>
      <c r="G12" s="174">
        <v>-0.59079999999999999</v>
      </c>
      <c r="H12" s="175" t="s">
        <v>572</v>
      </c>
    </row>
    <row r="13" spans="1:8" x14ac:dyDescent="0.2">
      <c r="A13" s="173">
        <v>12</v>
      </c>
      <c r="B13" s="94" t="s">
        <v>116</v>
      </c>
      <c r="C13" s="174">
        <v>-0.37969999999999998</v>
      </c>
      <c r="D13" s="174">
        <v>-0.4335</v>
      </c>
      <c r="E13" s="174">
        <v>-0.48730000000000001</v>
      </c>
      <c r="F13" s="174">
        <v>-0.54110000000000003</v>
      </c>
      <c r="G13" s="174">
        <v>-0.59499999999999997</v>
      </c>
      <c r="H13" s="175" t="s">
        <v>573</v>
      </c>
    </row>
    <row r="14" spans="1:8" x14ac:dyDescent="0.2">
      <c r="A14" s="176">
        <v>13</v>
      </c>
      <c r="B14" s="98" t="s">
        <v>117</v>
      </c>
      <c r="C14" s="177">
        <v>-0.1905</v>
      </c>
      <c r="D14" s="177">
        <v>-0.2208</v>
      </c>
      <c r="E14" s="177">
        <v>-0.25109999999999999</v>
      </c>
      <c r="F14" s="177">
        <v>-0.28139999999999998</v>
      </c>
      <c r="G14" s="177">
        <v>-0.31169999999999998</v>
      </c>
      <c r="H14" s="178" t="s">
        <v>599</v>
      </c>
    </row>
    <row r="15" spans="1:8" x14ac:dyDescent="0.2">
      <c r="A15" s="173">
        <v>14</v>
      </c>
      <c r="B15" s="94" t="s">
        <v>118</v>
      </c>
      <c r="C15" s="174">
        <v>-0.1016</v>
      </c>
      <c r="D15" s="174">
        <v>-0.11509999999999999</v>
      </c>
      <c r="E15" s="174">
        <v>-0.12859999999999999</v>
      </c>
      <c r="F15" s="174">
        <v>-0.14219999999999999</v>
      </c>
      <c r="G15" s="174">
        <v>-0.15570000000000001</v>
      </c>
      <c r="H15" s="175" t="s">
        <v>574</v>
      </c>
    </row>
    <row r="16" spans="1:8" x14ac:dyDescent="0.2">
      <c r="A16" s="173">
        <v>15</v>
      </c>
      <c r="B16" s="94" t="s">
        <v>119</v>
      </c>
      <c r="C16" s="174">
        <v>-0.1192</v>
      </c>
      <c r="D16" s="174">
        <v>-0.1326</v>
      </c>
      <c r="E16" s="174">
        <v>-0.14599999999999999</v>
      </c>
      <c r="F16" s="174">
        <v>-0.15939999999999999</v>
      </c>
      <c r="G16" s="174">
        <v>-0.17280000000000001</v>
      </c>
      <c r="H16" s="175" t="s">
        <v>575</v>
      </c>
    </row>
    <row r="17" spans="1:8" x14ac:dyDescent="0.2">
      <c r="A17" s="176">
        <v>16</v>
      </c>
      <c r="B17" s="98" t="s">
        <v>120</v>
      </c>
      <c r="C17" s="177">
        <v>-0.1192</v>
      </c>
      <c r="D17" s="177">
        <v>-0.1326</v>
      </c>
      <c r="E17" s="177">
        <v>-0.14599999999999999</v>
      </c>
      <c r="F17" s="177">
        <v>-0.15939999999999999</v>
      </c>
      <c r="G17" s="177">
        <v>-0.17280000000000001</v>
      </c>
      <c r="H17" s="178" t="s">
        <v>576</v>
      </c>
    </row>
    <row r="18" spans="1:8" x14ac:dyDescent="0.2">
      <c r="A18" s="176">
        <v>17</v>
      </c>
      <c r="B18" s="98" t="s">
        <v>121</v>
      </c>
      <c r="C18" s="177">
        <v>-0.1192</v>
      </c>
      <c r="D18" s="177">
        <v>-0.1326</v>
      </c>
      <c r="E18" s="177">
        <v>-0.14599999999999999</v>
      </c>
      <c r="F18" s="177">
        <v>-0.15939999999999999</v>
      </c>
      <c r="G18" s="177">
        <v>-0.17280000000000001</v>
      </c>
      <c r="H18" s="178" t="s">
        <v>577</v>
      </c>
    </row>
    <row r="19" spans="1:8" x14ac:dyDescent="0.2">
      <c r="A19" s="176">
        <v>18</v>
      </c>
      <c r="B19" s="98" t="s">
        <v>122</v>
      </c>
      <c r="C19" s="177">
        <v>-0.32769999999999999</v>
      </c>
      <c r="D19" s="177">
        <v>-0.37130000000000002</v>
      </c>
      <c r="E19" s="177">
        <v>-0.4148</v>
      </c>
      <c r="F19" s="177">
        <v>-0.45839999999999997</v>
      </c>
      <c r="G19" s="177">
        <v>-0.502</v>
      </c>
      <c r="H19" s="178" t="s">
        <v>578</v>
      </c>
    </row>
    <row r="20" spans="1:8" x14ac:dyDescent="0.2">
      <c r="A20" s="173">
        <v>19</v>
      </c>
      <c r="B20" s="94" t="s">
        <v>123</v>
      </c>
      <c r="C20" s="174">
        <v>-0.45910000000000001</v>
      </c>
      <c r="D20" s="174">
        <v>-0.49759999999999999</v>
      </c>
      <c r="E20" s="174">
        <v>-0.53610000000000002</v>
      </c>
      <c r="F20" s="174">
        <v>-0.5746</v>
      </c>
      <c r="G20" s="174">
        <v>-0.61309999999999998</v>
      </c>
      <c r="H20" s="175" t="s">
        <v>579</v>
      </c>
    </row>
    <row r="21" spans="1:8" x14ac:dyDescent="0.2">
      <c r="A21" s="176">
        <v>20</v>
      </c>
      <c r="B21" s="98" t="s">
        <v>124</v>
      </c>
      <c r="C21" s="177">
        <v>-0.45910000000000001</v>
      </c>
      <c r="D21" s="177">
        <v>-0.49759999999999999</v>
      </c>
      <c r="E21" s="177">
        <v>-0.53610000000000002</v>
      </c>
      <c r="F21" s="177">
        <v>-0.5746</v>
      </c>
      <c r="G21" s="177">
        <v>-0.61309999999999998</v>
      </c>
      <c r="H21" s="178" t="s">
        <v>580</v>
      </c>
    </row>
    <row r="22" spans="1:8" x14ac:dyDescent="0.2">
      <c r="A22" s="176">
        <v>21</v>
      </c>
      <c r="B22" s="98" t="s">
        <v>125</v>
      </c>
      <c r="C22" s="177">
        <v>-0.18149999999999999</v>
      </c>
      <c r="D22" s="177">
        <v>-0.20760000000000001</v>
      </c>
      <c r="E22" s="177">
        <v>-0.23380000000000001</v>
      </c>
      <c r="F22" s="177">
        <v>-0.26</v>
      </c>
      <c r="G22" s="177">
        <v>-0.28620000000000001</v>
      </c>
      <c r="H22" s="178" t="s">
        <v>581</v>
      </c>
    </row>
    <row r="23" spans="1:8" x14ac:dyDescent="0.2">
      <c r="A23" s="173">
        <v>22</v>
      </c>
      <c r="B23" s="94" t="s">
        <v>126</v>
      </c>
      <c r="C23" s="174">
        <v>-0.18859999999999999</v>
      </c>
      <c r="D23" s="174">
        <v>-0.2155</v>
      </c>
      <c r="E23" s="174">
        <v>-0.24249999999999999</v>
      </c>
      <c r="F23" s="174">
        <v>-0.26939999999999997</v>
      </c>
      <c r="G23" s="174">
        <v>-0.29630000000000001</v>
      </c>
      <c r="H23" s="175" t="s">
        <v>582</v>
      </c>
    </row>
    <row r="24" spans="1:8" x14ac:dyDescent="0.2">
      <c r="A24" s="173">
        <v>23</v>
      </c>
      <c r="B24" s="94" t="s">
        <v>127</v>
      </c>
      <c r="C24" s="174">
        <v>-0.185</v>
      </c>
      <c r="D24" s="174">
        <v>-0.21160000000000001</v>
      </c>
      <c r="E24" s="174">
        <v>-0.23810000000000001</v>
      </c>
      <c r="F24" s="174">
        <v>-0.26469999999999999</v>
      </c>
      <c r="G24" s="174">
        <v>-0.29120000000000001</v>
      </c>
      <c r="H24" s="175" t="s">
        <v>583</v>
      </c>
    </row>
    <row r="25" spans="1:8" x14ac:dyDescent="0.2">
      <c r="A25" s="173">
        <v>24</v>
      </c>
      <c r="B25" s="94" t="s">
        <v>128</v>
      </c>
      <c r="C25" s="174">
        <v>-0.16250000000000001</v>
      </c>
      <c r="D25" s="174">
        <v>-0.19040000000000001</v>
      </c>
      <c r="E25" s="174">
        <v>-0.21829999999999999</v>
      </c>
      <c r="F25" s="174">
        <v>-0.24610000000000001</v>
      </c>
      <c r="G25" s="174">
        <v>-0.27400000000000002</v>
      </c>
      <c r="H25" s="175" t="s">
        <v>584</v>
      </c>
    </row>
    <row r="26" spans="1:8" x14ac:dyDescent="0.2">
      <c r="A26" s="263">
        <v>25</v>
      </c>
      <c r="B26" s="264" t="s">
        <v>129</v>
      </c>
      <c r="C26" s="265">
        <v>-0.16250000000000001</v>
      </c>
      <c r="D26" s="265">
        <v>-0.19040000000000001</v>
      </c>
      <c r="E26" s="265">
        <v>-0.21829999999999999</v>
      </c>
      <c r="F26" s="265">
        <v>-0.24610000000000001</v>
      </c>
      <c r="G26" s="265">
        <v>-0.27400000000000002</v>
      </c>
      <c r="H26" s="266" t="s">
        <v>735</v>
      </c>
    </row>
    <row r="27" spans="1:8" x14ac:dyDescent="0.2">
      <c r="A27" s="173">
        <v>26</v>
      </c>
      <c r="B27" s="94" t="s">
        <v>130</v>
      </c>
      <c r="C27" s="174">
        <v>-0.3871</v>
      </c>
      <c r="D27" s="174">
        <v>-0.43890000000000001</v>
      </c>
      <c r="E27" s="174">
        <v>-0.49070000000000003</v>
      </c>
      <c r="F27" s="174">
        <v>-0.54249999999999998</v>
      </c>
      <c r="G27" s="174">
        <v>-0.59419999999999995</v>
      </c>
      <c r="H27" s="175" t="s">
        <v>585</v>
      </c>
    </row>
    <row r="28" spans="1:8" x14ac:dyDescent="0.2">
      <c r="A28" s="176">
        <v>27</v>
      </c>
      <c r="B28" s="98" t="s">
        <v>131</v>
      </c>
      <c r="C28" s="177">
        <v>-0.3871</v>
      </c>
      <c r="D28" s="177">
        <v>-0.43890000000000001</v>
      </c>
      <c r="E28" s="177">
        <v>-0.49070000000000003</v>
      </c>
      <c r="F28" s="177">
        <v>-0.54249999999999998</v>
      </c>
      <c r="G28" s="177">
        <v>-0.59419999999999995</v>
      </c>
      <c r="H28" s="178" t="s">
        <v>586</v>
      </c>
    </row>
    <row r="29" spans="1:8" x14ac:dyDescent="0.2">
      <c r="A29" s="176">
        <v>28</v>
      </c>
      <c r="B29" s="98" t="s">
        <v>132</v>
      </c>
      <c r="C29" s="177">
        <v>-0.17549999999999999</v>
      </c>
      <c r="D29" s="177">
        <v>-0.20300000000000001</v>
      </c>
      <c r="E29" s="177">
        <v>-0.23039999999999999</v>
      </c>
      <c r="F29" s="177">
        <v>-0.25779999999999997</v>
      </c>
      <c r="G29" s="177">
        <v>-0.28520000000000001</v>
      </c>
      <c r="H29" s="178" t="s">
        <v>587</v>
      </c>
    </row>
    <row r="30" spans="1:8" x14ac:dyDescent="0.2">
      <c r="A30" s="173">
        <v>29</v>
      </c>
      <c r="B30" s="94" t="s">
        <v>133</v>
      </c>
      <c r="C30" s="174">
        <v>-8.9300000000000004E-2</v>
      </c>
      <c r="D30" s="174">
        <v>-0.1002</v>
      </c>
      <c r="E30" s="174">
        <v>-0.111</v>
      </c>
      <c r="F30" s="174">
        <v>-0.12180000000000001</v>
      </c>
      <c r="G30" s="174">
        <v>-0.13270000000000001</v>
      </c>
      <c r="H30" s="175" t="s">
        <v>588</v>
      </c>
    </row>
    <row r="31" spans="1:8" x14ac:dyDescent="0.2">
      <c r="A31" s="173">
        <v>30</v>
      </c>
      <c r="B31" s="94" t="s">
        <v>589</v>
      </c>
      <c r="C31" s="174">
        <v>-8.9700000000000002E-2</v>
      </c>
      <c r="D31" s="174">
        <v>-0.10249999999999999</v>
      </c>
      <c r="E31" s="174">
        <v>-0.1152</v>
      </c>
      <c r="F31" s="174">
        <v>-0.12790000000000001</v>
      </c>
      <c r="G31" s="174">
        <v>-0.1406</v>
      </c>
      <c r="H31" s="175" t="s">
        <v>590</v>
      </c>
    </row>
    <row r="32" spans="1:8" x14ac:dyDescent="0.2">
      <c r="A32" s="173">
        <v>31</v>
      </c>
      <c r="B32" s="94" t="s">
        <v>135</v>
      </c>
      <c r="C32" s="174">
        <v>-0.1845</v>
      </c>
      <c r="D32" s="174">
        <v>-0.21110000000000001</v>
      </c>
      <c r="E32" s="174">
        <v>-0.23780000000000001</v>
      </c>
      <c r="F32" s="174">
        <v>-0.26450000000000001</v>
      </c>
      <c r="G32" s="174">
        <v>-0.29120000000000001</v>
      </c>
      <c r="H32" s="175" t="s">
        <v>591</v>
      </c>
    </row>
    <row r="33" spans="1:8" x14ac:dyDescent="0.2">
      <c r="A33" s="173">
        <v>32</v>
      </c>
      <c r="B33" s="94" t="s">
        <v>592</v>
      </c>
      <c r="C33" s="174">
        <v>-0.1842</v>
      </c>
      <c r="D33" s="174">
        <v>-0.21029999999999999</v>
      </c>
      <c r="E33" s="174">
        <v>-0.2364</v>
      </c>
      <c r="F33" s="174">
        <v>-0.26250000000000001</v>
      </c>
      <c r="G33" s="174">
        <v>-0.28860000000000002</v>
      </c>
      <c r="H33" s="175" t="s">
        <v>593</v>
      </c>
    </row>
    <row r="34" spans="1:8" x14ac:dyDescent="0.2">
      <c r="A34" s="173">
        <v>33</v>
      </c>
      <c r="B34" s="94" t="s">
        <v>514</v>
      </c>
      <c r="C34" s="174">
        <v>-0.18859999999999999</v>
      </c>
      <c r="D34" s="174">
        <v>-0.221</v>
      </c>
      <c r="E34" s="174">
        <v>-0.25330000000000003</v>
      </c>
      <c r="F34" s="174">
        <v>-0.28570000000000001</v>
      </c>
      <c r="G34" s="174">
        <v>-0.31809999999999999</v>
      </c>
      <c r="H34" s="175" t="s">
        <v>594</v>
      </c>
    </row>
    <row r="35" spans="1:8" x14ac:dyDescent="0.2">
      <c r="A35" s="176">
        <v>34</v>
      </c>
      <c r="B35" s="98" t="s">
        <v>138</v>
      </c>
      <c r="C35" s="177">
        <v>-0.18859999999999999</v>
      </c>
      <c r="D35" s="177">
        <v>-0.221</v>
      </c>
      <c r="E35" s="177">
        <v>-0.25330000000000003</v>
      </c>
      <c r="F35" s="177">
        <v>-0.28570000000000001</v>
      </c>
      <c r="G35" s="177">
        <v>-0.31809999999999999</v>
      </c>
      <c r="H35" s="178" t="s">
        <v>595</v>
      </c>
    </row>
    <row r="36" spans="1:8" x14ac:dyDescent="0.2">
      <c r="A36" s="176">
        <v>35</v>
      </c>
      <c r="B36" s="98" t="s">
        <v>139</v>
      </c>
      <c r="C36" s="177">
        <v>-0.13059999999999999</v>
      </c>
      <c r="D36" s="177">
        <v>-0.1472</v>
      </c>
      <c r="E36" s="177">
        <v>-0.16389999999999999</v>
      </c>
      <c r="F36" s="177">
        <v>-0.18049999999999999</v>
      </c>
      <c r="G36" s="177">
        <v>-0.1971</v>
      </c>
      <c r="H36" s="178" t="s">
        <v>596</v>
      </c>
    </row>
    <row r="37" spans="1:8" x14ac:dyDescent="0.2">
      <c r="A37" s="176">
        <v>36</v>
      </c>
      <c r="B37" s="98" t="s">
        <v>140</v>
      </c>
      <c r="C37" s="177">
        <v>-0.1905</v>
      </c>
      <c r="D37" s="177">
        <v>-0.2208</v>
      </c>
      <c r="E37" s="177">
        <v>-0.25109999999999999</v>
      </c>
      <c r="F37" s="177">
        <v>-0.28139999999999998</v>
      </c>
      <c r="G37" s="177">
        <v>-0.31169999999999998</v>
      </c>
      <c r="H37" s="178" t="s">
        <v>597</v>
      </c>
    </row>
    <row r="38" spans="1:8" x14ac:dyDescent="0.2">
      <c r="A38" s="176">
        <v>37</v>
      </c>
      <c r="B38" s="98" t="s">
        <v>598</v>
      </c>
      <c r="C38" s="177">
        <v>-0.1905</v>
      </c>
      <c r="D38" s="177">
        <v>-0.2208</v>
      </c>
      <c r="E38" s="177">
        <v>-0.25109999999999999</v>
      </c>
      <c r="F38" s="177">
        <v>-0.28139999999999998</v>
      </c>
      <c r="G38" s="177">
        <v>-0.31169999999999998</v>
      </c>
      <c r="H38" s="178" t="s">
        <v>599</v>
      </c>
    </row>
    <row r="39" spans="1:8" x14ac:dyDescent="0.2">
      <c r="A39" s="176">
        <v>38</v>
      </c>
      <c r="B39" s="98" t="s">
        <v>142</v>
      </c>
      <c r="C39" s="177">
        <v>-0.1905</v>
      </c>
      <c r="D39" s="177">
        <v>-0.2208</v>
      </c>
      <c r="E39" s="177">
        <v>-0.25109999999999999</v>
      </c>
      <c r="F39" s="177">
        <v>-0.28139999999999998</v>
      </c>
      <c r="G39" s="177">
        <v>-0.31169999999999998</v>
      </c>
      <c r="H39" s="178" t="s">
        <v>599</v>
      </c>
    </row>
    <row r="40" spans="1:8" x14ac:dyDescent="0.2">
      <c r="A40" s="173">
        <v>39</v>
      </c>
      <c r="B40" s="94" t="s">
        <v>600</v>
      </c>
      <c r="C40" s="174">
        <v>-0.23200000000000001</v>
      </c>
      <c r="D40" s="174">
        <v>-0.26129999999999998</v>
      </c>
      <c r="E40" s="174">
        <v>-0.29060000000000002</v>
      </c>
      <c r="F40" s="174">
        <v>-0.31990000000000002</v>
      </c>
      <c r="G40" s="174">
        <v>-0.34920000000000001</v>
      </c>
      <c r="H40" s="175" t="s">
        <v>601</v>
      </c>
    </row>
    <row r="41" spans="1:8" x14ac:dyDescent="0.2">
      <c r="A41" s="173">
        <v>40</v>
      </c>
      <c r="B41" s="94" t="s">
        <v>144</v>
      </c>
      <c r="C41" s="174">
        <v>-0.19819999999999999</v>
      </c>
      <c r="D41" s="174">
        <v>-0.2263</v>
      </c>
      <c r="E41" s="174">
        <v>-0.25440000000000002</v>
      </c>
      <c r="F41" s="174">
        <v>-0.28249999999999997</v>
      </c>
      <c r="G41" s="174">
        <v>-0.31059999999999999</v>
      </c>
      <c r="H41" s="175" t="s">
        <v>602</v>
      </c>
    </row>
    <row r="42" spans="1:8" x14ac:dyDescent="0.2">
      <c r="A42" s="176">
        <v>41</v>
      </c>
      <c r="B42" s="98" t="s">
        <v>603</v>
      </c>
      <c r="C42" s="177">
        <v>-0.19819999999999999</v>
      </c>
      <c r="D42" s="177">
        <v>-0.2263</v>
      </c>
      <c r="E42" s="177">
        <v>-0.25440000000000002</v>
      </c>
      <c r="F42" s="177">
        <v>-0.28249999999999997</v>
      </c>
      <c r="G42" s="177">
        <v>-0.31059999999999999</v>
      </c>
      <c r="H42" s="178" t="s">
        <v>604</v>
      </c>
    </row>
    <row r="43" spans="1:8" x14ac:dyDescent="0.2">
      <c r="A43" s="176">
        <v>42</v>
      </c>
      <c r="B43" s="98" t="s">
        <v>146</v>
      </c>
      <c r="C43" s="177">
        <v>-0.19819999999999999</v>
      </c>
      <c r="D43" s="177">
        <v>-0.2263</v>
      </c>
      <c r="E43" s="177">
        <v>-0.25440000000000002</v>
      </c>
      <c r="F43" s="177">
        <v>-0.28249999999999997</v>
      </c>
      <c r="G43" s="177">
        <v>-0.31059999999999999</v>
      </c>
      <c r="H43" s="178" t="s">
        <v>604</v>
      </c>
    </row>
    <row r="44" spans="1:8" x14ac:dyDescent="0.2">
      <c r="A44" s="173">
        <v>43</v>
      </c>
      <c r="B44" s="94" t="s">
        <v>147</v>
      </c>
      <c r="C44" s="174">
        <v>-0.1605</v>
      </c>
      <c r="D44" s="174">
        <v>-0.1731</v>
      </c>
      <c r="E44" s="174">
        <v>-0.18559999999999999</v>
      </c>
      <c r="F44" s="174">
        <v>-0.1981</v>
      </c>
      <c r="G44" s="174">
        <v>-0.21060000000000001</v>
      </c>
      <c r="H44" s="175" t="s">
        <v>605</v>
      </c>
    </row>
    <row r="45" spans="1:8" x14ac:dyDescent="0.2">
      <c r="A45" s="173">
        <v>44</v>
      </c>
      <c r="B45" s="94" t="s">
        <v>148</v>
      </c>
      <c r="C45" s="174">
        <v>-0.18820000000000001</v>
      </c>
      <c r="D45" s="174">
        <v>-0.21460000000000001</v>
      </c>
      <c r="E45" s="174">
        <v>-0.24110000000000001</v>
      </c>
      <c r="F45" s="174">
        <v>-0.26750000000000002</v>
      </c>
      <c r="G45" s="174">
        <v>-0.29399999999999998</v>
      </c>
      <c r="H45" s="175" t="s">
        <v>606</v>
      </c>
    </row>
    <row r="46" spans="1:8" x14ac:dyDescent="0.2">
      <c r="A46" s="176">
        <v>45</v>
      </c>
      <c r="B46" s="98" t="s">
        <v>149</v>
      </c>
      <c r="C46" s="177">
        <v>-0.18820000000000001</v>
      </c>
      <c r="D46" s="177">
        <v>-0.21460000000000001</v>
      </c>
      <c r="E46" s="177">
        <v>-0.24110000000000001</v>
      </c>
      <c r="F46" s="177">
        <v>-0.26750000000000002</v>
      </c>
      <c r="G46" s="177">
        <v>-0.29399999999999998</v>
      </c>
      <c r="H46" s="178" t="s">
        <v>607</v>
      </c>
    </row>
    <row r="47" spans="1:8" x14ac:dyDescent="0.2">
      <c r="A47" s="176">
        <v>46</v>
      </c>
      <c r="B47" s="98" t="s">
        <v>150</v>
      </c>
      <c r="C47" s="177">
        <v>-0.18820000000000001</v>
      </c>
      <c r="D47" s="177">
        <v>-0.21460000000000001</v>
      </c>
      <c r="E47" s="177">
        <v>-0.24110000000000001</v>
      </c>
      <c r="F47" s="177">
        <v>-0.26750000000000002</v>
      </c>
      <c r="G47" s="177">
        <v>-0.29399999999999998</v>
      </c>
      <c r="H47" s="178" t="s">
        <v>607</v>
      </c>
    </row>
    <row r="48" spans="1:8" x14ac:dyDescent="0.2">
      <c r="A48" s="176">
        <v>47</v>
      </c>
      <c r="B48" s="98" t="s">
        <v>151</v>
      </c>
      <c r="C48" s="177">
        <v>-0.18820000000000001</v>
      </c>
      <c r="D48" s="177">
        <v>-0.21460000000000001</v>
      </c>
      <c r="E48" s="177">
        <v>-0.24110000000000001</v>
      </c>
      <c r="F48" s="177">
        <v>-0.26750000000000002</v>
      </c>
      <c r="G48" s="177">
        <v>-0.29399999999999998</v>
      </c>
      <c r="H48" s="178" t="s">
        <v>607</v>
      </c>
    </row>
    <row r="49" spans="1:8" x14ac:dyDescent="0.2">
      <c r="A49" s="176">
        <v>48</v>
      </c>
      <c r="B49" s="98" t="s">
        <v>152</v>
      </c>
      <c r="C49" s="177">
        <v>-0.18820000000000001</v>
      </c>
      <c r="D49" s="177">
        <v>-0.21460000000000001</v>
      </c>
      <c r="E49" s="177">
        <v>-0.24110000000000001</v>
      </c>
      <c r="F49" s="177">
        <v>-0.26750000000000002</v>
      </c>
      <c r="G49" s="177">
        <v>-0.29399999999999998</v>
      </c>
      <c r="H49" s="178" t="s">
        <v>607</v>
      </c>
    </row>
    <row r="50" spans="1:8" x14ac:dyDescent="0.2">
      <c r="A50" s="176">
        <v>49</v>
      </c>
      <c r="B50" s="98" t="s">
        <v>153</v>
      </c>
      <c r="C50" s="177">
        <v>-0.18820000000000001</v>
      </c>
      <c r="D50" s="177">
        <v>-0.21460000000000001</v>
      </c>
      <c r="E50" s="177">
        <v>-0.24110000000000001</v>
      </c>
      <c r="F50" s="177">
        <v>-0.26750000000000002</v>
      </c>
      <c r="G50" s="177">
        <v>-0.29399999999999998</v>
      </c>
      <c r="H50" s="178" t="s">
        <v>607</v>
      </c>
    </row>
    <row r="51" spans="1:8" x14ac:dyDescent="0.2">
      <c r="A51" s="176">
        <v>50</v>
      </c>
      <c r="B51" s="98" t="s">
        <v>154</v>
      </c>
      <c r="C51" s="177">
        <v>-0.1905</v>
      </c>
      <c r="D51" s="177">
        <v>-0.2208</v>
      </c>
      <c r="E51" s="177">
        <v>-0.25109999999999999</v>
      </c>
      <c r="F51" s="177">
        <v>-0.28139999999999998</v>
      </c>
      <c r="G51" s="177">
        <v>-0.31169999999999998</v>
      </c>
      <c r="H51" s="178" t="s">
        <v>748</v>
      </c>
    </row>
    <row r="52" spans="1:8" x14ac:dyDescent="0.2">
      <c r="A52" s="176">
        <v>51</v>
      </c>
      <c r="B52" s="98" t="s">
        <v>155</v>
      </c>
      <c r="C52" s="177">
        <v>-0.18820000000000001</v>
      </c>
      <c r="D52" s="177">
        <v>-0.21460000000000001</v>
      </c>
      <c r="E52" s="177">
        <v>-0.24110000000000001</v>
      </c>
      <c r="F52" s="177">
        <v>-0.26750000000000002</v>
      </c>
      <c r="G52" s="177">
        <v>-0.29399999999999998</v>
      </c>
      <c r="H52" s="178" t="s">
        <v>608</v>
      </c>
    </row>
    <row r="53" spans="1:8" x14ac:dyDescent="0.2">
      <c r="A53" s="176">
        <v>52</v>
      </c>
      <c r="B53" s="98" t="s">
        <v>156</v>
      </c>
      <c r="C53" s="177">
        <v>-0.18820000000000001</v>
      </c>
      <c r="D53" s="177">
        <v>-0.21460000000000001</v>
      </c>
      <c r="E53" s="177">
        <v>-0.24110000000000001</v>
      </c>
      <c r="F53" s="177">
        <v>-0.26750000000000002</v>
      </c>
      <c r="G53" s="177">
        <v>-0.29399999999999998</v>
      </c>
      <c r="H53" s="178" t="s">
        <v>607</v>
      </c>
    </row>
    <row r="54" spans="1:8" x14ac:dyDescent="0.2">
      <c r="A54" s="176">
        <v>53</v>
      </c>
      <c r="B54" s="98" t="s">
        <v>157</v>
      </c>
      <c r="C54" s="177">
        <v>-0.13059999999999999</v>
      </c>
      <c r="D54" s="177">
        <v>-0.1472</v>
      </c>
      <c r="E54" s="177">
        <v>-0.16389999999999999</v>
      </c>
      <c r="F54" s="177">
        <v>-0.18049999999999999</v>
      </c>
      <c r="G54" s="177">
        <v>-0.1971</v>
      </c>
      <c r="H54" s="178" t="s">
        <v>609</v>
      </c>
    </row>
    <row r="55" spans="1:8" x14ac:dyDescent="0.2">
      <c r="A55" s="176">
        <v>54</v>
      </c>
      <c r="B55" s="98" t="s">
        <v>158</v>
      </c>
      <c r="C55" s="177">
        <v>-0.18820000000000001</v>
      </c>
      <c r="D55" s="177">
        <v>-0.21460000000000001</v>
      </c>
      <c r="E55" s="177">
        <v>-0.24110000000000001</v>
      </c>
      <c r="F55" s="177">
        <v>-0.26750000000000002</v>
      </c>
      <c r="G55" s="177">
        <v>-0.29399999999999998</v>
      </c>
      <c r="H55" s="178" t="s">
        <v>607</v>
      </c>
    </row>
    <row r="56" spans="1:8" x14ac:dyDescent="0.2">
      <c r="A56" s="176">
        <v>55</v>
      </c>
      <c r="B56" s="98" t="s">
        <v>159</v>
      </c>
      <c r="C56" s="177">
        <v>-0.18820000000000001</v>
      </c>
      <c r="D56" s="177">
        <v>-0.21460000000000001</v>
      </c>
      <c r="E56" s="177">
        <v>-0.24110000000000001</v>
      </c>
      <c r="F56" s="177">
        <v>-0.26750000000000002</v>
      </c>
      <c r="G56" s="177">
        <v>-0.29399999999999998</v>
      </c>
      <c r="H56" s="178" t="s">
        <v>607</v>
      </c>
    </row>
    <row r="57" spans="1:8" x14ac:dyDescent="0.2">
      <c r="A57" s="176">
        <v>56</v>
      </c>
      <c r="B57" s="98" t="s">
        <v>160</v>
      </c>
      <c r="C57" s="177">
        <v>-0.18820000000000001</v>
      </c>
      <c r="D57" s="177">
        <v>-0.21460000000000001</v>
      </c>
      <c r="E57" s="177">
        <v>-0.24110000000000001</v>
      </c>
      <c r="F57" s="177">
        <v>-0.26750000000000002</v>
      </c>
      <c r="G57" s="177">
        <v>-0.29399999999999998</v>
      </c>
      <c r="H57" s="178" t="s">
        <v>607</v>
      </c>
    </row>
    <row r="58" spans="1:8" x14ac:dyDescent="0.2">
      <c r="A58" s="173">
        <v>57</v>
      </c>
      <c r="B58" s="94" t="s">
        <v>161</v>
      </c>
      <c r="C58" s="174">
        <v>-0.1832</v>
      </c>
      <c r="D58" s="174">
        <v>-0.2099</v>
      </c>
      <c r="E58" s="174">
        <v>-0.2366</v>
      </c>
      <c r="F58" s="174">
        <v>-0.26329999999999998</v>
      </c>
      <c r="G58" s="174">
        <v>-0.28999999999999998</v>
      </c>
      <c r="H58" s="175" t="s">
        <v>610</v>
      </c>
    </row>
    <row r="59" spans="1:8" x14ac:dyDescent="0.2">
      <c r="A59" s="173">
        <v>58</v>
      </c>
      <c r="B59" s="94" t="s">
        <v>162</v>
      </c>
      <c r="C59" s="174">
        <v>-0.28010000000000002</v>
      </c>
      <c r="D59" s="174">
        <v>-0.3206</v>
      </c>
      <c r="E59" s="174">
        <v>-0.36120000000000002</v>
      </c>
      <c r="F59" s="174">
        <v>-0.4017</v>
      </c>
      <c r="G59" s="174">
        <v>-0.44230000000000003</v>
      </c>
      <c r="H59" s="175" t="s">
        <v>611</v>
      </c>
    </row>
    <row r="60" spans="1:8" x14ac:dyDescent="0.2">
      <c r="A60" s="173">
        <v>59</v>
      </c>
      <c r="B60" s="94" t="s">
        <v>612</v>
      </c>
      <c r="C60" s="174">
        <v>-0.23449999999999999</v>
      </c>
      <c r="D60" s="174">
        <v>-0.26640000000000003</v>
      </c>
      <c r="E60" s="174">
        <v>-0.29830000000000001</v>
      </c>
      <c r="F60" s="174">
        <v>-0.33019999999999999</v>
      </c>
      <c r="G60" s="174">
        <v>-0.36209999999999998</v>
      </c>
      <c r="H60" s="175" t="s">
        <v>613</v>
      </c>
    </row>
    <row r="61" spans="1:8" x14ac:dyDescent="0.2">
      <c r="A61" s="176">
        <v>60</v>
      </c>
      <c r="B61" s="98" t="s">
        <v>164</v>
      </c>
      <c r="C61" s="177">
        <v>-0.1905</v>
      </c>
      <c r="D61" s="177">
        <v>-0.2208</v>
      </c>
      <c r="E61" s="177">
        <v>-0.25109999999999999</v>
      </c>
      <c r="F61" s="177">
        <v>-0.28139999999999998</v>
      </c>
      <c r="G61" s="177">
        <v>-0.31169999999999998</v>
      </c>
      <c r="H61" s="178" t="s">
        <v>599</v>
      </c>
    </row>
    <row r="62" spans="1:8" x14ac:dyDescent="0.2">
      <c r="A62" s="176">
        <v>61</v>
      </c>
      <c r="B62" s="98" t="s">
        <v>165</v>
      </c>
      <c r="C62" s="177">
        <v>-0.1905</v>
      </c>
      <c r="D62" s="177">
        <v>-0.2208</v>
      </c>
      <c r="E62" s="177">
        <v>-0.25109999999999999</v>
      </c>
      <c r="F62" s="177">
        <v>-0.28139999999999998</v>
      </c>
      <c r="G62" s="177">
        <v>-0.31169999999999998</v>
      </c>
      <c r="H62" s="178" t="s">
        <v>599</v>
      </c>
    </row>
    <row r="63" spans="1:8" x14ac:dyDescent="0.2">
      <c r="A63" s="176">
        <v>62</v>
      </c>
      <c r="B63" s="98" t="s">
        <v>166</v>
      </c>
      <c r="C63" s="177">
        <v>-0.1905</v>
      </c>
      <c r="D63" s="177">
        <v>-0.2208</v>
      </c>
      <c r="E63" s="177">
        <v>-0.25109999999999999</v>
      </c>
      <c r="F63" s="177">
        <v>-0.28139999999999998</v>
      </c>
      <c r="G63" s="177">
        <v>-0.31169999999999998</v>
      </c>
      <c r="H63" s="178" t="s">
        <v>599</v>
      </c>
    </row>
    <row r="64" spans="1:8" x14ac:dyDescent="0.2">
      <c r="A64" s="176">
        <v>63</v>
      </c>
      <c r="B64" s="98" t="s">
        <v>167</v>
      </c>
      <c r="C64" s="177">
        <v>-0.1905</v>
      </c>
      <c r="D64" s="177">
        <v>-0.2208</v>
      </c>
      <c r="E64" s="177">
        <v>-0.25109999999999999</v>
      </c>
      <c r="F64" s="177">
        <v>-0.28139999999999998</v>
      </c>
      <c r="G64" s="177">
        <v>-0.31169999999999998</v>
      </c>
      <c r="H64" s="178" t="s">
        <v>599</v>
      </c>
    </row>
    <row r="65" spans="1:8" x14ac:dyDescent="0.2">
      <c r="A65" s="176">
        <v>64</v>
      </c>
      <c r="B65" s="98" t="s">
        <v>168</v>
      </c>
      <c r="C65" s="177">
        <v>-0.1905</v>
      </c>
      <c r="D65" s="177">
        <v>-0.2208</v>
      </c>
      <c r="E65" s="177">
        <v>-0.25109999999999999</v>
      </c>
      <c r="F65" s="177">
        <v>-0.28139999999999998</v>
      </c>
      <c r="G65" s="177">
        <v>-0.31169999999999998</v>
      </c>
      <c r="H65" s="178" t="s">
        <v>599</v>
      </c>
    </row>
    <row r="66" spans="1:8" x14ac:dyDescent="0.2">
      <c r="A66" s="176">
        <v>65</v>
      </c>
      <c r="B66" s="98" t="s">
        <v>169</v>
      </c>
      <c r="C66" s="177">
        <v>-0.1905</v>
      </c>
      <c r="D66" s="177">
        <v>-0.2208</v>
      </c>
      <c r="E66" s="177">
        <v>-0.25109999999999999</v>
      </c>
      <c r="F66" s="177">
        <v>-0.28139999999999998</v>
      </c>
      <c r="G66" s="177">
        <v>-0.31169999999999998</v>
      </c>
      <c r="H66" s="178" t="s">
        <v>599</v>
      </c>
    </row>
    <row r="67" spans="1:8" x14ac:dyDescent="0.2">
      <c r="A67" s="176">
        <v>66</v>
      </c>
      <c r="B67" s="98" t="s">
        <v>170</v>
      </c>
      <c r="C67" s="177">
        <v>-0.1905</v>
      </c>
      <c r="D67" s="177">
        <v>-0.2208</v>
      </c>
      <c r="E67" s="177">
        <v>-0.25109999999999999</v>
      </c>
      <c r="F67" s="177">
        <v>-0.28139999999999998</v>
      </c>
      <c r="G67" s="177">
        <v>-0.31169999999999998</v>
      </c>
      <c r="H67" s="178" t="s">
        <v>599</v>
      </c>
    </row>
    <row r="68" spans="1:8" x14ac:dyDescent="0.2">
      <c r="A68" s="176">
        <v>67</v>
      </c>
      <c r="B68" s="98" t="s">
        <v>171</v>
      </c>
      <c r="C68" s="177">
        <v>-0.1905</v>
      </c>
      <c r="D68" s="177">
        <v>-0.2208</v>
      </c>
      <c r="E68" s="177">
        <v>-0.25109999999999999</v>
      </c>
      <c r="F68" s="177">
        <v>-0.28139999999999998</v>
      </c>
      <c r="G68" s="177">
        <v>-0.31169999999999998</v>
      </c>
      <c r="H68" s="178" t="s">
        <v>599</v>
      </c>
    </row>
    <row r="69" spans="1:8" x14ac:dyDescent="0.2">
      <c r="B69" s="491"/>
    </row>
    <row r="71" spans="1:8" ht="113" x14ac:dyDescent="0.2">
      <c r="A71" s="179" t="s">
        <v>614</v>
      </c>
      <c r="B71" s="180" t="s">
        <v>615</v>
      </c>
      <c r="C71" s="181" t="s">
        <v>616</v>
      </c>
      <c r="D71" s="182"/>
      <c r="E71" s="72"/>
      <c r="F71" s="72"/>
      <c r="G71" s="72"/>
      <c r="H71" s="72"/>
    </row>
    <row r="75" spans="1:8" x14ac:dyDescent="0.2">
      <c r="A75" s="492" t="s">
        <v>1010</v>
      </c>
    </row>
    <row r="76" spans="1:8" s="493" customFormat="1" x14ac:dyDescent="0.2"/>
    <row r="77" spans="1:8" x14ac:dyDescent="0.2">
      <c r="A77" s="73" t="s">
        <v>1011</v>
      </c>
    </row>
  </sheetData>
  <mergeCells count="1">
    <mergeCell ref="A76:XFD7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BC83-769E-0042-8728-3EF856A30885}">
  <sheetPr>
    <tabColor theme="7" tint="0.79998168889431442"/>
  </sheetPr>
  <dimension ref="A1:G70"/>
  <sheetViews>
    <sheetView zoomScale="125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6" x14ac:dyDescent="0.2"/>
  <cols>
    <col min="1" max="1" width="7.33203125" style="183" customWidth="1"/>
    <col min="2" max="2" width="60" style="73" customWidth="1"/>
    <col min="3" max="3" width="30" style="73" customWidth="1"/>
    <col min="4" max="4" width="12" style="73" customWidth="1"/>
    <col min="5" max="5" width="8.83203125" style="73"/>
    <col min="6" max="6" width="26.1640625" style="73" customWidth="1"/>
    <col min="7" max="7" width="29.6640625" style="61" customWidth="1"/>
    <col min="8" max="8" width="23.5" style="73" customWidth="1"/>
    <col min="9" max="16384" width="8.83203125" style="73"/>
  </cols>
  <sheetData>
    <row r="1" spans="1:7" ht="30" customHeight="1" x14ac:dyDescent="0.2">
      <c r="A1" s="241" t="s">
        <v>618</v>
      </c>
      <c r="B1" s="191" t="s">
        <v>669</v>
      </c>
      <c r="C1" s="191" t="s">
        <v>668</v>
      </c>
      <c r="D1" s="191" t="s">
        <v>620</v>
      </c>
    </row>
    <row r="2" spans="1:7" ht="15" x14ac:dyDescent="0.2">
      <c r="A2" s="242">
        <v>1</v>
      </c>
      <c r="B2" s="193" t="s">
        <v>621</v>
      </c>
      <c r="C2" s="192" t="s">
        <v>622</v>
      </c>
      <c r="D2" s="194">
        <v>6</v>
      </c>
      <c r="F2" s="225" t="s">
        <v>619</v>
      </c>
      <c r="G2" s="226" t="s">
        <v>620</v>
      </c>
    </row>
    <row r="3" spans="1:7" ht="15" x14ac:dyDescent="0.2">
      <c r="A3" s="242">
        <v>2</v>
      </c>
      <c r="B3" s="193" t="s">
        <v>106</v>
      </c>
      <c r="C3" s="192" t="s">
        <v>622</v>
      </c>
      <c r="D3" s="194">
        <v>6</v>
      </c>
      <c r="F3" s="193" t="s">
        <v>622</v>
      </c>
      <c r="G3" s="227">
        <v>6</v>
      </c>
    </row>
    <row r="4" spans="1:7" ht="15" x14ac:dyDescent="0.2">
      <c r="A4" s="243">
        <v>3</v>
      </c>
      <c r="B4" s="196" t="s">
        <v>107</v>
      </c>
      <c r="C4" s="195" t="s">
        <v>623</v>
      </c>
      <c r="D4" s="197">
        <v>1.5</v>
      </c>
      <c r="F4" s="199" t="s">
        <v>625</v>
      </c>
      <c r="G4" s="228">
        <v>6</v>
      </c>
    </row>
    <row r="5" spans="1:7" ht="15" x14ac:dyDescent="0.2">
      <c r="A5" s="244">
        <v>4</v>
      </c>
      <c r="B5" s="199" t="s">
        <v>624</v>
      </c>
      <c r="C5" s="198" t="s">
        <v>625</v>
      </c>
      <c r="D5" s="200">
        <v>6</v>
      </c>
      <c r="F5" s="211" t="s">
        <v>643</v>
      </c>
      <c r="G5" s="229">
        <v>6</v>
      </c>
    </row>
    <row r="6" spans="1:7" ht="15" x14ac:dyDescent="0.2">
      <c r="A6" s="245">
        <v>5</v>
      </c>
      <c r="B6" s="202" t="s">
        <v>109</v>
      </c>
      <c r="C6" s="201" t="s">
        <v>626</v>
      </c>
      <c r="D6" s="203">
        <v>3</v>
      </c>
      <c r="F6" s="202" t="s">
        <v>626</v>
      </c>
      <c r="G6" s="230">
        <v>3</v>
      </c>
    </row>
    <row r="7" spans="1:7" ht="15" x14ac:dyDescent="0.2">
      <c r="A7" s="245">
        <v>6</v>
      </c>
      <c r="B7" s="202" t="s">
        <v>110</v>
      </c>
      <c r="C7" s="201" t="s">
        <v>626</v>
      </c>
      <c r="D7" s="203">
        <v>3</v>
      </c>
      <c r="F7" s="205" t="s">
        <v>343</v>
      </c>
      <c r="G7" s="231">
        <v>3</v>
      </c>
    </row>
    <row r="8" spans="1:7" ht="15" x14ac:dyDescent="0.2">
      <c r="A8" s="245">
        <v>7</v>
      </c>
      <c r="B8" s="202" t="s">
        <v>111</v>
      </c>
      <c r="C8" s="201" t="s">
        <v>626</v>
      </c>
      <c r="D8" s="203">
        <v>3</v>
      </c>
      <c r="F8" s="196" t="s">
        <v>623</v>
      </c>
      <c r="G8" s="232">
        <v>1.5</v>
      </c>
    </row>
    <row r="9" spans="1:7" ht="16" customHeight="1" x14ac:dyDescent="0.2">
      <c r="A9" s="245">
        <v>8</v>
      </c>
      <c r="B9" s="202" t="s">
        <v>112</v>
      </c>
      <c r="C9" s="201" t="s">
        <v>626</v>
      </c>
      <c r="D9" s="203">
        <v>3</v>
      </c>
      <c r="F9" s="220" t="s">
        <v>657</v>
      </c>
      <c r="G9" s="233">
        <v>1.5</v>
      </c>
    </row>
    <row r="10" spans="1:7" ht="15" x14ac:dyDescent="0.2">
      <c r="A10" s="245">
        <v>9</v>
      </c>
      <c r="B10" s="202" t="s">
        <v>113</v>
      </c>
      <c r="C10" s="201" t="s">
        <v>626</v>
      </c>
      <c r="D10" s="203">
        <v>3</v>
      </c>
      <c r="F10" s="217" t="s">
        <v>654</v>
      </c>
      <c r="G10" s="234">
        <v>2</v>
      </c>
    </row>
    <row r="11" spans="1:7" ht="15" customHeight="1" x14ac:dyDescent="0.2">
      <c r="A11" s="245">
        <v>10</v>
      </c>
      <c r="B11" s="202" t="s">
        <v>627</v>
      </c>
      <c r="C11" s="201" t="s">
        <v>626</v>
      </c>
      <c r="D11" s="203">
        <v>3</v>
      </c>
      <c r="F11" s="208" t="s">
        <v>641</v>
      </c>
      <c r="G11" s="235">
        <v>2</v>
      </c>
    </row>
    <row r="12" spans="1:7" ht="15" x14ac:dyDescent="0.2">
      <c r="A12" s="245">
        <v>11</v>
      </c>
      <c r="B12" s="202" t="s">
        <v>628</v>
      </c>
      <c r="C12" s="201" t="s">
        <v>626</v>
      </c>
      <c r="D12" s="203">
        <v>3</v>
      </c>
      <c r="F12" s="196" t="s">
        <v>646</v>
      </c>
      <c r="G12" s="232">
        <v>1</v>
      </c>
    </row>
    <row r="13" spans="1:7" ht="15" x14ac:dyDescent="0.2">
      <c r="A13" s="245">
        <v>12</v>
      </c>
      <c r="B13" s="202" t="s">
        <v>629</v>
      </c>
      <c r="C13" s="201" t="s">
        <v>626</v>
      </c>
      <c r="D13" s="203">
        <v>3</v>
      </c>
      <c r="F13" s="214" t="s">
        <v>647</v>
      </c>
      <c r="G13" s="236">
        <v>0.2</v>
      </c>
    </row>
    <row r="14" spans="1:7" ht="15" x14ac:dyDescent="0.2">
      <c r="A14" s="245">
        <v>13</v>
      </c>
      <c r="B14" s="202" t="s">
        <v>630</v>
      </c>
      <c r="C14" s="201" t="s">
        <v>626</v>
      </c>
      <c r="D14" s="203">
        <v>3</v>
      </c>
      <c r="F14" s="223" t="s">
        <v>352</v>
      </c>
      <c r="G14" s="237">
        <v>0.2</v>
      </c>
    </row>
    <row r="15" spans="1:7" ht="15" x14ac:dyDescent="0.2">
      <c r="A15" s="253">
        <v>14</v>
      </c>
      <c r="B15" s="254" t="s">
        <v>118</v>
      </c>
      <c r="C15" s="195" t="s">
        <v>623</v>
      </c>
      <c r="D15" s="197">
        <v>1.5</v>
      </c>
    </row>
    <row r="16" spans="1:7" ht="15" x14ac:dyDescent="0.2">
      <c r="A16" s="245">
        <v>15</v>
      </c>
      <c r="B16" s="202" t="s">
        <v>631</v>
      </c>
      <c r="C16" s="201" t="s">
        <v>626</v>
      </c>
      <c r="D16" s="203">
        <v>3</v>
      </c>
    </row>
    <row r="17" spans="1:7" ht="15" x14ac:dyDescent="0.2">
      <c r="A17" s="245">
        <v>16</v>
      </c>
      <c r="B17" s="202" t="s">
        <v>632</v>
      </c>
      <c r="C17" s="201" t="s">
        <v>626</v>
      </c>
      <c r="D17" s="203">
        <v>3</v>
      </c>
      <c r="F17" s="240"/>
      <c r="G17" s="73"/>
    </row>
    <row r="18" spans="1:7" ht="15" x14ac:dyDescent="0.2">
      <c r="A18" s="245">
        <v>17</v>
      </c>
      <c r="B18" s="202" t="s">
        <v>633</v>
      </c>
      <c r="C18" s="201" t="s">
        <v>626</v>
      </c>
      <c r="D18" s="203">
        <v>3</v>
      </c>
      <c r="F18" s="501"/>
      <c r="G18" s="73"/>
    </row>
    <row r="19" spans="1:7" ht="15" x14ac:dyDescent="0.2">
      <c r="A19" s="245">
        <v>18</v>
      </c>
      <c r="B19" s="202" t="s">
        <v>634</v>
      </c>
      <c r="C19" s="201" t="s">
        <v>626</v>
      </c>
      <c r="D19" s="203">
        <v>3</v>
      </c>
      <c r="F19" s="240"/>
      <c r="G19" s="73"/>
    </row>
    <row r="20" spans="1:7" ht="15" x14ac:dyDescent="0.2">
      <c r="A20" s="245">
        <v>19</v>
      </c>
      <c r="B20" s="202" t="s">
        <v>123</v>
      </c>
      <c r="C20" s="201" t="s">
        <v>626</v>
      </c>
      <c r="D20" s="203">
        <v>3</v>
      </c>
      <c r="F20" s="240"/>
      <c r="G20" s="73"/>
    </row>
    <row r="21" spans="1:7" ht="15" x14ac:dyDescent="0.2">
      <c r="A21" s="245">
        <v>20</v>
      </c>
      <c r="B21" s="202" t="s">
        <v>635</v>
      </c>
      <c r="C21" s="201" t="s">
        <v>626</v>
      </c>
      <c r="D21" s="203">
        <v>3</v>
      </c>
      <c r="F21" s="240"/>
      <c r="G21" s="73"/>
    </row>
    <row r="22" spans="1:7" ht="15" x14ac:dyDescent="0.2">
      <c r="A22" s="245">
        <v>21</v>
      </c>
      <c r="B22" s="202" t="s">
        <v>636</v>
      </c>
      <c r="C22" s="201" t="s">
        <v>626</v>
      </c>
      <c r="D22" s="203">
        <v>3</v>
      </c>
      <c r="F22" s="240"/>
      <c r="G22" s="73"/>
    </row>
    <row r="23" spans="1:7" ht="15" x14ac:dyDescent="0.2">
      <c r="A23" s="245">
        <v>22</v>
      </c>
      <c r="B23" s="202" t="s">
        <v>126</v>
      </c>
      <c r="C23" s="201" t="s">
        <v>626</v>
      </c>
      <c r="D23" s="203">
        <v>3</v>
      </c>
      <c r="F23" s="240"/>
      <c r="G23" s="73"/>
    </row>
    <row r="24" spans="1:7" ht="15" x14ac:dyDescent="0.2">
      <c r="A24" s="245">
        <v>23</v>
      </c>
      <c r="B24" s="202" t="s">
        <v>637</v>
      </c>
      <c r="C24" s="201" t="s">
        <v>626</v>
      </c>
      <c r="D24" s="203">
        <v>3</v>
      </c>
      <c r="F24" s="240"/>
      <c r="G24" s="73"/>
    </row>
    <row r="25" spans="1:7" ht="15" x14ac:dyDescent="0.2">
      <c r="A25" s="245">
        <v>24</v>
      </c>
      <c r="B25" s="202" t="s">
        <v>638</v>
      </c>
      <c r="C25" s="201" t="s">
        <v>626</v>
      </c>
      <c r="D25" s="203">
        <v>3</v>
      </c>
      <c r="F25" s="240"/>
      <c r="G25" s="73"/>
    </row>
    <row r="26" spans="1:7" ht="15" x14ac:dyDescent="0.2">
      <c r="A26" s="245">
        <v>25</v>
      </c>
      <c r="B26" s="202" t="s">
        <v>129</v>
      </c>
      <c r="C26" s="201" t="s">
        <v>626</v>
      </c>
      <c r="D26" s="203">
        <v>3</v>
      </c>
      <c r="F26" s="240"/>
      <c r="G26" s="73"/>
    </row>
    <row r="27" spans="1:7" ht="15" x14ac:dyDescent="0.2">
      <c r="A27" s="245">
        <v>26</v>
      </c>
      <c r="B27" s="202" t="s">
        <v>130</v>
      </c>
      <c r="C27" s="201" t="s">
        <v>626</v>
      </c>
      <c r="D27" s="203">
        <v>3</v>
      </c>
      <c r="F27" s="240"/>
      <c r="G27" s="73"/>
    </row>
    <row r="28" spans="1:7" ht="15" x14ac:dyDescent="0.2">
      <c r="A28" s="245">
        <v>27</v>
      </c>
      <c r="B28" s="202" t="s">
        <v>131</v>
      </c>
      <c r="C28" s="201" t="s">
        <v>626</v>
      </c>
      <c r="D28" s="203">
        <v>3</v>
      </c>
      <c r="F28" s="240"/>
      <c r="G28" s="73"/>
    </row>
    <row r="29" spans="1:7" ht="15" x14ac:dyDescent="0.2">
      <c r="A29" s="245">
        <v>28</v>
      </c>
      <c r="B29" s="202" t="s">
        <v>639</v>
      </c>
      <c r="C29" s="201" t="s">
        <v>626</v>
      </c>
      <c r="D29" s="203">
        <v>3</v>
      </c>
    </row>
    <row r="30" spans="1:7" ht="15" x14ac:dyDescent="0.2">
      <c r="A30" s="243">
        <v>29</v>
      </c>
      <c r="B30" s="196" t="s">
        <v>133</v>
      </c>
      <c r="C30" s="195" t="s">
        <v>623</v>
      </c>
      <c r="D30" s="197">
        <v>1.5</v>
      </c>
      <c r="F30" s="238"/>
      <c r="G30" s="238"/>
    </row>
    <row r="31" spans="1:7" ht="15" x14ac:dyDescent="0.2">
      <c r="A31" s="243">
        <v>30</v>
      </c>
      <c r="B31" s="196" t="s">
        <v>640</v>
      </c>
      <c r="C31" s="195" t="s">
        <v>623</v>
      </c>
      <c r="D31" s="197">
        <v>1.5</v>
      </c>
      <c r="F31" s="238"/>
      <c r="G31" s="238"/>
    </row>
    <row r="32" spans="1:7" ht="15" x14ac:dyDescent="0.2">
      <c r="A32" s="246">
        <v>31</v>
      </c>
      <c r="B32" s="205" t="s">
        <v>343</v>
      </c>
      <c r="C32" s="204" t="s">
        <v>343</v>
      </c>
      <c r="D32" s="206">
        <v>3</v>
      </c>
      <c r="F32" s="238"/>
      <c r="G32" s="238"/>
    </row>
    <row r="33" spans="1:7" x14ac:dyDescent="0.2">
      <c r="A33" s="247">
        <v>32</v>
      </c>
      <c r="B33" s="208" t="s">
        <v>344</v>
      </c>
      <c r="C33" s="207" t="s">
        <v>641</v>
      </c>
      <c r="D33" s="209">
        <v>2</v>
      </c>
      <c r="F33" s="239"/>
      <c r="G33"/>
    </row>
    <row r="34" spans="1:7" ht="15" x14ac:dyDescent="0.2">
      <c r="A34" s="248">
        <v>33</v>
      </c>
      <c r="B34" s="211" t="s">
        <v>642</v>
      </c>
      <c r="C34" s="210" t="s">
        <v>643</v>
      </c>
      <c r="D34" s="212">
        <v>6</v>
      </c>
    </row>
    <row r="35" spans="1:7" ht="15" x14ac:dyDescent="0.2">
      <c r="A35" s="248">
        <v>34</v>
      </c>
      <c r="B35" s="211" t="s">
        <v>644</v>
      </c>
      <c r="C35" s="210" t="s">
        <v>643</v>
      </c>
      <c r="D35" s="212">
        <v>6</v>
      </c>
    </row>
    <row r="36" spans="1:7" ht="15" x14ac:dyDescent="0.2">
      <c r="A36" s="243">
        <v>35</v>
      </c>
      <c r="B36" s="196" t="s">
        <v>645</v>
      </c>
      <c r="C36" s="195" t="s">
        <v>646</v>
      </c>
      <c r="D36" s="197">
        <v>1</v>
      </c>
    </row>
    <row r="37" spans="1:7" ht="15" x14ac:dyDescent="0.2">
      <c r="A37" s="249">
        <v>36</v>
      </c>
      <c r="B37" s="214" t="s">
        <v>140</v>
      </c>
      <c r="C37" s="213" t="s">
        <v>647</v>
      </c>
      <c r="D37" s="215">
        <v>0.2</v>
      </c>
    </row>
    <row r="38" spans="1:7" ht="15" x14ac:dyDescent="0.2">
      <c r="A38" s="247">
        <v>37</v>
      </c>
      <c r="B38" s="208" t="s">
        <v>648</v>
      </c>
      <c r="C38" s="207" t="s">
        <v>641</v>
      </c>
      <c r="D38" s="209">
        <v>2</v>
      </c>
    </row>
    <row r="39" spans="1:7" ht="15" x14ac:dyDescent="0.2">
      <c r="A39" s="249">
        <v>38</v>
      </c>
      <c r="B39" s="214" t="s">
        <v>649</v>
      </c>
      <c r="C39" s="213" t="s">
        <v>647</v>
      </c>
      <c r="D39" s="215">
        <v>0.2</v>
      </c>
    </row>
    <row r="40" spans="1:7" ht="15" x14ac:dyDescent="0.2">
      <c r="A40" s="249">
        <v>39</v>
      </c>
      <c r="B40" s="214" t="s">
        <v>650</v>
      </c>
      <c r="C40" s="213" t="s">
        <v>647</v>
      </c>
      <c r="D40" s="215">
        <v>0.2</v>
      </c>
    </row>
    <row r="41" spans="1:7" ht="15" x14ac:dyDescent="0.2">
      <c r="A41" s="247">
        <v>40</v>
      </c>
      <c r="B41" s="208" t="s">
        <v>651</v>
      </c>
      <c r="C41" s="207" t="s">
        <v>641</v>
      </c>
      <c r="D41" s="209">
        <v>2</v>
      </c>
    </row>
    <row r="42" spans="1:7" ht="15" x14ac:dyDescent="0.2">
      <c r="A42" s="247">
        <v>41</v>
      </c>
      <c r="B42" s="208" t="s">
        <v>652</v>
      </c>
      <c r="C42" s="207" t="s">
        <v>641</v>
      </c>
      <c r="D42" s="209">
        <v>2</v>
      </c>
    </row>
    <row r="43" spans="1:7" ht="15" x14ac:dyDescent="0.2">
      <c r="A43" s="247">
        <v>42</v>
      </c>
      <c r="B43" s="208" t="s">
        <v>653</v>
      </c>
      <c r="C43" s="207" t="s">
        <v>641</v>
      </c>
      <c r="D43" s="209">
        <v>2</v>
      </c>
    </row>
    <row r="44" spans="1:7" ht="15" x14ac:dyDescent="0.2">
      <c r="A44" s="250">
        <v>43</v>
      </c>
      <c r="B44" s="217" t="s">
        <v>147</v>
      </c>
      <c r="C44" s="216" t="s">
        <v>654</v>
      </c>
      <c r="D44" s="218">
        <v>2</v>
      </c>
    </row>
    <row r="45" spans="1:7" ht="15" x14ac:dyDescent="0.2">
      <c r="A45" s="247">
        <v>44</v>
      </c>
      <c r="B45" s="208" t="s">
        <v>148</v>
      </c>
      <c r="C45" s="207" t="s">
        <v>641</v>
      </c>
      <c r="D45" s="209">
        <v>2</v>
      </c>
    </row>
    <row r="46" spans="1:7" ht="15" x14ac:dyDescent="0.2">
      <c r="A46" s="247">
        <v>45</v>
      </c>
      <c r="B46" s="208" t="s">
        <v>655</v>
      </c>
      <c r="C46" s="207" t="s">
        <v>641</v>
      </c>
      <c r="D46" s="209">
        <v>2</v>
      </c>
    </row>
    <row r="47" spans="1:7" ht="15" x14ac:dyDescent="0.2">
      <c r="A47" s="247">
        <v>46</v>
      </c>
      <c r="B47" s="208" t="s">
        <v>656</v>
      </c>
      <c r="C47" s="207" t="s">
        <v>641</v>
      </c>
      <c r="D47" s="209">
        <v>2</v>
      </c>
    </row>
    <row r="48" spans="1:7" ht="15" x14ac:dyDescent="0.2">
      <c r="A48" s="247">
        <v>47</v>
      </c>
      <c r="B48" s="208" t="s">
        <v>151</v>
      </c>
      <c r="C48" s="207" t="s">
        <v>641</v>
      </c>
      <c r="D48" s="209">
        <v>2</v>
      </c>
    </row>
    <row r="49" spans="1:4" ht="15" x14ac:dyDescent="0.2">
      <c r="A49" s="247">
        <v>48</v>
      </c>
      <c r="B49" s="208" t="s">
        <v>152</v>
      </c>
      <c r="C49" s="207" t="s">
        <v>641</v>
      </c>
      <c r="D49" s="209">
        <v>2</v>
      </c>
    </row>
    <row r="50" spans="1:4" ht="15" x14ac:dyDescent="0.2">
      <c r="A50" s="247">
        <v>49</v>
      </c>
      <c r="B50" s="208" t="s">
        <v>153</v>
      </c>
      <c r="C50" s="207" t="s">
        <v>641</v>
      </c>
      <c r="D50" s="209">
        <v>2</v>
      </c>
    </row>
    <row r="51" spans="1:4" ht="15" x14ac:dyDescent="0.2">
      <c r="A51" s="251">
        <v>50</v>
      </c>
      <c r="B51" s="220" t="s">
        <v>154</v>
      </c>
      <c r="C51" s="219" t="s">
        <v>657</v>
      </c>
      <c r="D51" s="221">
        <v>1.5</v>
      </c>
    </row>
    <row r="52" spans="1:4" ht="15" x14ac:dyDescent="0.2">
      <c r="A52" s="250">
        <v>51</v>
      </c>
      <c r="B52" s="217" t="s">
        <v>155</v>
      </c>
      <c r="C52" s="216" t="s">
        <v>654</v>
      </c>
      <c r="D52" s="218">
        <v>2</v>
      </c>
    </row>
    <row r="53" spans="1:4" ht="15" x14ac:dyDescent="0.2">
      <c r="A53" s="247">
        <v>52</v>
      </c>
      <c r="B53" s="208" t="s">
        <v>156</v>
      </c>
      <c r="C53" s="207" t="s">
        <v>641</v>
      </c>
      <c r="D53" s="209">
        <v>2</v>
      </c>
    </row>
    <row r="54" spans="1:4" ht="15" x14ac:dyDescent="0.2">
      <c r="A54" s="243">
        <v>53</v>
      </c>
      <c r="B54" s="196" t="s">
        <v>658</v>
      </c>
      <c r="C54" s="195" t="s">
        <v>646</v>
      </c>
      <c r="D54" s="197">
        <v>1</v>
      </c>
    </row>
    <row r="55" spans="1:4" ht="15" x14ac:dyDescent="0.2">
      <c r="A55" s="247">
        <v>54</v>
      </c>
      <c r="B55" s="208" t="s">
        <v>158</v>
      </c>
      <c r="C55" s="207" t="s">
        <v>641</v>
      </c>
      <c r="D55" s="209">
        <v>2</v>
      </c>
    </row>
    <row r="56" spans="1:4" ht="15" x14ac:dyDescent="0.2">
      <c r="A56" s="247">
        <v>55</v>
      </c>
      <c r="B56" s="208" t="s">
        <v>159</v>
      </c>
      <c r="C56" s="207" t="s">
        <v>641</v>
      </c>
      <c r="D56" s="209">
        <v>2</v>
      </c>
    </row>
    <row r="57" spans="1:4" ht="15" x14ac:dyDescent="0.2">
      <c r="A57" s="247">
        <v>56</v>
      </c>
      <c r="B57" s="208" t="s">
        <v>659</v>
      </c>
      <c r="C57" s="207" t="s">
        <v>641</v>
      </c>
      <c r="D57" s="209">
        <v>2</v>
      </c>
    </row>
    <row r="58" spans="1:4" ht="15" x14ac:dyDescent="0.2">
      <c r="A58" s="247">
        <v>57</v>
      </c>
      <c r="B58" s="208" t="s">
        <v>660</v>
      </c>
      <c r="C58" s="207" t="s">
        <v>641</v>
      </c>
      <c r="D58" s="209">
        <v>2</v>
      </c>
    </row>
    <row r="59" spans="1:4" ht="15" x14ac:dyDescent="0.2">
      <c r="A59" s="252">
        <v>58</v>
      </c>
      <c r="B59" s="223" t="s">
        <v>352</v>
      </c>
      <c r="C59" s="222" t="s">
        <v>352</v>
      </c>
      <c r="D59" s="224">
        <v>0.2</v>
      </c>
    </row>
    <row r="60" spans="1:4" ht="15" x14ac:dyDescent="0.2">
      <c r="A60" s="251">
        <v>59</v>
      </c>
      <c r="B60" s="220" t="s">
        <v>661</v>
      </c>
      <c r="C60" s="219" t="s">
        <v>657</v>
      </c>
      <c r="D60" s="221">
        <v>1.5</v>
      </c>
    </row>
    <row r="61" spans="1:4" ht="15" x14ac:dyDescent="0.2">
      <c r="A61" s="247">
        <v>60</v>
      </c>
      <c r="B61" s="208" t="s">
        <v>662</v>
      </c>
      <c r="C61" s="207" t="s">
        <v>641</v>
      </c>
      <c r="D61" s="209">
        <v>2</v>
      </c>
    </row>
    <row r="62" spans="1:4" ht="15" x14ac:dyDescent="0.2">
      <c r="A62" s="247">
        <v>61</v>
      </c>
      <c r="B62" s="208" t="s">
        <v>663</v>
      </c>
      <c r="C62" s="207" t="s">
        <v>641</v>
      </c>
      <c r="D62" s="209">
        <v>2</v>
      </c>
    </row>
    <row r="63" spans="1:4" ht="15" x14ac:dyDescent="0.2">
      <c r="A63" s="247">
        <v>62</v>
      </c>
      <c r="B63" s="208" t="s">
        <v>166</v>
      </c>
      <c r="C63" s="207" t="s">
        <v>641</v>
      </c>
      <c r="D63" s="209">
        <v>2</v>
      </c>
    </row>
    <row r="64" spans="1:4" ht="15" x14ac:dyDescent="0.2">
      <c r="A64" s="247">
        <v>63</v>
      </c>
      <c r="B64" s="208" t="s">
        <v>664</v>
      </c>
      <c r="C64" s="207" t="s">
        <v>641</v>
      </c>
      <c r="D64" s="209">
        <v>2</v>
      </c>
    </row>
    <row r="65" spans="1:4" ht="15" x14ac:dyDescent="0.2">
      <c r="A65" s="247">
        <v>64</v>
      </c>
      <c r="B65" s="208" t="s">
        <v>665</v>
      </c>
      <c r="C65" s="207" t="s">
        <v>641</v>
      </c>
      <c r="D65" s="209">
        <v>2</v>
      </c>
    </row>
    <row r="66" spans="1:4" ht="15" x14ac:dyDescent="0.2">
      <c r="A66" s="247">
        <v>65</v>
      </c>
      <c r="B66" s="208" t="s">
        <v>666</v>
      </c>
      <c r="C66" s="207" t="s">
        <v>641</v>
      </c>
      <c r="D66" s="209">
        <v>2</v>
      </c>
    </row>
    <row r="67" spans="1:4" ht="15" x14ac:dyDescent="0.2">
      <c r="A67" s="247">
        <v>66</v>
      </c>
      <c r="B67" s="208" t="s">
        <v>170</v>
      </c>
      <c r="C67" s="207" t="s">
        <v>641</v>
      </c>
      <c r="D67" s="209">
        <v>2</v>
      </c>
    </row>
    <row r="68" spans="1:4" ht="15" x14ac:dyDescent="0.2">
      <c r="A68" s="247">
        <v>67</v>
      </c>
      <c r="B68" s="208" t="s">
        <v>667</v>
      </c>
      <c r="C68" s="207" t="s">
        <v>641</v>
      </c>
      <c r="D68" s="209">
        <v>2</v>
      </c>
    </row>
    <row r="70" spans="1:4" ht="15" x14ac:dyDescent="0.2">
      <c r="A70" s="501" t="s">
        <v>1014</v>
      </c>
    </row>
  </sheetData>
  <autoFilter ref="B1:D68" xr:uid="{00000000-0009-0000-00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BF51-1F9F-2242-A176-8FE45AD1371A}">
  <sheetPr>
    <tabColor theme="7" tint="0.79998168889431442"/>
  </sheetPr>
  <dimension ref="A1:J69"/>
  <sheetViews>
    <sheetView zoomScale="165" zoomScaleNormal="100" workbookViewId="0">
      <selection activeCell="G7" sqref="G7"/>
    </sheetView>
  </sheetViews>
  <sheetFormatPr baseColWidth="10" defaultColWidth="8.83203125" defaultRowHeight="11" x14ac:dyDescent="0.15"/>
  <cols>
    <col min="1" max="1" width="5" style="504" customWidth="1"/>
    <col min="2" max="2" width="38" style="504" customWidth="1"/>
    <col min="3" max="3" width="18.1640625" style="504" customWidth="1"/>
    <col min="4" max="7" width="10" style="504" customWidth="1"/>
    <col min="8" max="8" width="46" style="504" customWidth="1"/>
    <col min="9" max="9" width="8.83203125" style="504"/>
    <col min="10" max="10" width="255.6640625" style="504" customWidth="1"/>
    <col min="11" max="16384" width="8.83203125" style="504"/>
  </cols>
  <sheetData>
    <row r="1" spans="1:10" ht="18" customHeight="1" x14ac:dyDescent="0.15">
      <c r="A1" s="502" t="s">
        <v>896</v>
      </c>
      <c r="B1" s="503"/>
      <c r="C1" s="503"/>
      <c r="D1" s="503"/>
      <c r="E1" s="503"/>
      <c r="F1" s="503"/>
      <c r="G1" s="503"/>
      <c r="H1" s="503"/>
    </row>
    <row r="2" spans="1:10" ht="36" customHeight="1" x14ac:dyDescent="0.15">
      <c r="A2" s="505" t="s">
        <v>814</v>
      </c>
      <c r="B2" s="505" t="s">
        <v>815</v>
      </c>
      <c r="C2" s="505" t="s">
        <v>897</v>
      </c>
      <c r="D2" s="505" t="s">
        <v>898</v>
      </c>
      <c r="E2" s="505" t="s">
        <v>899</v>
      </c>
      <c r="F2" s="505" t="s">
        <v>900</v>
      </c>
      <c r="G2" s="505" t="s">
        <v>901</v>
      </c>
      <c r="H2" s="505" t="s">
        <v>902</v>
      </c>
    </row>
    <row r="3" spans="1:10" ht="22" customHeight="1" x14ac:dyDescent="0.15">
      <c r="A3" s="506">
        <v>1</v>
      </c>
      <c r="B3" s="507" t="s">
        <v>823</v>
      </c>
      <c r="C3" s="508" t="s">
        <v>622</v>
      </c>
      <c r="D3" s="509">
        <v>0.9</v>
      </c>
      <c r="E3" s="510">
        <v>-0.9</v>
      </c>
      <c r="F3" s="509">
        <v>1.5</v>
      </c>
      <c r="G3" s="509">
        <v>-1.5</v>
      </c>
      <c r="H3" s="511" t="s">
        <v>903</v>
      </c>
      <c r="J3" s="512" t="s">
        <v>974</v>
      </c>
    </row>
    <row r="4" spans="1:10" ht="47" customHeight="1" x14ac:dyDescent="0.15">
      <c r="A4" s="506">
        <v>2</v>
      </c>
      <c r="B4" s="507" t="s">
        <v>106</v>
      </c>
      <c r="C4" s="508" t="s">
        <v>622</v>
      </c>
      <c r="D4" s="509">
        <v>1</v>
      </c>
      <c r="E4" s="510">
        <v>-1</v>
      </c>
      <c r="F4" s="509">
        <v>1.5</v>
      </c>
      <c r="G4" s="509">
        <v>-1.5</v>
      </c>
      <c r="H4" s="511" t="s">
        <v>904</v>
      </c>
      <c r="J4" s="513" t="s">
        <v>975</v>
      </c>
    </row>
    <row r="5" spans="1:10" ht="38" customHeight="1" x14ac:dyDescent="0.15">
      <c r="A5" s="514">
        <v>3</v>
      </c>
      <c r="B5" s="515" t="s">
        <v>826</v>
      </c>
      <c r="C5" s="516" t="s">
        <v>905</v>
      </c>
      <c r="D5" s="517">
        <v>1.5</v>
      </c>
      <c r="E5" s="517">
        <v>-1.5</v>
      </c>
      <c r="F5" s="517">
        <v>2</v>
      </c>
      <c r="G5" s="517">
        <v>-2</v>
      </c>
      <c r="H5" s="518" t="s">
        <v>906</v>
      </c>
      <c r="J5" s="513" t="s">
        <v>978</v>
      </c>
    </row>
    <row r="6" spans="1:10" ht="104" customHeight="1" x14ac:dyDescent="0.15">
      <c r="A6" s="514">
        <v>4</v>
      </c>
      <c r="B6" s="515" t="s">
        <v>828</v>
      </c>
      <c r="C6" s="516" t="s">
        <v>905</v>
      </c>
      <c r="D6" s="517">
        <v>1.2</v>
      </c>
      <c r="E6" s="517">
        <v>-1.2</v>
      </c>
      <c r="F6" s="517">
        <v>1.8</v>
      </c>
      <c r="G6" s="517">
        <v>-1.8</v>
      </c>
      <c r="H6" s="518" t="s">
        <v>907</v>
      </c>
      <c r="J6" s="513" t="s">
        <v>976</v>
      </c>
    </row>
    <row r="7" spans="1:10" ht="71" customHeight="1" x14ac:dyDescent="0.15">
      <c r="A7" s="519">
        <v>5</v>
      </c>
      <c r="B7" s="520" t="s">
        <v>109</v>
      </c>
      <c r="C7" s="521" t="s">
        <v>908</v>
      </c>
      <c r="D7" s="522">
        <v>1.2</v>
      </c>
      <c r="E7" s="522">
        <v>-1.2</v>
      </c>
      <c r="F7" s="522">
        <v>1.8</v>
      </c>
      <c r="G7" s="522">
        <v>-1.8</v>
      </c>
      <c r="H7" s="523" t="s">
        <v>909</v>
      </c>
      <c r="J7" s="513" t="s">
        <v>977</v>
      </c>
    </row>
    <row r="8" spans="1:10" ht="80" customHeight="1" x14ac:dyDescent="0.15">
      <c r="A8" s="519">
        <v>6</v>
      </c>
      <c r="B8" s="520" t="s">
        <v>110</v>
      </c>
      <c r="C8" s="521" t="s">
        <v>908</v>
      </c>
      <c r="D8" s="522">
        <v>1.2</v>
      </c>
      <c r="E8" s="522">
        <v>-1.2</v>
      </c>
      <c r="F8" s="522">
        <v>1.8</v>
      </c>
      <c r="G8" s="522">
        <v>-1.8</v>
      </c>
      <c r="H8" s="523" t="s">
        <v>910</v>
      </c>
    </row>
    <row r="9" spans="1:10" ht="31" customHeight="1" x14ac:dyDescent="0.15">
      <c r="A9" s="519">
        <v>7</v>
      </c>
      <c r="B9" s="520" t="s">
        <v>832</v>
      </c>
      <c r="C9" s="521" t="s">
        <v>908</v>
      </c>
      <c r="D9" s="522">
        <v>1</v>
      </c>
      <c r="E9" s="524">
        <v>-1</v>
      </c>
      <c r="F9" s="522">
        <v>1.5</v>
      </c>
      <c r="G9" s="522">
        <v>-1.5</v>
      </c>
      <c r="H9" s="523" t="s">
        <v>911</v>
      </c>
    </row>
    <row r="10" spans="1:10" ht="16" customHeight="1" x14ac:dyDescent="0.15">
      <c r="A10" s="525">
        <v>8</v>
      </c>
      <c r="B10" s="526" t="s">
        <v>112</v>
      </c>
      <c r="C10" s="527" t="s">
        <v>912</v>
      </c>
      <c r="D10" s="528">
        <v>2</v>
      </c>
      <c r="E10" s="529">
        <v>-2</v>
      </c>
      <c r="F10" s="528">
        <v>2.5</v>
      </c>
      <c r="G10" s="528">
        <v>-2.5</v>
      </c>
      <c r="H10" s="530" t="s">
        <v>913</v>
      </c>
    </row>
    <row r="11" spans="1:10" ht="16" customHeight="1" x14ac:dyDescent="0.15">
      <c r="A11" s="525">
        <v>9</v>
      </c>
      <c r="B11" s="526" t="s">
        <v>113</v>
      </c>
      <c r="C11" s="527" t="s">
        <v>912</v>
      </c>
      <c r="D11" s="528">
        <v>2</v>
      </c>
      <c r="E11" s="529">
        <v>-2</v>
      </c>
      <c r="F11" s="528">
        <v>2.5</v>
      </c>
      <c r="G11" s="528">
        <v>-2.5</v>
      </c>
      <c r="H11" s="530" t="s">
        <v>914</v>
      </c>
    </row>
    <row r="12" spans="1:10" ht="16" customHeight="1" x14ac:dyDescent="0.15">
      <c r="A12" s="525">
        <v>10</v>
      </c>
      <c r="B12" s="526" t="s">
        <v>627</v>
      </c>
      <c r="C12" s="527" t="s">
        <v>912</v>
      </c>
      <c r="D12" s="528">
        <v>1.8</v>
      </c>
      <c r="E12" s="528">
        <v>-1.8</v>
      </c>
      <c r="F12" s="528">
        <v>2.5</v>
      </c>
      <c r="G12" s="528">
        <v>-2.5</v>
      </c>
      <c r="H12" s="530" t="s">
        <v>915</v>
      </c>
    </row>
    <row r="13" spans="1:10" ht="16" customHeight="1" x14ac:dyDescent="0.15">
      <c r="A13" s="531">
        <v>11</v>
      </c>
      <c r="B13" s="532" t="s">
        <v>628</v>
      </c>
      <c r="C13" s="533" t="s">
        <v>916</v>
      </c>
      <c r="D13" s="534">
        <v>1.8</v>
      </c>
      <c r="E13" s="534">
        <v>-1.8</v>
      </c>
      <c r="F13" s="534">
        <v>2.5</v>
      </c>
      <c r="G13" s="534">
        <v>-2.5</v>
      </c>
      <c r="H13" s="535" t="s">
        <v>917</v>
      </c>
    </row>
    <row r="14" spans="1:10" ht="16" customHeight="1" x14ac:dyDescent="0.15">
      <c r="A14" s="531">
        <v>12</v>
      </c>
      <c r="B14" s="532" t="s">
        <v>629</v>
      </c>
      <c r="C14" s="533" t="s">
        <v>916</v>
      </c>
      <c r="D14" s="534">
        <v>1.8</v>
      </c>
      <c r="E14" s="534">
        <v>-1.8</v>
      </c>
      <c r="F14" s="534">
        <v>2.5</v>
      </c>
      <c r="G14" s="534">
        <v>-2.5</v>
      </c>
      <c r="H14" s="535" t="s">
        <v>918</v>
      </c>
    </row>
    <row r="15" spans="1:10" ht="16" customHeight="1" x14ac:dyDescent="0.15">
      <c r="A15" s="536">
        <v>13</v>
      </c>
      <c r="B15" s="537" t="s">
        <v>835</v>
      </c>
      <c r="C15" s="538" t="s">
        <v>183</v>
      </c>
      <c r="D15" s="539">
        <v>1</v>
      </c>
      <c r="E15" s="540">
        <v>-1</v>
      </c>
      <c r="F15" s="539">
        <v>1.5</v>
      </c>
      <c r="G15" s="539">
        <v>-1.5</v>
      </c>
      <c r="H15" s="541" t="s">
        <v>919</v>
      </c>
    </row>
    <row r="16" spans="1:10" ht="24" customHeight="1" x14ac:dyDescent="0.15">
      <c r="A16" s="542">
        <v>14</v>
      </c>
      <c r="B16" s="543" t="s">
        <v>981</v>
      </c>
      <c r="C16" s="543" t="s">
        <v>920</v>
      </c>
      <c r="D16" s="544">
        <v>1.5</v>
      </c>
      <c r="E16" s="544">
        <v>-1.5</v>
      </c>
      <c r="F16" s="544">
        <v>2</v>
      </c>
      <c r="G16" s="544">
        <v>-2</v>
      </c>
      <c r="H16" s="545" t="s">
        <v>982</v>
      </c>
    </row>
    <row r="17" spans="1:8" ht="16" customHeight="1" x14ac:dyDescent="0.15">
      <c r="A17" s="546">
        <v>15</v>
      </c>
      <c r="B17" s="547" t="s">
        <v>631</v>
      </c>
      <c r="C17" s="548" t="s">
        <v>921</v>
      </c>
      <c r="D17" s="549">
        <v>2</v>
      </c>
      <c r="E17" s="550">
        <v>-2</v>
      </c>
      <c r="F17" s="549">
        <v>2.5</v>
      </c>
      <c r="G17" s="549">
        <v>-2.5</v>
      </c>
      <c r="H17" s="551" t="s">
        <v>922</v>
      </c>
    </row>
    <row r="18" spans="1:8" ht="16" customHeight="1" x14ac:dyDescent="0.15">
      <c r="A18" s="546">
        <v>16</v>
      </c>
      <c r="B18" s="547" t="s">
        <v>837</v>
      </c>
      <c r="C18" s="548" t="s">
        <v>921</v>
      </c>
      <c r="D18" s="549">
        <v>1.8</v>
      </c>
      <c r="E18" s="549">
        <v>-1.8</v>
      </c>
      <c r="F18" s="549">
        <v>2</v>
      </c>
      <c r="G18" s="549">
        <v>-2</v>
      </c>
      <c r="H18" s="551" t="s">
        <v>923</v>
      </c>
    </row>
    <row r="19" spans="1:8" ht="16" customHeight="1" x14ac:dyDescent="0.15">
      <c r="A19" s="546">
        <v>17</v>
      </c>
      <c r="B19" s="547" t="s">
        <v>839</v>
      </c>
      <c r="C19" s="548" t="s">
        <v>921</v>
      </c>
      <c r="D19" s="549">
        <v>2</v>
      </c>
      <c r="E19" s="550">
        <v>-2</v>
      </c>
      <c r="F19" s="549">
        <v>2.5</v>
      </c>
      <c r="G19" s="549">
        <v>-2.5</v>
      </c>
      <c r="H19" s="551" t="s">
        <v>924</v>
      </c>
    </row>
    <row r="20" spans="1:8" ht="16" customHeight="1" x14ac:dyDescent="0.15">
      <c r="A20" s="546">
        <v>18</v>
      </c>
      <c r="B20" s="547" t="s">
        <v>840</v>
      </c>
      <c r="C20" s="548" t="s">
        <v>921</v>
      </c>
      <c r="D20" s="549">
        <v>1.5</v>
      </c>
      <c r="E20" s="549">
        <v>-1.5</v>
      </c>
      <c r="F20" s="549">
        <v>2</v>
      </c>
      <c r="G20" s="549">
        <v>-2</v>
      </c>
      <c r="H20" s="551" t="s">
        <v>925</v>
      </c>
    </row>
    <row r="21" spans="1:8" ht="16" customHeight="1" x14ac:dyDescent="0.15">
      <c r="A21" s="546">
        <v>19</v>
      </c>
      <c r="B21" s="547" t="s">
        <v>841</v>
      </c>
      <c r="C21" s="548" t="s">
        <v>921</v>
      </c>
      <c r="D21" s="549">
        <v>2.2000000000000002</v>
      </c>
      <c r="E21" s="550">
        <v>-2.2000000000000002</v>
      </c>
      <c r="F21" s="549">
        <v>2.8</v>
      </c>
      <c r="G21" s="549">
        <v>-2.8</v>
      </c>
      <c r="H21" s="551" t="s">
        <v>926</v>
      </c>
    </row>
    <row r="22" spans="1:8" ht="16" customHeight="1" x14ac:dyDescent="0.15">
      <c r="A22" s="546">
        <v>20</v>
      </c>
      <c r="B22" s="547" t="s">
        <v>842</v>
      </c>
      <c r="C22" s="548" t="s">
        <v>921</v>
      </c>
      <c r="D22" s="549">
        <v>2</v>
      </c>
      <c r="E22" s="550">
        <v>-2</v>
      </c>
      <c r="F22" s="549">
        <v>2.5</v>
      </c>
      <c r="G22" s="549">
        <v>-2.5</v>
      </c>
      <c r="H22" s="551" t="s">
        <v>927</v>
      </c>
    </row>
    <row r="23" spans="1:8" ht="16" customHeight="1" x14ac:dyDescent="0.15">
      <c r="A23" s="546">
        <v>21</v>
      </c>
      <c r="B23" s="547" t="s">
        <v>843</v>
      </c>
      <c r="C23" s="548" t="s">
        <v>921</v>
      </c>
      <c r="D23" s="549">
        <v>2.4</v>
      </c>
      <c r="E23" s="550">
        <v>-2.4</v>
      </c>
      <c r="F23" s="549">
        <v>3</v>
      </c>
      <c r="G23" s="549">
        <v>-3</v>
      </c>
      <c r="H23" s="551" t="s">
        <v>928</v>
      </c>
    </row>
    <row r="24" spans="1:8" ht="16" customHeight="1" x14ac:dyDescent="0.15">
      <c r="A24" s="546">
        <v>22</v>
      </c>
      <c r="B24" s="547" t="s">
        <v>339</v>
      </c>
      <c r="C24" s="548" t="s">
        <v>921</v>
      </c>
      <c r="D24" s="549">
        <v>2.2000000000000002</v>
      </c>
      <c r="E24" s="550">
        <v>-2.2000000000000002</v>
      </c>
      <c r="F24" s="549">
        <v>2.8</v>
      </c>
      <c r="G24" s="549">
        <v>-2.8</v>
      </c>
      <c r="H24" s="551" t="s">
        <v>929</v>
      </c>
    </row>
    <row r="25" spans="1:8" ht="16" customHeight="1" x14ac:dyDescent="0.15">
      <c r="A25" s="546">
        <v>23</v>
      </c>
      <c r="B25" s="547" t="s">
        <v>845</v>
      </c>
      <c r="C25" s="548" t="s">
        <v>921</v>
      </c>
      <c r="D25" s="549">
        <v>2</v>
      </c>
      <c r="E25" s="550">
        <v>-2</v>
      </c>
      <c r="F25" s="549">
        <v>2.5</v>
      </c>
      <c r="G25" s="549">
        <v>-2.5</v>
      </c>
      <c r="H25" s="551" t="s">
        <v>930</v>
      </c>
    </row>
    <row r="26" spans="1:8" ht="16" customHeight="1" x14ac:dyDescent="0.15">
      <c r="A26" s="546">
        <v>24</v>
      </c>
      <c r="B26" s="547" t="s">
        <v>846</v>
      </c>
      <c r="C26" s="548" t="s">
        <v>921</v>
      </c>
      <c r="D26" s="549">
        <v>1.8</v>
      </c>
      <c r="E26" s="549">
        <v>-1.8</v>
      </c>
      <c r="F26" s="549">
        <v>2.5</v>
      </c>
      <c r="G26" s="549">
        <v>-2.5</v>
      </c>
      <c r="H26" s="551" t="s">
        <v>931</v>
      </c>
    </row>
    <row r="27" spans="1:8" ht="16" customHeight="1" x14ac:dyDescent="0.15">
      <c r="A27" s="546">
        <v>25</v>
      </c>
      <c r="B27" s="547" t="s">
        <v>848</v>
      </c>
      <c r="C27" s="548" t="s">
        <v>921</v>
      </c>
      <c r="D27" s="549">
        <v>1.8</v>
      </c>
      <c r="E27" s="549">
        <v>-1.8</v>
      </c>
      <c r="F27" s="549">
        <v>2.5</v>
      </c>
      <c r="G27" s="549">
        <v>-2.5</v>
      </c>
      <c r="H27" s="551" t="s">
        <v>932</v>
      </c>
    </row>
    <row r="28" spans="1:8" ht="16" customHeight="1" x14ac:dyDescent="0.15">
      <c r="A28" s="531">
        <v>26</v>
      </c>
      <c r="B28" s="532" t="s">
        <v>849</v>
      </c>
      <c r="C28" s="533" t="s">
        <v>916</v>
      </c>
      <c r="D28" s="534">
        <v>1.5</v>
      </c>
      <c r="E28" s="534">
        <v>-1.5</v>
      </c>
      <c r="F28" s="534">
        <v>2</v>
      </c>
      <c r="G28" s="534">
        <v>-2</v>
      </c>
      <c r="H28" s="535" t="s">
        <v>933</v>
      </c>
    </row>
    <row r="29" spans="1:8" ht="16" customHeight="1" x14ac:dyDescent="0.15">
      <c r="A29" s="531">
        <v>27</v>
      </c>
      <c r="B29" s="532" t="s">
        <v>131</v>
      </c>
      <c r="C29" s="533" t="s">
        <v>916</v>
      </c>
      <c r="D29" s="534">
        <v>1.8</v>
      </c>
      <c r="E29" s="534">
        <v>-1.8</v>
      </c>
      <c r="F29" s="534">
        <v>2.5</v>
      </c>
      <c r="G29" s="534">
        <v>-2.5</v>
      </c>
      <c r="H29" s="535" t="s">
        <v>934</v>
      </c>
    </row>
    <row r="30" spans="1:8" ht="16" customHeight="1" x14ac:dyDescent="0.15">
      <c r="A30" s="536">
        <v>28</v>
      </c>
      <c r="B30" s="537" t="s">
        <v>851</v>
      </c>
      <c r="C30" s="538" t="s">
        <v>183</v>
      </c>
      <c r="D30" s="539">
        <v>0.9</v>
      </c>
      <c r="E30" s="540">
        <v>-0.9</v>
      </c>
      <c r="F30" s="539">
        <v>1.5</v>
      </c>
      <c r="G30" s="539">
        <v>-1.5</v>
      </c>
      <c r="H30" s="541" t="s">
        <v>935</v>
      </c>
    </row>
    <row r="31" spans="1:8" ht="16" customHeight="1" x14ac:dyDescent="0.15">
      <c r="A31" s="552">
        <v>29</v>
      </c>
      <c r="B31" s="553" t="s">
        <v>852</v>
      </c>
      <c r="C31" s="554" t="s">
        <v>936</v>
      </c>
      <c r="D31" s="555">
        <v>0.9</v>
      </c>
      <c r="E31" s="556">
        <v>-0.9</v>
      </c>
      <c r="F31" s="555">
        <v>1.5</v>
      </c>
      <c r="G31" s="555">
        <v>-1.5</v>
      </c>
      <c r="H31" s="557" t="s">
        <v>937</v>
      </c>
    </row>
    <row r="32" spans="1:8" ht="16" customHeight="1" x14ac:dyDescent="0.15">
      <c r="A32" s="552">
        <v>30</v>
      </c>
      <c r="B32" s="553" t="s">
        <v>854</v>
      </c>
      <c r="C32" s="554" t="s">
        <v>936</v>
      </c>
      <c r="D32" s="555">
        <v>0.9</v>
      </c>
      <c r="E32" s="556">
        <v>-0.9</v>
      </c>
      <c r="F32" s="555">
        <v>1.5</v>
      </c>
      <c r="G32" s="555">
        <v>-1.5</v>
      </c>
      <c r="H32" s="557" t="s">
        <v>938</v>
      </c>
    </row>
    <row r="33" spans="1:8" ht="16" customHeight="1" x14ac:dyDescent="0.15">
      <c r="A33" s="552">
        <v>31</v>
      </c>
      <c r="B33" s="553" t="s">
        <v>343</v>
      </c>
      <c r="C33" s="554" t="s">
        <v>936</v>
      </c>
      <c r="D33" s="555">
        <v>0.9</v>
      </c>
      <c r="E33" s="556">
        <v>-0.9</v>
      </c>
      <c r="F33" s="555">
        <v>1.5</v>
      </c>
      <c r="G33" s="555">
        <v>-1.5</v>
      </c>
      <c r="H33" s="557" t="s">
        <v>939</v>
      </c>
    </row>
    <row r="34" spans="1:8" ht="16" customHeight="1" x14ac:dyDescent="0.15">
      <c r="A34" s="536">
        <v>32</v>
      </c>
      <c r="B34" s="537" t="s">
        <v>856</v>
      </c>
      <c r="C34" s="538" t="s">
        <v>183</v>
      </c>
      <c r="D34" s="539">
        <v>0.9</v>
      </c>
      <c r="E34" s="540">
        <v>-0.9</v>
      </c>
      <c r="F34" s="539">
        <v>1.5</v>
      </c>
      <c r="G34" s="539">
        <v>-1.5</v>
      </c>
      <c r="H34" s="541" t="s">
        <v>940</v>
      </c>
    </row>
    <row r="35" spans="1:8" ht="16" customHeight="1" x14ac:dyDescent="0.15">
      <c r="A35" s="536">
        <v>33</v>
      </c>
      <c r="B35" s="537" t="s">
        <v>857</v>
      </c>
      <c r="C35" s="538" t="s">
        <v>183</v>
      </c>
      <c r="D35" s="539">
        <v>1</v>
      </c>
      <c r="E35" s="540">
        <v>-1</v>
      </c>
      <c r="F35" s="539">
        <v>1.8</v>
      </c>
      <c r="G35" s="539">
        <v>-1.8</v>
      </c>
      <c r="H35" s="541" t="s">
        <v>941</v>
      </c>
    </row>
    <row r="36" spans="1:8" ht="16" customHeight="1" x14ac:dyDescent="0.15">
      <c r="A36" s="536">
        <v>34</v>
      </c>
      <c r="B36" s="537" t="s">
        <v>859</v>
      </c>
      <c r="C36" s="538" t="s">
        <v>183</v>
      </c>
      <c r="D36" s="539">
        <v>0.9</v>
      </c>
      <c r="E36" s="540">
        <v>-0.9</v>
      </c>
      <c r="F36" s="539">
        <v>1.5</v>
      </c>
      <c r="G36" s="539">
        <v>-1.5</v>
      </c>
      <c r="H36" s="541" t="s">
        <v>942</v>
      </c>
    </row>
    <row r="37" spans="1:8" ht="16" customHeight="1" x14ac:dyDescent="0.15">
      <c r="A37" s="536">
        <v>35</v>
      </c>
      <c r="B37" s="537" t="s">
        <v>860</v>
      </c>
      <c r="C37" s="538" t="s">
        <v>183</v>
      </c>
      <c r="D37" s="539">
        <v>1</v>
      </c>
      <c r="E37" s="540">
        <v>-1</v>
      </c>
      <c r="F37" s="539">
        <v>1.5</v>
      </c>
      <c r="G37" s="539">
        <v>-1.5</v>
      </c>
      <c r="H37" s="541" t="s">
        <v>943</v>
      </c>
    </row>
    <row r="38" spans="1:8" ht="16" customHeight="1" x14ac:dyDescent="0.15">
      <c r="A38" s="536">
        <v>36</v>
      </c>
      <c r="B38" s="537" t="s">
        <v>862</v>
      </c>
      <c r="C38" s="538" t="s">
        <v>183</v>
      </c>
      <c r="D38" s="539">
        <v>1</v>
      </c>
      <c r="E38" s="540">
        <v>-1</v>
      </c>
      <c r="F38" s="539">
        <v>1.5</v>
      </c>
      <c r="G38" s="539">
        <v>-1.5</v>
      </c>
      <c r="H38" s="541" t="s">
        <v>944</v>
      </c>
    </row>
    <row r="39" spans="1:8" ht="16" customHeight="1" x14ac:dyDescent="0.15">
      <c r="A39" s="536">
        <v>37</v>
      </c>
      <c r="B39" s="537" t="s">
        <v>863</v>
      </c>
      <c r="C39" s="538" t="s">
        <v>183</v>
      </c>
      <c r="D39" s="539">
        <v>1</v>
      </c>
      <c r="E39" s="540">
        <v>-1</v>
      </c>
      <c r="F39" s="539">
        <v>1.5</v>
      </c>
      <c r="G39" s="539">
        <v>-1.5</v>
      </c>
      <c r="H39" s="541" t="s">
        <v>945</v>
      </c>
    </row>
    <row r="40" spans="1:8" ht="16" customHeight="1" x14ac:dyDescent="0.15">
      <c r="A40" s="536">
        <v>38</v>
      </c>
      <c r="B40" s="537" t="s">
        <v>864</v>
      </c>
      <c r="C40" s="538" t="s">
        <v>183</v>
      </c>
      <c r="D40" s="539">
        <v>0.9</v>
      </c>
      <c r="E40" s="540">
        <v>-0.9</v>
      </c>
      <c r="F40" s="539">
        <v>1.5</v>
      </c>
      <c r="G40" s="539">
        <v>-1.5</v>
      </c>
      <c r="H40" s="541" t="s">
        <v>946</v>
      </c>
    </row>
    <row r="41" spans="1:8" ht="16" customHeight="1" x14ac:dyDescent="0.15">
      <c r="A41" s="536">
        <v>39</v>
      </c>
      <c r="B41" s="537" t="s">
        <v>865</v>
      </c>
      <c r="C41" s="538" t="s">
        <v>183</v>
      </c>
      <c r="D41" s="539">
        <v>1</v>
      </c>
      <c r="E41" s="540">
        <v>-1</v>
      </c>
      <c r="F41" s="539">
        <v>1.5</v>
      </c>
      <c r="G41" s="539">
        <v>-1.5</v>
      </c>
      <c r="H41" s="541" t="s">
        <v>947</v>
      </c>
    </row>
    <row r="42" spans="1:8" ht="16" customHeight="1" x14ac:dyDescent="0.15">
      <c r="A42" s="536">
        <v>40</v>
      </c>
      <c r="B42" s="537" t="s">
        <v>866</v>
      </c>
      <c r="C42" s="538" t="s">
        <v>183</v>
      </c>
      <c r="D42" s="539">
        <v>1</v>
      </c>
      <c r="E42" s="540">
        <v>-1</v>
      </c>
      <c r="F42" s="539">
        <v>1.5</v>
      </c>
      <c r="G42" s="539">
        <v>-1.5</v>
      </c>
      <c r="H42" s="541" t="s">
        <v>948</v>
      </c>
    </row>
    <row r="43" spans="1:8" ht="16" customHeight="1" x14ac:dyDescent="0.15">
      <c r="A43" s="536">
        <v>41</v>
      </c>
      <c r="B43" s="537" t="s">
        <v>867</v>
      </c>
      <c r="C43" s="538" t="s">
        <v>183</v>
      </c>
      <c r="D43" s="539">
        <v>1</v>
      </c>
      <c r="E43" s="540">
        <v>-1</v>
      </c>
      <c r="F43" s="539">
        <v>1.5</v>
      </c>
      <c r="G43" s="539">
        <v>-1.5</v>
      </c>
      <c r="H43" s="541" t="s">
        <v>949</v>
      </c>
    </row>
    <row r="44" spans="1:8" ht="16" customHeight="1" x14ac:dyDescent="0.15">
      <c r="A44" s="536">
        <v>42</v>
      </c>
      <c r="B44" s="537" t="s">
        <v>868</v>
      </c>
      <c r="C44" s="538" t="s">
        <v>183</v>
      </c>
      <c r="D44" s="539">
        <v>1</v>
      </c>
      <c r="E44" s="540">
        <v>-1</v>
      </c>
      <c r="F44" s="539">
        <v>1.5</v>
      </c>
      <c r="G44" s="539">
        <v>-1.5</v>
      </c>
      <c r="H44" s="541" t="s">
        <v>950</v>
      </c>
    </row>
    <row r="45" spans="1:8" ht="16" customHeight="1" x14ac:dyDescent="0.15">
      <c r="A45" s="536">
        <v>43</v>
      </c>
      <c r="B45" s="537" t="s">
        <v>147</v>
      </c>
      <c r="C45" s="538" t="s">
        <v>183</v>
      </c>
      <c r="D45" s="539">
        <v>0.9</v>
      </c>
      <c r="E45" s="540">
        <v>-0.9</v>
      </c>
      <c r="F45" s="539">
        <v>1.5</v>
      </c>
      <c r="G45" s="539">
        <v>-1.5</v>
      </c>
      <c r="H45" s="541" t="s">
        <v>951</v>
      </c>
    </row>
    <row r="46" spans="1:8" ht="16" customHeight="1" x14ac:dyDescent="0.15">
      <c r="A46" s="536">
        <v>44</v>
      </c>
      <c r="B46" s="537" t="s">
        <v>869</v>
      </c>
      <c r="C46" s="538" t="s">
        <v>183</v>
      </c>
      <c r="D46" s="539">
        <v>0.9</v>
      </c>
      <c r="E46" s="540">
        <v>-0.9</v>
      </c>
      <c r="F46" s="539">
        <v>1.5</v>
      </c>
      <c r="G46" s="539">
        <v>-1.5</v>
      </c>
      <c r="H46" s="541" t="s">
        <v>952</v>
      </c>
    </row>
    <row r="47" spans="1:8" ht="16" customHeight="1" x14ac:dyDescent="0.15">
      <c r="A47" s="536">
        <v>45</v>
      </c>
      <c r="B47" s="537" t="s">
        <v>712</v>
      </c>
      <c r="C47" s="538" t="s">
        <v>183</v>
      </c>
      <c r="D47" s="539">
        <v>1</v>
      </c>
      <c r="E47" s="540">
        <v>-1</v>
      </c>
      <c r="F47" s="539">
        <v>1.5</v>
      </c>
      <c r="G47" s="539">
        <v>-1.5</v>
      </c>
      <c r="H47" s="541" t="s">
        <v>953</v>
      </c>
    </row>
    <row r="48" spans="1:8" ht="16" customHeight="1" x14ac:dyDescent="0.15">
      <c r="A48" s="536">
        <v>46</v>
      </c>
      <c r="B48" s="537" t="s">
        <v>871</v>
      </c>
      <c r="C48" s="538" t="s">
        <v>183</v>
      </c>
      <c r="D48" s="539">
        <v>1</v>
      </c>
      <c r="E48" s="540">
        <v>-1</v>
      </c>
      <c r="F48" s="539">
        <v>1.5</v>
      </c>
      <c r="G48" s="539">
        <v>-1.5</v>
      </c>
      <c r="H48" s="541" t="s">
        <v>954</v>
      </c>
    </row>
    <row r="49" spans="1:8" ht="16" customHeight="1" x14ac:dyDescent="0.15">
      <c r="A49" s="536">
        <v>47</v>
      </c>
      <c r="B49" s="537" t="s">
        <v>872</v>
      </c>
      <c r="C49" s="538" t="s">
        <v>183</v>
      </c>
      <c r="D49" s="539">
        <v>1</v>
      </c>
      <c r="E49" s="540">
        <v>-1</v>
      </c>
      <c r="F49" s="539">
        <v>1.5</v>
      </c>
      <c r="G49" s="539">
        <v>-1.5</v>
      </c>
      <c r="H49" s="541" t="s">
        <v>955</v>
      </c>
    </row>
    <row r="50" spans="1:8" ht="16" customHeight="1" x14ac:dyDescent="0.15">
      <c r="A50" s="536">
        <v>48</v>
      </c>
      <c r="B50" s="537" t="s">
        <v>873</v>
      </c>
      <c r="C50" s="538" t="s">
        <v>183</v>
      </c>
      <c r="D50" s="539">
        <v>1</v>
      </c>
      <c r="E50" s="540">
        <v>-1</v>
      </c>
      <c r="F50" s="539">
        <v>1.5</v>
      </c>
      <c r="G50" s="539">
        <v>-1.5</v>
      </c>
      <c r="H50" s="541" t="s">
        <v>956</v>
      </c>
    </row>
    <row r="51" spans="1:8" ht="16" customHeight="1" x14ac:dyDescent="0.15">
      <c r="A51" s="536">
        <v>49</v>
      </c>
      <c r="B51" s="537" t="s">
        <v>874</v>
      </c>
      <c r="C51" s="538" t="s">
        <v>183</v>
      </c>
      <c r="D51" s="539">
        <v>0.9</v>
      </c>
      <c r="E51" s="540">
        <v>-0.9</v>
      </c>
      <c r="F51" s="539">
        <v>1.5</v>
      </c>
      <c r="G51" s="539">
        <v>-1.5</v>
      </c>
      <c r="H51" s="541" t="s">
        <v>957</v>
      </c>
    </row>
    <row r="52" spans="1:8" ht="16" customHeight="1" x14ac:dyDescent="0.15">
      <c r="A52" s="536">
        <v>50</v>
      </c>
      <c r="B52" s="537" t="s">
        <v>154</v>
      </c>
      <c r="C52" s="538" t="s">
        <v>183</v>
      </c>
      <c r="D52" s="539">
        <v>0.9</v>
      </c>
      <c r="E52" s="540">
        <v>-0.9</v>
      </c>
      <c r="F52" s="539">
        <v>1.5</v>
      </c>
      <c r="G52" s="539">
        <v>-1.5</v>
      </c>
      <c r="H52" s="541" t="s">
        <v>958</v>
      </c>
    </row>
    <row r="53" spans="1:8" ht="16" customHeight="1" x14ac:dyDescent="0.15">
      <c r="A53" s="536">
        <v>51</v>
      </c>
      <c r="B53" s="537" t="s">
        <v>875</v>
      </c>
      <c r="C53" s="538" t="s">
        <v>183</v>
      </c>
      <c r="D53" s="539">
        <v>0.9</v>
      </c>
      <c r="E53" s="540">
        <v>-0.9</v>
      </c>
      <c r="F53" s="539">
        <v>1.5</v>
      </c>
      <c r="G53" s="539">
        <v>-1.5</v>
      </c>
      <c r="H53" s="541" t="s">
        <v>958</v>
      </c>
    </row>
    <row r="54" spans="1:8" ht="16" customHeight="1" x14ac:dyDescent="0.15">
      <c r="A54" s="536">
        <v>52</v>
      </c>
      <c r="B54" s="537" t="s">
        <v>156</v>
      </c>
      <c r="C54" s="538" t="s">
        <v>183</v>
      </c>
      <c r="D54" s="539">
        <v>0.9</v>
      </c>
      <c r="E54" s="540">
        <v>-0.9</v>
      </c>
      <c r="F54" s="539">
        <v>1.5</v>
      </c>
      <c r="G54" s="539">
        <v>-1.5</v>
      </c>
      <c r="H54" s="541" t="s">
        <v>959</v>
      </c>
    </row>
    <row r="55" spans="1:8" ht="16" customHeight="1" x14ac:dyDescent="0.15">
      <c r="A55" s="536">
        <v>53</v>
      </c>
      <c r="B55" s="537" t="s">
        <v>876</v>
      </c>
      <c r="C55" s="538" t="s">
        <v>183</v>
      </c>
      <c r="D55" s="539">
        <v>1</v>
      </c>
      <c r="E55" s="540">
        <v>-1</v>
      </c>
      <c r="F55" s="539">
        <v>1.5</v>
      </c>
      <c r="G55" s="539">
        <v>-1.5</v>
      </c>
      <c r="H55" s="541" t="s">
        <v>960</v>
      </c>
    </row>
    <row r="56" spans="1:8" ht="16" customHeight="1" x14ac:dyDescent="0.15">
      <c r="A56" s="536">
        <v>54</v>
      </c>
      <c r="B56" s="537" t="s">
        <v>878</v>
      </c>
      <c r="C56" s="538" t="s">
        <v>183</v>
      </c>
      <c r="D56" s="539">
        <v>0.9</v>
      </c>
      <c r="E56" s="540">
        <v>-0.9</v>
      </c>
      <c r="F56" s="539">
        <v>1.5</v>
      </c>
      <c r="G56" s="539">
        <v>-1.5</v>
      </c>
      <c r="H56" s="541" t="s">
        <v>958</v>
      </c>
    </row>
    <row r="57" spans="1:8" ht="16" customHeight="1" x14ac:dyDescent="0.15">
      <c r="A57" s="536">
        <v>55</v>
      </c>
      <c r="B57" s="537" t="s">
        <v>879</v>
      </c>
      <c r="C57" s="538" t="s">
        <v>183</v>
      </c>
      <c r="D57" s="539">
        <v>0.9</v>
      </c>
      <c r="E57" s="540">
        <v>-0.9</v>
      </c>
      <c r="F57" s="539">
        <v>1.5</v>
      </c>
      <c r="G57" s="539">
        <v>-1.5</v>
      </c>
      <c r="H57" s="541" t="s">
        <v>958</v>
      </c>
    </row>
    <row r="58" spans="1:8" ht="16" customHeight="1" x14ac:dyDescent="0.15">
      <c r="A58" s="536">
        <v>56</v>
      </c>
      <c r="B58" s="537" t="s">
        <v>880</v>
      </c>
      <c r="C58" s="538" t="s">
        <v>183</v>
      </c>
      <c r="D58" s="539">
        <v>0.9</v>
      </c>
      <c r="E58" s="540">
        <v>-0.9</v>
      </c>
      <c r="F58" s="539">
        <v>1.5</v>
      </c>
      <c r="G58" s="539">
        <v>-1.5</v>
      </c>
      <c r="H58" s="541" t="s">
        <v>958</v>
      </c>
    </row>
    <row r="59" spans="1:8" ht="16" customHeight="1" x14ac:dyDescent="0.15">
      <c r="A59" s="536">
        <v>57</v>
      </c>
      <c r="B59" s="537" t="s">
        <v>881</v>
      </c>
      <c r="C59" s="538" t="s">
        <v>183</v>
      </c>
      <c r="D59" s="539">
        <v>0.9</v>
      </c>
      <c r="E59" s="540">
        <v>-0.9</v>
      </c>
      <c r="F59" s="539">
        <v>1.5</v>
      </c>
      <c r="G59" s="539">
        <v>-1.5</v>
      </c>
      <c r="H59" s="541" t="s">
        <v>961</v>
      </c>
    </row>
    <row r="60" spans="1:8" ht="16" customHeight="1" x14ac:dyDescent="0.15">
      <c r="A60" s="536">
        <v>58</v>
      </c>
      <c r="B60" s="537" t="s">
        <v>352</v>
      </c>
      <c r="C60" s="538" t="s">
        <v>183</v>
      </c>
      <c r="D60" s="539">
        <v>0.9</v>
      </c>
      <c r="E60" s="540">
        <v>-0.9</v>
      </c>
      <c r="F60" s="539">
        <v>1.5</v>
      </c>
      <c r="G60" s="539">
        <v>-1.5</v>
      </c>
      <c r="H60" s="541" t="s">
        <v>962</v>
      </c>
    </row>
    <row r="61" spans="1:8" ht="16" customHeight="1" x14ac:dyDescent="0.15">
      <c r="A61" s="536">
        <v>59</v>
      </c>
      <c r="B61" s="537" t="s">
        <v>882</v>
      </c>
      <c r="C61" s="538" t="s">
        <v>183</v>
      </c>
      <c r="D61" s="539">
        <v>0.9</v>
      </c>
      <c r="E61" s="540">
        <v>-0.9</v>
      </c>
      <c r="F61" s="539">
        <v>1.5</v>
      </c>
      <c r="G61" s="539">
        <v>-1.5</v>
      </c>
      <c r="H61" s="541" t="s">
        <v>963</v>
      </c>
    </row>
    <row r="62" spans="1:8" ht="16" customHeight="1" x14ac:dyDescent="0.15">
      <c r="A62" s="536">
        <v>60</v>
      </c>
      <c r="B62" s="537" t="s">
        <v>883</v>
      </c>
      <c r="C62" s="538" t="s">
        <v>183</v>
      </c>
      <c r="D62" s="539">
        <v>1</v>
      </c>
      <c r="E62" s="540">
        <v>-1</v>
      </c>
      <c r="F62" s="539">
        <v>1.5</v>
      </c>
      <c r="G62" s="539">
        <v>-1.5</v>
      </c>
      <c r="H62" s="541" t="s">
        <v>964</v>
      </c>
    </row>
    <row r="63" spans="1:8" ht="16" customHeight="1" x14ac:dyDescent="0.15">
      <c r="A63" s="536">
        <v>61</v>
      </c>
      <c r="B63" s="537" t="s">
        <v>884</v>
      </c>
      <c r="C63" s="538" t="s">
        <v>183</v>
      </c>
      <c r="D63" s="539">
        <v>0.9</v>
      </c>
      <c r="E63" s="540">
        <v>-0.9</v>
      </c>
      <c r="F63" s="539">
        <v>1.5</v>
      </c>
      <c r="G63" s="539">
        <v>-1.5</v>
      </c>
      <c r="H63" s="541" t="s">
        <v>965</v>
      </c>
    </row>
    <row r="64" spans="1:8" ht="16" customHeight="1" x14ac:dyDescent="0.15">
      <c r="A64" s="536">
        <v>62</v>
      </c>
      <c r="B64" s="537" t="s">
        <v>886</v>
      </c>
      <c r="C64" s="538" t="s">
        <v>183</v>
      </c>
      <c r="D64" s="539">
        <v>0.9</v>
      </c>
      <c r="E64" s="540">
        <v>-0.9</v>
      </c>
      <c r="F64" s="539">
        <v>1.5</v>
      </c>
      <c r="G64" s="539">
        <v>-1.5</v>
      </c>
      <c r="H64" s="541" t="s">
        <v>949</v>
      </c>
    </row>
    <row r="65" spans="1:8" ht="16" customHeight="1" x14ac:dyDescent="0.15">
      <c r="A65" s="536">
        <v>63</v>
      </c>
      <c r="B65" s="537" t="s">
        <v>887</v>
      </c>
      <c r="C65" s="538" t="s">
        <v>183</v>
      </c>
      <c r="D65" s="539">
        <v>1</v>
      </c>
      <c r="E65" s="540">
        <v>-1</v>
      </c>
      <c r="F65" s="539">
        <v>1.5</v>
      </c>
      <c r="G65" s="539">
        <v>-1.5</v>
      </c>
      <c r="H65" s="541" t="s">
        <v>966</v>
      </c>
    </row>
    <row r="66" spans="1:8" ht="16" customHeight="1" x14ac:dyDescent="0.15">
      <c r="A66" s="536">
        <v>64</v>
      </c>
      <c r="B66" s="537" t="s">
        <v>888</v>
      </c>
      <c r="C66" s="538" t="s">
        <v>183</v>
      </c>
      <c r="D66" s="539">
        <v>0.9</v>
      </c>
      <c r="E66" s="540">
        <v>-0.9</v>
      </c>
      <c r="F66" s="539">
        <v>1.5</v>
      </c>
      <c r="G66" s="539">
        <v>-1.5</v>
      </c>
      <c r="H66" s="541" t="s">
        <v>967</v>
      </c>
    </row>
    <row r="67" spans="1:8" ht="16" customHeight="1" x14ac:dyDescent="0.15">
      <c r="A67" s="536">
        <v>65</v>
      </c>
      <c r="B67" s="537" t="s">
        <v>889</v>
      </c>
      <c r="C67" s="538" t="s">
        <v>183</v>
      </c>
      <c r="D67" s="539">
        <v>0.9</v>
      </c>
      <c r="E67" s="540">
        <v>-0.9</v>
      </c>
      <c r="F67" s="539">
        <v>1.5</v>
      </c>
      <c r="G67" s="539">
        <v>-1.5</v>
      </c>
      <c r="H67" s="541" t="s">
        <v>958</v>
      </c>
    </row>
    <row r="68" spans="1:8" ht="16" customHeight="1" x14ac:dyDescent="0.15">
      <c r="A68" s="536">
        <v>66</v>
      </c>
      <c r="B68" s="537" t="s">
        <v>890</v>
      </c>
      <c r="C68" s="538" t="s">
        <v>183</v>
      </c>
      <c r="D68" s="539">
        <v>0.9</v>
      </c>
      <c r="E68" s="540">
        <v>-0.9</v>
      </c>
      <c r="F68" s="539">
        <v>1.5</v>
      </c>
      <c r="G68" s="539">
        <v>-1.5</v>
      </c>
      <c r="H68" s="541" t="s">
        <v>958</v>
      </c>
    </row>
    <row r="69" spans="1:8" ht="16" customHeight="1" x14ac:dyDescent="0.15">
      <c r="A69" s="536">
        <v>67</v>
      </c>
      <c r="B69" s="537" t="s">
        <v>891</v>
      </c>
      <c r="C69" s="538" t="s">
        <v>183</v>
      </c>
      <c r="D69" s="539">
        <v>0.9</v>
      </c>
      <c r="E69" s="540">
        <v>-0.9</v>
      </c>
      <c r="F69" s="539">
        <v>1.5</v>
      </c>
      <c r="G69" s="539">
        <v>-1.5</v>
      </c>
      <c r="H69" s="541" t="s">
        <v>968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FE31-1532-4348-B842-ED0273A60F7F}">
  <dimension ref="A1:F72"/>
  <sheetViews>
    <sheetView zoomScale="94" workbookViewId="0">
      <selection activeCell="M19" sqref="M19"/>
    </sheetView>
  </sheetViews>
  <sheetFormatPr baseColWidth="10" defaultColWidth="8.83203125" defaultRowHeight="15" x14ac:dyDescent="0.2"/>
  <cols>
    <col min="1" max="1" width="8" style="73" customWidth="1"/>
    <col min="2" max="2" width="45" style="73" customWidth="1"/>
    <col min="3" max="3" width="37.1640625" style="73" customWidth="1"/>
    <col min="4" max="5" width="10" style="73" customWidth="1"/>
    <col min="6" max="6" width="65.5" style="42" customWidth="1"/>
    <col min="7" max="16384" width="8.83203125" style="73"/>
  </cols>
  <sheetData>
    <row r="1" spans="1:6" ht="22" customHeight="1" x14ac:dyDescent="0.2">
      <c r="A1" s="498"/>
      <c r="B1" s="499"/>
      <c r="C1" s="499"/>
      <c r="D1" s="499"/>
      <c r="E1" s="499"/>
      <c r="F1" s="499"/>
    </row>
    <row r="2" spans="1:6" ht="20" customHeight="1" x14ac:dyDescent="0.2">
      <c r="A2" s="494" t="s">
        <v>1013</v>
      </c>
      <c r="B2" s="495"/>
      <c r="C2" s="495"/>
      <c r="D2" s="495"/>
      <c r="E2" s="495"/>
      <c r="F2" s="495"/>
    </row>
    <row r="3" spans="1:6" ht="13" customHeight="1" x14ac:dyDescent="0.2">
      <c r="A3" s="496" t="s">
        <v>670</v>
      </c>
      <c r="B3" s="497"/>
      <c r="C3" s="497"/>
      <c r="D3" s="497"/>
      <c r="E3" s="497"/>
      <c r="F3" s="497"/>
    </row>
    <row r="4" spans="1:6" x14ac:dyDescent="0.2">
      <c r="A4" s="500"/>
      <c r="B4" s="500"/>
      <c r="C4" s="500"/>
      <c r="D4" s="500"/>
      <c r="E4" s="500"/>
      <c r="F4" s="500"/>
    </row>
    <row r="5" spans="1:6" ht="42" customHeight="1" x14ac:dyDescent="0.2">
      <c r="A5" s="255" t="s">
        <v>671</v>
      </c>
      <c r="B5" s="255" t="s">
        <v>1012</v>
      </c>
      <c r="C5" s="255" t="s">
        <v>672</v>
      </c>
      <c r="D5" s="255" t="s">
        <v>673</v>
      </c>
      <c r="E5" s="255" t="s">
        <v>674</v>
      </c>
      <c r="F5" s="255" t="s">
        <v>675</v>
      </c>
    </row>
    <row r="6" spans="1:6" ht="30" customHeight="1" x14ac:dyDescent="0.2">
      <c r="A6" s="256">
        <v>1</v>
      </c>
      <c r="B6" s="257" t="s">
        <v>676</v>
      </c>
      <c r="C6" s="257" t="s">
        <v>677</v>
      </c>
      <c r="D6" s="256">
        <v>2.5</v>
      </c>
      <c r="E6" s="256">
        <f t="shared" ref="E6:E69" si="0">-D6</f>
        <v>-2.5</v>
      </c>
      <c r="F6" s="257" t="s">
        <v>678</v>
      </c>
    </row>
    <row r="7" spans="1:6" ht="18" customHeight="1" x14ac:dyDescent="0.2">
      <c r="A7" s="258">
        <v>2</v>
      </c>
      <c r="B7" s="259" t="s">
        <v>106</v>
      </c>
      <c r="C7" s="259" t="s">
        <v>679</v>
      </c>
      <c r="D7" s="258">
        <v>1.25</v>
      </c>
      <c r="E7" s="258">
        <f t="shared" si="0"/>
        <v>-1.25</v>
      </c>
      <c r="F7" s="259" t="s">
        <v>680</v>
      </c>
    </row>
    <row r="8" spans="1:6" ht="40" customHeight="1" x14ac:dyDescent="0.2">
      <c r="A8" s="256">
        <v>3</v>
      </c>
      <c r="B8" s="257" t="s">
        <v>107</v>
      </c>
      <c r="C8" s="257" t="s">
        <v>681</v>
      </c>
      <c r="D8" s="256">
        <v>11.2</v>
      </c>
      <c r="E8" s="256">
        <f t="shared" si="0"/>
        <v>-11.2</v>
      </c>
      <c r="F8" s="257" t="s">
        <v>718</v>
      </c>
    </row>
    <row r="9" spans="1:6" ht="18" customHeight="1" x14ac:dyDescent="0.2">
      <c r="A9" s="258">
        <v>4</v>
      </c>
      <c r="B9" s="261" t="s">
        <v>484</v>
      </c>
      <c r="C9" s="259" t="s">
        <v>721</v>
      </c>
      <c r="D9" s="258">
        <v>1.9750000000000001</v>
      </c>
      <c r="E9" s="258">
        <v>-1.9750000000000001</v>
      </c>
      <c r="F9" s="262" t="s">
        <v>722</v>
      </c>
    </row>
    <row r="10" spans="1:6" ht="28" customHeight="1" x14ac:dyDescent="0.2">
      <c r="A10" s="256">
        <v>5</v>
      </c>
      <c r="B10" s="257" t="s">
        <v>109</v>
      </c>
      <c r="C10" s="257" t="s">
        <v>682</v>
      </c>
      <c r="D10" s="256">
        <v>2.7</v>
      </c>
      <c r="E10" s="256">
        <f t="shared" si="0"/>
        <v>-2.7</v>
      </c>
      <c r="F10" s="260" t="s">
        <v>565</v>
      </c>
    </row>
    <row r="11" spans="1:6" ht="28" customHeight="1" x14ac:dyDescent="0.2">
      <c r="A11" s="258">
        <v>6</v>
      </c>
      <c r="B11" s="259" t="s">
        <v>110</v>
      </c>
      <c r="C11" s="259" t="s">
        <v>683</v>
      </c>
      <c r="D11" s="258">
        <v>1.1499999999999999</v>
      </c>
      <c r="E11" s="258">
        <f t="shared" si="0"/>
        <v>-1.1499999999999999</v>
      </c>
      <c r="F11" s="260" t="s">
        <v>720</v>
      </c>
    </row>
    <row r="12" spans="1:6" ht="18" customHeight="1" x14ac:dyDescent="0.2">
      <c r="A12" s="256">
        <v>7</v>
      </c>
      <c r="B12" s="257" t="s">
        <v>111</v>
      </c>
      <c r="C12" s="257" t="s">
        <v>684</v>
      </c>
      <c r="D12" s="256">
        <v>1.1499999999999999</v>
      </c>
      <c r="E12" s="256">
        <f t="shared" si="0"/>
        <v>-1.1499999999999999</v>
      </c>
      <c r="F12" s="260" t="s">
        <v>719</v>
      </c>
    </row>
    <row r="13" spans="1:6" ht="19" customHeight="1" x14ac:dyDescent="0.2">
      <c r="A13" s="258">
        <v>8</v>
      </c>
      <c r="B13" s="259" t="s">
        <v>112</v>
      </c>
      <c r="C13" s="259" t="s">
        <v>723</v>
      </c>
      <c r="D13" s="258">
        <v>3.7</v>
      </c>
      <c r="E13" s="258">
        <f t="shared" si="0"/>
        <v>-3.7</v>
      </c>
      <c r="F13" s="262" t="s">
        <v>568</v>
      </c>
    </row>
    <row r="14" spans="1:6" ht="18" customHeight="1" x14ac:dyDescent="0.2">
      <c r="A14" s="558">
        <v>9</v>
      </c>
      <c r="B14" s="559" t="s">
        <v>113</v>
      </c>
      <c r="C14" s="559" t="s">
        <v>685</v>
      </c>
      <c r="D14" s="558">
        <v>3.7</v>
      </c>
      <c r="E14" s="558">
        <f t="shared" si="0"/>
        <v>-3.7</v>
      </c>
      <c r="F14" s="560" t="s">
        <v>569</v>
      </c>
    </row>
    <row r="15" spans="1:6" ht="18" customHeight="1" x14ac:dyDescent="0.2">
      <c r="A15" s="258">
        <v>10</v>
      </c>
      <c r="B15" s="259" t="s">
        <v>686</v>
      </c>
      <c r="C15" s="259" t="s">
        <v>687</v>
      </c>
      <c r="D15" s="258">
        <v>4.05</v>
      </c>
      <c r="E15" s="258">
        <f t="shared" si="0"/>
        <v>-4.05</v>
      </c>
      <c r="F15" s="175" t="s">
        <v>724</v>
      </c>
    </row>
    <row r="16" spans="1:6" ht="18" customHeight="1" x14ac:dyDescent="0.2">
      <c r="A16" s="256">
        <v>11</v>
      </c>
      <c r="B16" s="257" t="s">
        <v>688</v>
      </c>
      <c r="C16" s="257" t="s">
        <v>689</v>
      </c>
      <c r="D16" s="256">
        <v>3.4</v>
      </c>
      <c r="E16" s="256">
        <f t="shared" si="0"/>
        <v>-3.4</v>
      </c>
      <c r="F16" s="175" t="s">
        <v>725</v>
      </c>
    </row>
    <row r="17" spans="1:6" ht="18" customHeight="1" x14ac:dyDescent="0.2">
      <c r="A17" s="258">
        <v>12</v>
      </c>
      <c r="B17" s="259" t="s">
        <v>116</v>
      </c>
      <c r="C17" s="259" t="s">
        <v>690</v>
      </c>
      <c r="D17" s="258">
        <v>3.4</v>
      </c>
      <c r="E17" s="258">
        <f t="shared" si="0"/>
        <v>-3.4</v>
      </c>
      <c r="F17" s="175" t="s">
        <v>726</v>
      </c>
    </row>
    <row r="18" spans="1:6" ht="18" customHeight="1" x14ac:dyDescent="0.2">
      <c r="A18" s="558">
        <v>13</v>
      </c>
      <c r="B18" s="559" t="s">
        <v>117</v>
      </c>
      <c r="C18" s="559" t="s">
        <v>691</v>
      </c>
      <c r="D18" s="558">
        <v>1.9</v>
      </c>
      <c r="E18" s="558">
        <f t="shared" si="0"/>
        <v>-1.9</v>
      </c>
      <c r="F18" s="561" t="s">
        <v>727</v>
      </c>
    </row>
    <row r="19" spans="1:6" ht="25" customHeight="1" x14ac:dyDescent="0.2">
      <c r="A19" s="258">
        <v>14</v>
      </c>
      <c r="B19" s="259" t="s">
        <v>118</v>
      </c>
      <c r="C19" s="259" t="s">
        <v>692</v>
      </c>
      <c r="D19" s="258">
        <v>2.1</v>
      </c>
      <c r="E19" s="258">
        <f t="shared" si="0"/>
        <v>-2.1</v>
      </c>
      <c r="F19" s="260" t="s">
        <v>728</v>
      </c>
    </row>
    <row r="20" spans="1:6" ht="18" customHeight="1" x14ac:dyDescent="0.2">
      <c r="A20" s="256">
        <v>15</v>
      </c>
      <c r="B20" s="257" t="s">
        <v>119</v>
      </c>
      <c r="C20" s="257" t="s">
        <v>693</v>
      </c>
      <c r="D20" s="256">
        <v>3.3</v>
      </c>
      <c r="E20" s="256">
        <f t="shared" si="0"/>
        <v>-3.3</v>
      </c>
      <c r="F20" s="175" t="s">
        <v>729</v>
      </c>
    </row>
    <row r="21" spans="1:6" ht="18" customHeight="1" x14ac:dyDescent="0.2">
      <c r="A21" s="558">
        <v>16</v>
      </c>
      <c r="B21" s="559" t="s">
        <v>632</v>
      </c>
      <c r="C21" s="559" t="s">
        <v>694</v>
      </c>
      <c r="D21" s="558">
        <v>3.3</v>
      </c>
      <c r="E21" s="558">
        <f t="shared" si="0"/>
        <v>-3.3</v>
      </c>
      <c r="F21" s="561" t="s">
        <v>733</v>
      </c>
    </row>
    <row r="22" spans="1:6" ht="18" customHeight="1" x14ac:dyDescent="0.2">
      <c r="A22" s="558">
        <v>17</v>
      </c>
      <c r="B22" s="559" t="s">
        <v>633</v>
      </c>
      <c r="C22" s="559" t="s">
        <v>694</v>
      </c>
      <c r="D22" s="558">
        <v>3.3</v>
      </c>
      <c r="E22" s="558">
        <f t="shared" si="0"/>
        <v>-3.3</v>
      </c>
      <c r="F22" s="561" t="s">
        <v>732</v>
      </c>
    </row>
    <row r="23" spans="1:6" ht="18" customHeight="1" x14ac:dyDescent="0.2">
      <c r="A23" s="558">
        <v>18</v>
      </c>
      <c r="B23" s="559" t="s">
        <v>122</v>
      </c>
      <c r="C23" s="559" t="s">
        <v>695</v>
      </c>
      <c r="D23" s="558">
        <v>3.3</v>
      </c>
      <c r="E23" s="558">
        <f t="shared" si="0"/>
        <v>-3.3</v>
      </c>
      <c r="F23" s="561" t="s">
        <v>578</v>
      </c>
    </row>
    <row r="24" spans="1:6" ht="18" customHeight="1" x14ac:dyDescent="0.2">
      <c r="A24" s="256">
        <v>19</v>
      </c>
      <c r="B24" s="257" t="s">
        <v>123</v>
      </c>
      <c r="C24" s="257" t="s">
        <v>696</v>
      </c>
      <c r="D24" s="256">
        <v>4.2</v>
      </c>
      <c r="E24" s="256">
        <f t="shared" si="0"/>
        <v>-4.2</v>
      </c>
      <c r="F24" s="175" t="s">
        <v>730</v>
      </c>
    </row>
    <row r="25" spans="1:6" ht="18" customHeight="1" x14ac:dyDescent="0.2">
      <c r="A25" s="558">
        <v>20</v>
      </c>
      <c r="B25" s="559" t="s">
        <v>635</v>
      </c>
      <c r="C25" s="559" t="s">
        <v>697</v>
      </c>
      <c r="D25" s="558">
        <v>4.2</v>
      </c>
      <c r="E25" s="558">
        <f t="shared" si="0"/>
        <v>-4.2</v>
      </c>
      <c r="F25" s="561" t="s">
        <v>731</v>
      </c>
    </row>
    <row r="26" spans="1:6" ht="18" customHeight="1" x14ac:dyDescent="0.2">
      <c r="A26" s="558">
        <v>21</v>
      </c>
      <c r="B26" s="559" t="s">
        <v>698</v>
      </c>
      <c r="C26" s="559" t="s">
        <v>699</v>
      </c>
      <c r="D26" s="558">
        <v>4.05</v>
      </c>
      <c r="E26" s="558">
        <f t="shared" si="0"/>
        <v>-4.05</v>
      </c>
      <c r="F26" s="561" t="s">
        <v>581</v>
      </c>
    </row>
    <row r="27" spans="1:6" ht="18" customHeight="1" x14ac:dyDescent="0.2">
      <c r="A27" s="258">
        <v>22</v>
      </c>
      <c r="B27" s="259" t="s">
        <v>126</v>
      </c>
      <c r="C27" s="259" t="s">
        <v>700</v>
      </c>
      <c r="D27" s="258">
        <v>4.05</v>
      </c>
      <c r="E27" s="258">
        <f t="shared" si="0"/>
        <v>-4.05</v>
      </c>
      <c r="F27" s="175" t="s">
        <v>734</v>
      </c>
    </row>
    <row r="28" spans="1:6" ht="18" customHeight="1" x14ac:dyDescent="0.2">
      <c r="A28" s="256">
        <v>23</v>
      </c>
      <c r="B28" s="257" t="s">
        <v>127</v>
      </c>
      <c r="C28" s="257" t="s">
        <v>701</v>
      </c>
      <c r="D28" s="256">
        <v>4.05</v>
      </c>
      <c r="E28" s="256">
        <f t="shared" si="0"/>
        <v>-4.05</v>
      </c>
      <c r="F28" s="257" t="s">
        <v>702</v>
      </c>
    </row>
    <row r="29" spans="1:6" ht="18" customHeight="1" x14ac:dyDescent="0.2">
      <c r="A29" s="258">
        <v>24</v>
      </c>
      <c r="B29" s="259" t="s">
        <v>703</v>
      </c>
      <c r="C29" s="259" t="s">
        <v>704</v>
      </c>
      <c r="D29" s="258">
        <v>2.8</v>
      </c>
      <c r="E29" s="258">
        <f t="shared" si="0"/>
        <v>-2.8</v>
      </c>
      <c r="F29" s="175" t="s">
        <v>735</v>
      </c>
    </row>
    <row r="30" spans="1:6" ht="18" customHeight="1" x14ac:dyDescent="0.2">
      <c r="A30" s="256">
        <v>25</v>
      </c>
      <c r="B30" s="257" t="s">
        <v>129</v>
      </c>
      <c r="C30" s="257" t="s">
        <v>704</v>
      </c>
      <c r="D30" s="256">
        <v>2.8</v>
      </c>
      <c r="E30" s="256">
        <f t="shared" si="0"/>
        <v>-2.8</v>
      </c>
      <c r="F30" s="175" t="s">
        <v>735</v>
      </c>
    </row>
    <row r="31" spans="1:6" ht="18" customHeight="1" x14ac:dyDescent="0.2">
      <c r="A31" s="258">
        <v>26</v>
      </c>
      <c r="B31" s="259" t="s">
        <v>130</v>
      </c>
      <c r="C31" s="259" t="s">
        <v>737</v>
      </c>
      <c r="D31" s="258">
        <v>3.75</v>
      </c>
      <c r="E31" s="258">
        <f>-D31</f>
        <v>-3.75</v>
      </c>
      <c r="F31" s="175" t="s">
        <v>736</v>
      </c>
    </row>
    <row r="32" spans="1:6" ht="18" customHeight="1" x14ac:dyDescent="0.2">
      <c r="A32" s="256">
        <v>27</v>
      </c>
      <c r="B32" s="257" t="s">
        <v>131</v>
      </c>
      <c r="C32" s="257" t="s">
        <v>691</v>
      </c>
      <c r="D32" s="256">
        <v>1.9</v>
      </c>
      <c r="E32" s="256">
        <f t="shared" si="0"/>
        <v>-1.9</v>
      </c>
      <c r="F32" s="257" t="s">
        <v>705</v>
      </c>
    </row>
    <row r="33" spans="1:6" ht="18" customHeight="1" x14ac:dyDescent="0.2">
      <c r="A33" s="258">
        <v>28</v>
      </c>
      <c r="B33" s="259" t="s">
        <v>132</v>
      </c>
      <c r="C33" s="259" t="s">
        <v>691</v>
      </c>
      <c r="D33" s="258">
        <v>1.9</v>
      </c>
      <c r="E33" s="258">
        <f t="shared" si="0"/>
        <v>-1.9</v>
      </c>
      <c r="F33" s="259" t="s">
        <v>705</v>
      </c>
    </row>
    <row r="34" spans="1:6" ht="18" customHeight="1" x14ac:dyDescent="0.2">
      <c r="A34" s="256">
        <v>29</v>
      </c>
      <c r="B34" s="257" t="s">
        <v>133</v>
      </c>
      <c r="C34" s="257" t="s">
        <v>691</v>
      </c>
      <c r="D34" s="256">
        <v>1.9</v>
      </c>
      <c r="E34" s="256">
        <f t="shared" si="0"/>
        <v>-1.9</v>
      </c>
      <c r="F34" s="257" t="s">
        <v>705</v>
      </c>
    </row>
    <row r="35" spans="1:6" ht="18" customHeight="1" x14ac:dyDescent="0.2">
      <c r="A35" s="258">
        <v>30</v>
      </c>
      <c r="B35" s="259" t="s">
        <v>640</v>
      </c>
      <c r="C35" s="259" t="s">
        <v>739</v>
      </c>
      <c r="D35" s="258">
        <v>2.8</v>
      </c>
      <c r="E35" s="258">
        <f t="shared" si="0"/>
        <v>-2.8</v>
      </c>
      <c r="F35" s="175" t="s">
        <v>738</v>
      </c>
    </row>
    <row r="36" spans="1:6" ht="18" customHeight="1" x14ac:dyDescent="0.2">
      <c r="A36" s="256">
        <v>31</v>
      </c>
      <c r="B36" s="257" t="s">
        <v>343</v>
      </c>
      <c r="C36" s="257" t="s">
        <v>740</v>
      </c>
      <c r="D36" s="256">
        <v>1.9</v>
      </c>
      <c r="E36" s="256">
        <f t="shared" si="0"/>
        <v>-1.9</v>
      </c>
      <c r="F36" s="175" t="s">
        <v>741</v>
      </c>
    </row>
    <row r="37" spans="1:6" ht="18" customHeight="1" x14ac:dyDescent="0.2">
      <c r="A37" s="258">
        <v>32</v>
      </c>
      <c r="B37" s="259" t="s">
        <v>706</v>
      </c>
      <c r="C37" s="259" t="s">
        <v>742</v>
      </c>
      <c r="D37" s="258">
        <v>1.9</v>
      </c>
      <c r="E37" s="258">
        <f t="shared" si="0"/>
        <v>-1.9</v>
      </c>
      <c r="F37" s="175" t="s">
        <v>745</v>
      </c>
    </row>
    <row r="38" spans="1:6" ht="18" customHeight="1" x14ac:dyDescent="0.2">
      <c r="A38" s="256">
        <v>33</v>
      </c>
      <c r="B38" s="257" t="s">
        <v>707</v>
      </c>
      <c r="C38" s="257" t="s">
        <v>743</v>
      </c>
      <c r="D38" s="256">
        <v>1.9</v>
      </c>
      <c r="E38" s="256">
        <f t="shared" si="0"/>
        <v>-1.9</v>
      </c>
      <c r="F38" s="175" t="s">
        <v>744</v>
      </c>
    </row>
    <row r="39" spans="1:6" ht="18" customHeight="1" x14ac:dyDescent="0.2">
      <c r="A39" s="558">
        <v>34</v>
      </c>
      <c r="B39" s="559" t="s">
        <v>708</v>
      </c>
      <c r="C39" s="559" t="s">
        <v>743</v>
      </c>
      <c r="D39" s="558">
        <v>1.9</v>
      </c>
      <c r="E39" s="558">
        <f t="shared" si="0"/>
        <v>-1.9</v>
      </c>
      <c r="F39" s="561" t="s">
        <v>746</v>
      </c>
    </row>
    <row r="40" spans="1:6" ht="18" customHeight="1" x14ac:dyDescent="0.2">
      <c r="A40" s="558">
        <v>35</v>
      </c>
      <c r="B40" s="559" t="s">
        <v>645</v>
      </c>
      <c r="C40" s="559" t="s">
        <v>747</v>
      </c>
      <c r="D40" s="558">
        <v>1.9</v>
      </c>
      <c r="E40" s="558">
        <f t="shared" si="0"/>
        <v>-1.9</v>
      </c>
      <c r="F40" s="561" t="s">
        <v>596</v>
      </c>
    </row>
    <row r="41" spans="1:6" ht="18" customHeight="1" x14ac:dyDescent="0.2">
      <c r="A41" s="558">
        <v>36</v>
      </c>
      <c r="B41" s="559" t="s">
        <v>140</v>
      </c>
      <c r="C41" s="559" t="s">
        <v>749</v>
      </c>
      <c r="D41" s="558">
        <v>1.9</v>
      </c>
      <c r="E41" s="558">
        <f t="shared" si="0"/>
        <v>-1.9</v>
      </c>
      <c r="F41" s="561" t="s">
        <v>748</v>
      </c>
    </row>
    <row r="42" spans="1:6" ht="18" customHeight="1" x14ac:dyDescent="0.2">
      <c r="A42" s="558">
        <v>37</v>
      </c>
      <c r="B42" s="559" t="s">
        <v>709</v>
      </c>
      <c r="C42" s="559" t="s">
        <v>749</v>
      </c>
      <c r="D42" s="558">
        <v>1.9</v>
      </c>
      <c r="E42" s="558">
        <f t="shared" si="0"/>
        <v>-1.9</v>
      </c>
      <c r="F42" s="561" t="s">
        <v>599</v>
      </c>
    </row>
    <row r="43" spans="1:6" ht="18" customHeight="1" x14ac:dyDescent="0.2">
      <c r="A43" s="558">
        <v>38</v>
      </c>
      <c r="B43" s="559" t="s">
        <v>142</v>
      </c>
      <c r="C43" s="559" t="s">
        <v>749</v>
      </c>
      <c r="D43" s="558">
        <v>1.9</v>
      </c>
      <c r="E43" s="558">
        <f t="shared" si="0"/>
        <v>-1.9</v>
      </c>
      <c r="F43" s="561" t="s">
        <v>599</v>
      </c>
    </row>
    <row r="44" spans="1:6" ht="18" customHeight="1" x14ac:dyDescent="0.2">
      <c r="A44" s="256">
        <v>39</v>
      </c>
      <c r="B44" s="257" t="s">
        <v>710</v>
      </c>
      <c r="C44" s="257" t="s">
        <v>750</v>
      </c>
      <c r="D44" s="256">
        <v>1.9</v>
      </c>
      <c r="E44" s="256">
        <f t="shared" si="0"/>
        <v>-1.9</v>
      </c>
      <c r="F44" s="175" t="s">
        <v>754</v>
      </c>
    </row>
    <row r="45" spans="1:6" ht="18" customHeight="1" x14ac:dyDescent="0.2">
      <c r="A45" s="258">
        <v>40</v>
      </c>
      <c r="B45" s="259" t="s">
        <v>711</v>
      </c>
      <c r="C45" s="259" t="s">
        <v>751</v>
      </c>
      <c r="D45" s="258">
        <v>1.9</v>
      </c>
      <c r="E45" s="258">
        <f t="shared" si="0"/>
        <v>-1.9</v>
      </c>
      <c r="F45" s="175" t="s">
        <v>755</v>
      </c>
    </row>
    <row r="46" spans="1:6" ht="18" customHeight="1" x14ac:dyDescent="0.2">
      <c r="A46" s="558">
        <v>41</v>
      </c>
      <c r="B46" s="559" t="s">
        <v>652</v>
      </c>
      <c r="C46" s="559" t="s">
        <v>751</v>
      </c>
      <c r="D46" s="558">
        <v>1.9</v>
      </c>
      <c r="E46" s="558">
        <f t="shared" si="0"/>
        <v>-1.9</v>
      </c>
      <c r="F46" s="561" t="s">
        <v>604</v>
      </c>
    </row>
    <row r="47" spans="1:6" ht="18" customHeight="1" x14ac:dyDescent="0.2">
      <c r="A47" s="558">
        <v>42</v>
      </c>
      <c r="B47" s="559" t="s">
        <v>653</v>
      </c>
      <c r="C47" s="559" t="s">
        <v>751</v>
      </c>
      <c r="D47" s="558">
        <v>1.9</v>
      </c>
      <c r="E47" s="558">
        <f t="shared" si="0"/>
        <v>-1.9</v>
      </c>
      <c r="F47" s="561" t="s">
        <v>604</v>
      </c>
    </row>
    <row r="48" spans="1:6" ht="18" customHeight="1" x14ac:dyDescent="0.2">
      <c r="A48" s="256">
        <v>43</v>
      </c>
      <c r="B48" s="257" t="s">
        <v>147</v>
      </c>
      <c r="C48" s="257" t="s">
        <v>756</v>
      </c>
      <c r="D48" s="256">
        <v>1.9</v>
      </c>
      <c r="E48" s="256">
        <f t="shared" si="0"/>
        <v>-1.9</v>
      </c>
      <c r="F48" s="175" t="s">
        <v>752</v>
      </c>
    </row>
    <row r="49" spans="1:6" ht="18" customHeight="1" x14ac:dyDescent="0.2">
      <c r="A49" s="258">
        <v>44</v>
      </c>
      <c r="B49" s="259" t="s">
        <v>148</v>
      </c>
      <c r="C49" s="259" t="s">
        <v>757</v>
      </c>
      <c r="D49" s="258">
        <v>1.9</v>
      </c>
      <c r="E49" s="258">
        <f t="shared" si="0"/>
        <v>-1.9</v>
      </c>
      <c r="F49" s="175" t="s">
        <v>753</v>
      </c>
    </row>
    <row r="50" spans="1:6" ht="18" customHeight="1" x14ac:dyDescent="0.2">
      <c r="A50" s="558">
        <v>45</v>
      </c>
      <c r="B50" s="559" t="s">
        <v>712</v>
      </c>
      <c r="C50" s="559" t="s">
        <v>757</v>
      </c>
      <c r="D50" s="558">
        <v>1.9</v>
      </c>
      <c r="E50" s="558">
        <f t="shared" si="0"/>
        <v>-1.9</v>
      </c>
      <c r="F50" s="561" t="s">
        <v>607</v>
      </c>
    </row>
    <row r="51" spans="1:6" ht="18" customHeight="1" x14ac:dyDescent="0.2">
      <c r="A51" s="558">
        <v>46</v>
      </c>
      <c r="B51" s="559" t="s">
        <v>713</v>
      </c>
      <c r="C51" s="559" t="s">
        <v>757</v>
      </c>
      <c r="D51" s="558">
        <v>1.9</v>
      </c>
      <c r="E51" s="558">
        <f t="shared" si="0"/>
        <v>-1.9</v>
      </c>
      <c r="F51" s="561" t="s">
        <v>607</v>
      </c>
    </row>
    <row r="52" spans="1:6" ht="18" customHeight="1" x14ac:dyDescent="0.2">
      <c r="A52" s="558">
        <v>47</v>
      </c>
      <c r="B52" s="559" t="s">
        <v>151</v>
      </c>
      <c r="C52" s="559" t="s">
        <v>757</v>
      </c>
      <c r="D52" s="558">
        <v>1.9</v>
      </c>
      <c r="E52" s="558">
        <f t="shared" si="0"/>
        <v>-1.9</v>
      </c>
      <c r="F52" s="561" t="s">
        <v>607</v>
      </c>
    </row>
    <row r="53" spans="1:6" ht="18" customHeight="1" x14ac:dyDescent="0.2">
      <c r="A53" s="558">
        <v>48</v>
      </c>
      <c r="B53" s="559" t="s">
        <v>152</v>
      </c>
      <c r="C53" s="559" t="s">
        <v>757</v>
      </c>
      <c r="D53" s="558">
        <v>1.9</v>
      </c>
      <c r="E53" s="558">
        <f t="shared" si="0"/>
        <v>-1.9</v>
      </c>
      <c r="F53" s="561" t="s">
        <v>607</v>
      </c>
    </row>
    <row r="54" spans="1:6" ht="18" customHeight="1" x14ac:dyDescent="0.2">
      <c r="A54" s="558">
        <v>49</v>
      </c>
      <c r="B54" s="559" t="s">
        <v>153</v>
      </c>
      <c r="C54" s="559" t="s">
        <v>757</v>
      </c>
      <c r="D54" s="558">
        <v>1.9</v>
      </c>
      <c r="E54" s="558">
        <f t="shared" si="0"/>
        <v>-1.9</v>
      </c>
      <c r="F54" s="561" t="s">
        <v>607</v>
      </c>
    </row>
    <row r="55" spans="1:6" ht="18" customHeight="1" x14ac:dyDescent="0.2">
      <c r="A55" s="258">
        <v>50</v>
      </c>
      <c r="B55" s="259" t="s">
        <v>154</v>
      </c>
      <c r="C55" s="259" t="s">
        <v>691</v>
      </c>
      <c r="D55" s="258">
        <v>1.9</v>
      </c>
      <c r="E55" s="258">
        <f t="shared" si="0"/>
        <v>-1.9</v>
      </c>
      <c r="F55" s="259" t="s">
        <v>705</v>
      </c>
    </row>
    <row r="56" spans="1:6" ht="18" customHeight="1" x14ac:dyDescent="0.2">
      <c r="A56" s="256">
        <v>51</v>
      </c>
      <c r="B56" s="257" t="s">
        <v>155</v>
      </c>
      <c r="C56" s="257" t="s">
        <v>691</v>
      </c>
      <c r="D56" s="256">
        <v>1.9</v>
      </c>
      <c r="E56" s="256">
        <f t="shared" si="0"/>
        <v>-1.9</v>
      </c>
      <c r="F56" s="257" t="s">
        <v>705</v>
      </c>
    </row>
    <row r="57" spans="1:6" ht="18" customHeight="1" x14ac:dyDescent="0.2">
      <c r="A57" s="258">
        <v>52</v>
      </c>
      <c r="B57" s="259" t="s">
        <v>156</v>
      </c>
      <c r="C57" s="259" t="s">
        <v>691</v>
      </c>
      <c r="D57" s="258">
        <v>1.9</v>
      </c>
      <c r="E57" s="258">
        <f t="shared" si="0"/>
        <v>-1.9</v>
      </c>
      <c r="F57" s="259" t="s">
        <v>705</v>
      </c>
    </row>
    <row r="58" spans="1:6" ht="18" customHeight="1" x14ac:dyDescent="0.2">
      <c r="A58" s="256">
        <v>53</v>
      </c>
      <c r="B58" s="257" t="s">
        <v>714</v>
      </c>
      <c r="C58" s="257" t="s">
        <v>691</v>
      </c>
      <c r="D58" s="256">
        <v>1.9</v>
      </c>
      <c r="E58" s="256">
        <f t="shared" si="0"/>
        <v>-1.9</v>
      </c>
      <c r="F58" s="257" t="s">
        <v>705</v>
      </c>
    </row>
    <row r="59" spans="1:6" ht="18" customHeight="1" x14ac:dyDescent="0.2">
      <c r="A59" s="558">
        <v>54</v>
      </c>
      <c r="B59" s="559" t="s">
        <v>158</v>
      </c>
      <c r="C59" s="559" t="s">
        <v>757</v>
      </c>
      <c r="D59" s="558">
        <v>1.9</v>
      </c>
      <c r="E59" s="558">
        <f t="shared" si="0"/>
        <v>-1.9</v>
      </c>
      <c r="F59" s="561" t="s">
        <v>607</v>
      </c>
    </row>
    <row r="60" spans="1:6" ht="18" customHeight="1" x14ac:dyDescent="0.2">
      <c r="A60" s="558">
        <v>55</v>
      </c>
      <c r="B60" s="559" t="s">
        <v>159</v>
      </c>
      <c r="C60" s="559" t="s">
        <v>757</v>
      </c>
      <c r="D60" s="558">
        <v>1.9</v>
      </c>
      <c r="E60" s="558">
        <f t="shared" si="0"/>
        <v>-1.9</v>
      </c>
      <c r="F60" s="561" t="s">
        <v>607</v>
      </c>
    </row>
    <row r="61" spans="1:6" ht="18" customHeight="1" x14ac:dyDescent="0.2">
      <c r="A61" s="558">
        <v>56</v>
      </c>
      <c r="B61" s="559" t="s">
        <v>715</v>
      </c>
      <c r="C61" s="559" t="s">
        <v>757</v>
      </c>
      <c r="D61" s="558">
        <v>1.9</v>
      </c>
      <c r="E61" s="558">
        <f t="shared" si="0"/>
        <v>-1.9</v>
      </c>
      <c r="F61" s="561" t="s">
        <v>607</v>
      </c>
    </row>
    <row r="62" spans="1:6" ht="18" customHeight="1" x14ac:dyDescent="0.2">
      <c r="A62" s="256">
        <v>57</v>
      </c>
      <c r="B62" s="257" t="s">
        <v>716</v>
      </c>
      <c r="C62" s="257" t="s">
        <v>761</v>
      </c>
      <c r="D62" s="256">
        <v>1.9</v>
      </c>
      <c r="E62" s="256">
        <f t="shared" si="0"/>
        <v>-1.9</v>
      </c>
      <c r="F62" s="175" t="s">
        <v>758</v>
      </c>
    </row>
    <row r="63" spans="1:6" ht="18" customHeight="1" x14ac:dyDescent="0.2">
      <c r="A63" s="258">
        <v>58</v>
      </c>
      <c r="B63" s="259" t="s">
        <v>352</v>
      </c>
      <c r="C63" s="259" t="s">
        <v>762</v>
      </c>
      <c r="D63" s="258">
        <v>1.9</v>
      </c>
      <c r="E63" s="258">
        <f t="shared" si="0"/>
        <v>-1.9</v>
      </c>
      <c r="F63" s="175" t="s">
        <v>759</v>
      </c>
    </row>
    <row r="64" spans="1:6" ht="18" customHeight="1" x14ac:dyDescent="0.2">
      <c r="A64" s="256">
        <v>59</v>
      </c>
      <c r="B64" s="257" t="s">
        <v>661</v>
      </c>
      <c r="C64" s="257" t="s">
        <v>763</v>
      </c>
      <c r="D64" s="256">
        <v>1.9</v>
      </c>
      <c r="E64" s="256">
        <f t="shared" si="0"/>
        <v>-1.9</v>
      </c>
      <c r="F64" s="175" t="s">
        <v>760</v>
      </c>
    </row>
    <row r="65" spans="1:6" ht="18" customHeight="1" x14ac:dyDescent="0.2">
      <c r="A65" s="558">
        <v>60</v>
      </c>
      <c r="B65" s="559" t="s">
        <v>662</v>
      </c>
      <c r="C65" s="559" t="s">
        <v>749</v>
      </c>
      <c r="D65" s="558">
        <v>1.9</v>
      </c>
      <c r="E65" s="558">
        <f t="shared" si="0"/>
        <v>-1.9</v>
      </c>
      <c r="F65" s="561" t="s">
        <v>599</v>
      </c>
    </row>
    <row r="66" spans="1:6" ht="18" customHeight="1" x14ac:dyDescent="0.2">
      <c r="A66" s="558">
        <v>61</v>
      </c>
      <c r="B66" s="559" t="s">
        <v>165</v>
      </c>
      <c r="C66" s="559" t="s">
        <v>749</v>
      </c>
      <c r="D66" s="558">
        <v>1.9</v>
      </c>
      <c r="E66" s="558">
        <f t="shared" si="0"/>
        <v>-1.9</v>
      </c>
      <c r="F66" s="561" t="s">
        <v>599</v>
      </c>
    </row>
    <row r="67" spans="1:6" ht="18" customHeight="1" x14ac:dyDescent="0.2">
      <c r="A67" s="558">
        <v>62</v>
      </c>
      <c r="B67" s="559" t="s">
        <v>166</v>
      </c>
      <c r="C67" s="559" t="s">
        <v>749</v>
      </c>
      <c r="D67" s="558">
        <v>1.9</v>
      </c>
      <c r="E67" s="558">
        <f t="shared" si="0"/>
        <v>-1.9</v>
      </c>
      <c r="F67" s="561" t="s">
        <v>599</v>
      </c>
    </row>
    <row r="68" spans="1:6" ht="18" customHeight="1" x14ac:dyDescent="0.2">
      <c r="A68" s="558">
        <v>63</v>
      </c>
      <c r="B68" s="559" t="s">
        <v>717</v>
      </c>
      <c r="C68" s="559" t="s">
        <v>749</v>
      </c>
      <c r="D68" s="558">
        <v>1.9</v>
      </c>
      <c r="E68" s="558">
        <f t="shared" si="0"/>
        <v>-1.9</v>
      </c>
      <c r="F68" s="561" t="s">
        <v>599</v>
      </c>
    </row>
    <row r="69" spans="1:6" ht="18" customHeight="1" x14ac:dyDescent="0.2">
      <c r="A69" s="558">
        <v>64</v>
      </c>
      <c r="B69" s="559" t="s">
        <v>665</v>
      </c>
      <c r="C69" s="559" t="s">
        <v>749</v>
      </c>
      <c r="D69" s="558">
        <v>1.9</v>
      </c>
      <c r="E69" s="558">
        <f t="shared" si="0"/>
        <v>-1.9</v>
      </c>
      <c r="F69" s="561" t="s">
        <v>599</v>
      </c>
    </row>
    <row r="70" spans="1:6" ht="18" customHeight="1" x14ac:dyDescent="0.2">
      <c r="A70" s="558">
        <v>65</v>
      </c>
      <c r="B70" s="559" t="s">
        <v>169</v>
      </c>
      <c r="C70" s="559" t="s">
        <v>749</v>
      </c>
      <c r="D70" s="558">
        <v>1.9</v>
      </c>
      <c r="E70" s="558">
        <f>-D70</f>
        <v>-1.9</v>
      </c>
      <c r="F70" s="561" t="s">
        <v>748</v>
      </c>
    </row>
    <row r="71" spans="1:6" ht="18" customHeight="1" x14ac:dyDescent="0.2">
      <c r="A71" s="558">
        <v>66</v>
      </c>
      <c r="B71" s="559" t="s">
        <v>170</v>
      </c>
      <c r="C71" s="559" t="s">
        <v>749</v>
      </c>
      <c r="D71" s="558">
        <v>1.9</v>
      </c>
      <c r="E71" s="558">
        <f>-D71</f>
        <v>-1.9</v>
      </c>
      <c r="F71" s="561" t="s">
        <v>599</v>
      </c>
    </row>
    <row r="72" spans="1:6" ht="18" customHeight="1" x14ac:dyDescent="0.2">
      <c r="A72" s="558">
        <v>67</v>
      </c>
      <c r="B72" s="559" t="s">
        <v>667</v>
      </c>
      <c r="C72" s="559" t="s">
        <v>749</v>
      </c>
      <c r="D72" s="558">
        <v>1.9</v>
      </c>
      <c r="E72" s="558">
        <f>-D72</f>
        <v>-1.9</v>
      </c>
      <c r="F72" s="561" t="s">
        <v>599</v>
      </c>
    </row>
  </sheetData>
  <mergeCells count="4">
    <mergeCell ref="A1:F1"/>
    <mergeCell ref="A2:F2"/>
    <mergeCell ref="A3:F3"/>
    <mergeCell ref="A4:F4"/>
  </mergeCells>
  <phoneticPr fontId="4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E092-2C26-084A-82DC-06E79FD238AF}">
  <dimension ref="A1:H69"/>
  <sheetViews>
    <sheetView zoomScaleNormal="116" workbookViewId="0">
      <selection activeCell="K12" sqref="K12"/>
    </sheetView>
  </sheetViews>
  <sheetFormatPr baseColWidth="10" defaultColWidth="8.83203125" defaultRowHeight="15" x14ac:dyDescent="0.2"/>
  <cols>
    <col min="1" max="1" width="5" style="73" customWidth="1"/>
    <col min="2" max="2" width="38" style="73" customWidth="1"/>
    <col min="3" max="6" width="14" style="73" customWidth="1"/>
    <col min="7" max="7" width="14" style="152" customWidth="1"/>
    <col min="8" max="8" width="14" style="73" customWidth="1"/>
    <col min="9" max="16384" width="8.83203125" style="73"/>
  </cols>
  <sheetData>
    <row r="1" spans="1:8" ht="18" customHeight="1" x14ac:dyDescent="0.2">
      <c r="A1" s="420" t="s">
        <v>1015</v>
      </c>
      <c r="B1" s="418"/>
      <c r="C1" s="418"/>
      <c r="D1" s="418"/>
      <c r="E1" s="418"/>
      <c r="F1" s="418"/>
      <c r="G1" s="418"/>
      <c r="H1" s="418"/>
    </row>
    <row r="2" spans="1:8" ht="30" customHeight="1" x14ac:dyDescent="0.2">
      <c r="A2" s="381" t="s">
        <v>814</v>
      </c>
      <c r="B2" s="381" t="s">
        <v>969</v>
      </c>
      <c r="C2" s="381" t="s">
        <v>970</v>
      </c>
      <c r="D2" s="381" t="s">
        <v>971</v>
      </c>
      <c r="E2" s="381" t="s">
        <v>972</v>
      </c>
      <c r="F2" s="381" t="s">
        <v>973</v>
      </c>
      <c r="G2" s="381" t="s">
        <v>979</v>
      </c>
      <c r="H2" s="381" t="s">
        <v>983</v>
      </c>
    </row>
    <row r="3" spans="1:8" ht="14" customHeight="1" x14ac:dyDescent="0.2">
      <c r="A3" s="385">
        <v>1</v>
      </c>
      <c r="B3" s="386" t="s">
        <v>823</v>
      </c>
      <c r="C3" s="387">
        <v>-0.9</v>
      </c>
      <c r="D3" s="387">
        <v>-1.5</v>
      </c>
      <c r="E3" s="387">
        <v>-2.5</v>
      </c>
      <c r="F3" s="387">
        <v>-2</v>
      </c>
      <c r="G3" s="391">
        <v>-2.5</v>
      </c>
      <c r="H3" s="387">
        <v>-0.7</v>
      </c>
    </row>
    <row r="4" spans="1:8" ht="14" customHeight="1" x14ac:dyDescent="0.2">
      <c r="A4" s="388">
        <v>2</v>
      </c>
      <c r="B4" s="389" t="s">
        <v>106</v>
      </c>
      <c r="C4" s="390">
        <v>-1</v>
      </c>
      <c r="D4" s="390">
        <v>-1.5</v>
      </c>
      <c r="E4" s="390">
        <v>-2.5</v>
      </c>
      <c r="F4" s="390">
        <v>-2</v>
      </c>
      <c r="G4" s="392">
        <v>-1.25</v>
      </c>
      <c r="H4" s="390">
        <v>-0.7</v>
      </c>
    </row>
    <row r="5" spans="1:8" ht="14" customHeight="1" x14ac:dyDescent="0.2">
      <c r="A5" s="385">
        <v>3</v>
      </c>
      <c r="B5" s="386" t="s">
        <v>826</v>
      </c>
      <c r="C5" s="387">
        <v>-1.5</v>
      </c>
      <c r="D5" s="387">
        <v>-2</v>
      </c>
      <c r="E5" s="387">
        <v>-2.5</v>
      </c>
      <c r="F5" s="387">
        <v>-2</v>
      </c>
      <c r="G5" s="391">
        <v>-11.2</v>
      </c>
      <c r="H5" s="387">
        <v>-0.7</v>
      </c>
    </row>
    <row r="6" spans="1:8" ht="14" customHeight="1" x14ac:dyDescent="0.2">
      <c r="A6" s="388">
        <v>4</v>
      </c>
      <c r="B6" s="389" t="s">
        <v>828</v>
      </c>
      <c r="C6" s="390">
        <v>-1.2</v>
      </c>
      <c r="D6" s="390">
        <v>-1.8</v>
      </c>
      <c r="E6" s="390">
        <v>-2.5</v>
      </c>
      <c r="F6" s="390">
        <v>-2</v>
      </c>
      <c r="G6" s="392">
        <v>-1.9750000000000001</v>
      </c>
      <c r="H6" s="390">
        <v>-0.7</v>
      </c>
    </row>
    <row r="7" spans="1:8" ht="14" customHeight="1" x14ac:dyDescent="0.2">
      <c r="A7" s="385">
        <v>5</v>
      </c>
      <c r="B7" s="386" t="s">
        <v>109</v>
      </c>
      <c r="C7" s="387">
        <v>-1.2</v>
      </c>
      <c r="D7" s="387">
        <v>-1.8</v>
      </c>
      <c r="E7" s="387">
        <v>-2.5</v>
      </c>
      <c r="F7" s="387">
        <v>-2</v>
      </c>
      <c r="G7" s="391">
        <v>-2.7</v>
      </c>
      <c r="H7" s="387">
        <v>-0.7</v>
      </c>
    </row>
    <row r="8" spans="1:8" ht="14" customHeight="1" x14ac:dyDescent="0.2">
      <c r="A8" s="388">
        <v>6</v>
      </c>
      <c r="B8" s="389" t="s">
        <v>110</v>
      </c>
      <c r="C8" s="390">
        <v>-1.2</v>
      </c>
      <c r="D8" s="390">
        <v>-1.8</v>
      </c>
      <c r="E8" s="390">
        <v>-2.5</v>
      </c>
      <c r="F8" s="390">
        <v>-2</v>
      </c>
      <c r="G8" s="392">
        <v>-1.1499999999999999</v>
      </c>
      <c r="H8" s="390">
        <v>-0.7</v>
      </c>
    </row>
    <row r="9" spans="1:8" ht="14" customHeight="1" x14ac:dyDescent="0.2">
      <c r="A9" s="385">
        <v>7</v>
      </c>
      <c r="B9" s="386" t="s">
        <v>832</v>
      </c>
      <c r="C9" s="387">
        <v>-1</v>
      </c>
      <c r="D9" s="387">
        <v>-1.5</v>
      </c>
      <c r="E9" s="387">
        <v>-2.5</v>
      </c>
      <c r="F9" s="387">
        <v>-2</v>
      </c>
      <c r="G9" s="391">
        <v>-1.1499999999999999</v>
      </c>
      <c r="H9" s="387">
        <v>-0.7</v>
      </c>
    </row>
    <row r="10" spans="1:8" ht="14" customHeight="1" x14ac:dyDescent="0.2">
      <c r="A10" s="388">
        <v>8</v>
      </c>
      <c r="B10" s="389" t="s">
        <v>112</v>
      </c>
      <c r="C10" s="390">
        <v>-2</v>
      </c>
      <c r="D10" s="390">
        <v>-2.5</v>
      </c>
      <c r="E10" s="390">
        <v>-2.5</v>
      </c>
      <c r="F10" s="390">
        <v>-2</v>
      </c>
      <c r="G10" s="392">
        <v>-3.7</v>
      </c>
      <c r="H10" s="390">
        <v>-0.7</v>
      </c>
    </row>
    <row r="11" spans="1:8" ht="14" customHeight="1" x14ac:dyDescent="0.2">
      <c r="A11" s="385">
        <v>9</v>
      </c>
      <c r="B11" s="386" t="s">
        <v>113</v>
      </c>
      <c r="C11" s="387">
        <v>-2</v>
      </c>
      <c r="D11" s="387">
        <v>-2.5</v>
      </c>
      <c r="E11" s="387">
        <v>-2.5</v>
      </c>
      <c r="F11" s="387">
        <v>-2</v>
      </c>
      <c r="G11" s="391">
        <v>-3.7</v>
      </c>
      <c r="H11" s="387">
        <v>-0.7</v>
      </c>
    </row>
    <row r="12" spans="1:8" ht="14" customHeight="1" x14ac:dyDescent="0.2">
      <c r="A12" s="388">
        <v>10</v>
      </c>
      <c r="B12" s="389" t="s">
        <v>627</v>
      </c>
      <c r="C12" s="390">
        <v>-1.8</v>
      </c>
      <c r="D12" s="390">
        <v>-2.5</v>
      </c>
      <c r="E12" s="390">
        <v>-2.5</v>
      </c>
      <c r="F12" s="390">
        <v>-2</v>
      </c>
      <c r="G12" s="392">
        <v>-4.05</v>
      </c>
      <c r="H12" s="390">
        <v>-0.7</v>
      </c>
    </row>
    <row r="13" spans="1:8" ht="14" customHeight="1" x14ac:dyDescent="0.2">
      <c r="A13" s="385">
        <v>11</v>
      </c>
      <c r="B13" s="386" t="s">
        <v>628</v>
      </c>
      <c r="C13" s="387">
        <v>-1.8</v>
      </c>
      <c r="D13" s="387">
        <v>-2.5</v>
      </c>
      <c r="E13" s="387">
        <v>-2.5</v>
      </c>
      <c r="F13" s="387">
        <v>-2</v>
      </c>
      <c r="G13" s="391">
        <v>-3.4</v>
      </c>
      <c r="H13" s="387">
        <v>-0.7</v>
      </c>
    </row>
    <row r="14" spans="1:8" ht="14" customHeight="1" x14ac:dyDescent="0.2">
      <c r="A14" s="388">
        <v>12</v>
      </c>
      <c r="B14" s="389" t="s">
        <v>629</v>
      </c>
      <c r="C14" s="390">
        <v>-1.8</v>
      </c>
      <c r="D14" s="390">
        <v>-2.5</v>
      </c>
      <c r="E14" s="390">
        <v>-2.5</v>
      </c>
      <c r="F14" s="390">
        <v>-2</v>
      </c>
      <c r="G14" s="392">
        <v>-3.4</v>
      </c>
      <c r="H14" s="390">
        <v>-0.7</v>
      </c>
    </row>
    <row r="15" spans="1:8" ht="14" customHeight="1" x14ac:dyDescent="0.2">
      <c r="A15" s="385">
        <v>13</v>
      </c>
      <c r="B15" s="386" t="s">
        <v>835</v>
      </c>
      <c r="C15" s="387">
        <v>-1</v>
      </c>
      <c r="D15" s="387">
        <v>-1.5</v>
      </c>
      <c r="E15" s="387">
        <v>-2.5</v>
      </c>
      <c r="F15" s="387">
        <v>-2</v>
      </c>
      <c r="G15" s="391">
        <v>-1.9</v>
      </c>
      <c r="H15" s="387">
        <v>-0.7</v>
      </c>
    </row>
    <row r="16" spans="1:8" ht="14" customHeight="1" x14ac:dyDescent="0.2">
      <c r="A16" s="382">
        <v>14</v>
      </c>
      <c r="B16" s="383" t="s">
        <v>980</v>
      </c>
      <c r="C16" s="384">
        <v>-1.5</v>
      </c>
      <c r="D16" s="384">
        <v>-2</v>
      </c>
      <c r="E16" s="384">
        <v>-2.5</v>
      </c>
      <c r="F16" s="384">
        <v>-2</v>
      </c>
      <c r="G16" s="384">
        <v>-2.1</v>
      </c>
      <c r="H16" s="384">
        <v>-0.7</v>
      </c>
    </row>
    <row r="17" spans="1:8" ht="14" customHeight="1" x14ac:dyDescent="0.2">
      <c r="A17" s="385">
        <v>15</v>
      </c>
      <c r="B17" s="386" t="s">
        <v>631</v>
      </c>
      <c r="C17" s="387">
        <v>-2</v>
      </c>
      <c r="D17" s="387">
        <v>-2.5</v>
      </c>
      <c r="E17" s="387">
        <v>-2.5</v>
      </c>
      <c r="F17" s="387">
        <v>-2</v>
      </c>
      <c r="G17" s="391">
        <v>-3.3</v>
      </c>
      <c r="H17" s="387">
        <v>-0.7</v>
      </c>
    </row>
    <row r="18" spans="1:8" ht="14" customHeight="1" x14ac:dyDescent="0.2">
      <c r="A18" s="388">
        <v>16</v>
      </c>
      <c r="B18" s="389" t="s">
        <v>837</v>
      </c>
      <c r="C18" s="390">
        <v>-1.8</v>
      </c>
      <c r="D18" s="390">
        <v>-2</v>
      </c>
      <c r="E18" s="390">
        <v>-2.5</v>
      </c>
      <c r="F18" s="390">
        <v>-2</v>
      </c>
      <c r="G18" s="392">
        <v>-3.3</v>
      </c>
      <c r="H18" s="390">
        <v>-0.7</v>
      </c>
    </row>
    <row r="19" spans="1:8" ht="14" customHeight="1" x14ac:dyDescent="0.2">
      <c r="A19" s="385">
        <v>17</v>
      </c>
      <c r="B19" s="386" t="s">
        <v>839</v>
      </c>
      <c r="C19" s="387">
        <v>-2</v>
      </c>
      <c r="D19" s="387">
        <v>-2.5</v>
      </c>
      <c r="E19" s="387">
        <v>-2.5</v>
      </c>
      <c r="F19" s="387">
        <v>-2</v>
      </c>
      <c r="G19" s="391">
        <v>-3.3</v>
      </c>
      <c r="H19" s="387">
        <v>-0.7</v>
      </c>
    </row>
    <row r="20" spans="1:8" ht="14" customHeight="1" x14ac:dyDescent="0.2">
      <c r="A20" s="388">
        <v>18</v>
      </c>
      <c r="B20" s="389" t="s">
        <v>840</v>
      </c>
      <c r="C20" s="390">
        <v>-1.5</v>
      </c>
      <c r="D20" s="390">
        <v>-2</v>
      </c>
      <c r="E20" s="390">
        <v>-2.5</v>
      </c>
      <c r="F20" s="390">
        <v>-2</v>
      </c>
      <c r="G20" s="392">
        <v>-3.3</v>
      </c>
      <c r="H20" s="390">
        <v>-0.7</v>
      </c>
    </row>
    <row r="21" spans="1:8" ht="14" customHeight="1" x14ac:dyDescent="0.2">
      <c r="A21" s="385">
        <v>19</v>
      </c>
      <c r="B21" s="386" t="s">
        <v>841</v>
      </c>
      <c r="C21" s="387">
        <v>-2.2000000000000002</v>
      </c>
      <c r="D21" s="387">
        <v>-2.8</v>
      </c>
      <c r="E21" s="387">
        <v>-2.5</v>
      </c>
      <c r="F21" s="387">
        <v>-2</v>
      </c>
      <c r="G21" s="391">
        <v>-4.2</v>
      </c>
      <c r="H21" s="387">
        <v>-0.7</v>
      </c>
    </row>
    <row r="22" spans="1:8" ht="14" customHeight="1" x14ac:dyDescent="0.2">
      <c r="A22" s="388">
        <v>20</v>
      </c>
      <c r="B22" s="389" t="s">
        <v>842</v>
      </c>
      <c r="C22" s="390">
        <v>-2</v>
      </c>
      <c r="D22" s="390">
        <v>-2.5</v>
      </c>
      <c r="E22" s="390">
        <v>-2.5</v>
      </c>
      <c r="F22" s="390">
        <v>-2</v>
      </c>
      <c r="G22" s="392">
        <v>-4.2</v>
      </c>
      <c r="H22" s="390">
        <v>-0.7</v>
      </c>
    </row>
    <row r="23" spans="1:8" ht="14" customHeight="1" x14ac:dyDescent="0.2">
      <c r="A23" s="385">
        <v>21</v>
      </c>
      <c r="B23" s="386" t="s">
        <v>843</v>
      </c>
      <c r="C23" s="387">
        <v>-2.4</v>
      </c>
      <c r="D23" s="387">
        <v>-3</v>
      </c>
      <c r="E23" s="387">
        <v>-2.5</v>
      </c>
      <c r="F23" s="387">
        <v>-2</v>
      </c>
      <c r="G23" s="391">
        <v>-4.05</v>
      </c>
      <c r="H23" s="387">
        <v>-0.7</v>
      </c>
    </row>
    <row r="24" spans="1:8" ht="14" customHeight="1" x14ac:dyDescent="0.2">
      <c r="A24" s="388">
        <v>22</v>
      </c>
      <c r="B24" s="389" t="s">
        <v>339</v>
      </c>
      <c r="C24" s="390">
        <v>-2.2000000000000002</v>
      </c>
      <c r="D24" s="390">
        <v>-2.8</v>
      </c>
      <c r="E24" s="390">
        <v>-2.5</v>
      </c>
      <c r="F24" s="390">
        <v>-2</v>
      </c>
      <c r="G24" s="392">
        <v>-4.05</v>
      </c>
      <c r="H24" s="390">
        <v>-0.7</v>
      </c>
    </row>
    <row r="25" spans="1:8" ht="14" customHeight="1" x14ac:dyDescent="0.2">
      <c r="A25" s="385">
        <v>23</v>
      </c>
      <c r="B25" s="386" t="s">
        <v>845</v>
      </c>
      <c r="C25" s="387">
        <v>-2</v>
      </c>
      <c r="D25" s="387">
        <v>-2.5</v>
      </c>
      <c r="E25" s="387">
        <v>-2.5</v>
      </c>
      <c r="F25" s="387">
        <v>-2</v>
      </c>
      <c r="G25" s="391">
        <v>-4.05</v>
      </c>
      <c r="H25" s="387">
        <v>-0.7</v>
      </c>
    </row>
    <row r="26" spans="1:8" ht="14" customHeight="1" x14ac:dyDescent="0.2">
      <c r="A26" s="388">
        <v>24</v>
      </c>
      <c r="B26" s="389" t="s">
        <v>846</v>
      </c>
      <c r="C26" s="390">
        <v>-1.8</v>
      </c>
      <c r="D26" s="390">
        <v>-2.5</v>
      </c>
      <c r="E26" s="390">
        <v>-2.5</v>
      </c>
      <c r="F26" s="390">
        <v>-2</v>
      </c>
      <c r="G26" s="392">
        <v>-2.8</v>
      </c>
      <c r="H26" s="390">
        <v>-0.7</v>
      </c>
    </row>
    <row r="27" spans="1:8" ht="14" customHeight="1" x14ac:dyDescent="0.2">
      <c r="A27" s="385">
        <v>25</v>
      </c>
      <c r="B27" s="386" t="s">
        <v>848</v>
      </c>
      <c r="C27" s="387">
        <v>-1.8</v>
      </c>
      <c r="D27" s="387">
        <v>-2.5</v>
      </c>
      <c r="E27" s="387">
        <v>-2.5</v>
      </c>
      <c r="F27" s="387">
        <v>-2</v>
      </c>
      <c r="G27" s="391">
        <v>-2.8</v>
      </c>
      <c r="H27" s="387">
        <v>-0.7</v>
      </c>
    </row>
    <row r="28" spans="1:8" ht="14" customHeight="1" x14ac:dyDescent="0.2">
      <c r="A28" s="388">
        <v>26</v>
      </c>
      <c r="B28" s="389" t="s">
        <v>849</v>
      </c>
      <c r="C28" s="390">
        <v>-1.5</v>
      </c>
      <c r="D28" s="390">
        <v>-2</v>
      </c>
      <c r="E28" s="390">
        <v>-2.5</v>
      </c>
      <c r="F28" s="390">
        <v>-2</v>
      </c>
      <c r="G28" s="392">
        <v>-3.75</v>
      </c>
      <c r="H28" s="390">
        <v>-0.7</v>
      </c>
    </row>
    <row r="29" spans="1:8" ht="14" customHeight="1" x14ac:dyDescent="0.2">
      <c r="A29" s="385">
        <v>27</v>
      </c>
      <c r="B29" s="386" t="s">
        <v>131</v>
      </c>
      <c r="C29" s="387">
        <v>-1.8</v>
      </c>
      <c r="D29" s="387">
        <v>-2.5</v>
      </c>
      <c r="E29" s="387">
        <v>-2.5</v>
      </c>
      <c r="F29" s="387">
        <v>-2</v>
      </c>
      <c r="G29" s="391">
        <v>-1.9</v>
      </c>
      <c r="H29" s="387">
        <v>-0.7</v>
      </c>
    </row>
    <row r="30" spans="1:8" ht="14" customHeight="1" x14ac:dyDescent="0.2">
      <c r="A30" s="388">
        <v>28</v>
      </c>
      <c r="B30" s="389" t="s">
        <v>851</v>
      </c>
      <c r="C30" s="390">
        <v>-0.9</v>
      </c>
      <c r="D30" s="390">
        <v>-1.5</v>
      </c>
      <c r="E30" s="390">
        <v>-2.5</v>
      </c>
      <c r="F30" s="390">
        <v>-2</v>
      </c>
      <c r="G30" s="392">
        <v>-1.9</v>
      </c>
      <c r="H30" s="390">
        <v>-0.7</v>
      </c>
    </row>
    <row r="31" spans="1:8" ht="14" customHeight="1" x14ac:dyDescent="0.2">
      <c r="A31" s="385">
        <v>29</v>
      </c>
      <c r="B31" s="386" t="s">
        <v>852</v>
      </c>
      <c r="C31" s="387">
        <v>-0.9</v>
      </c>
      <c r="D31" s="387">
        <v>-1.5</v>
      </c>
      <c r="E31" s="387">
        <v>-2.5</v>
      </c>
      <c r="F31" s="387">
        <v>-2</v>
      </c>
      <c r="G31" s="391">
        <v>-1.9</v>
      </c>
      <c r="H31" s="387">
        <v>-0.7</v>
      </c>
    </row>
    <row r="32" spans="1:8" ht="14" customHeight="1" x14ac:dyDescent="0.2">
      <c r="A32" s="388">
        <v>30</v>
      </c>
      <c r="B32" s="389" t="s">
        <v>854</v>
      </c>
      <c r="C32" s="390">
        <v>-0.9</v>
      </c>
      <c r="D32" s="390">
        <v>-1.5</v>
      </c>
      <c r="E32" s="390">
        <v>-2.5</v>
      </c>
      <c r="F32" s="390">
        <v>-2</v>
      </c>
      <c r="G32" s="392">
        <v>-2.8</v>
      </c>
      <c r="H32" s="390">
        <v>-0.7</v>
      </c>
    </row>
    <row r="33" spans="1:8" ht="14" customHeight="1" x14ac:dyDescent="0.2">
      <c r="A33" s="385">
        <v>31</v>
      </c>
      <c r="B33" s="386" t="s">
        <v>343</v>
      </c>
      <c r="C33" s="387">
        <v>-0.9</v>
      </c>
      <c r="D33" s="387">
        <v>-1.5</v>
      </c>
      <c r="E33" s="387">
        <v>-2.5</v>
      </c>
      <c r="F33" s="387">
        <v>-2</v>
      </c>
      <c r="G33" s="391">
        <v>-1.9</v>
      </c>
      <c r="H33" s="387">
        <v>-0.7</v>
      </c>
    </row>
    <row r="34" spans="1:8" ht="14" customHeight="1" x14ac:dyDescent="0.2">
      <c r="A34" s="388">
        <v>32</v>
      </c>
      <c r="B34" s="389" t="s">
        <v>856</v>
      </c>
      <c r="C34" s="390">
        <v>-0.9</v>
      </c>
      <c r="D34" s="390">
        <v>-1.5</v>
      </c>
      <c r="E34" s="390">
        <v>-2.5</v>
      </c>
      <c r="F34" s="390">
        <v>-2</v>
      </c>
      <c r="G34" s="392">
        <v>-1.9</v>
      </c>
      <c r="H34" s="390">
        <v>-0.7</v>
      </c>
    </row>
    <row r="35" spans="1:8" ht="14" customHeight="1" x14ac:dyDescent="0.2">
      <c r="A35" s="385">
        <v>33</v>
      </c>
      <c r="B35" s="386" t="s">
        <v>857</v>
      </c>
      <c r="C35" s="387">
        <v>-1</v>
      </c>
      <c r="D35" s="387">
        <v>-1.8</v>
      </c>
      <c r="E35" s="387">
        <v>-2.5</v>
      </c>
      <c r="F35" s="387">
        <v>-2</v>
      </c>
      <c r="G35" s="391">
        <v>-1.9</v>
      </c>
      <c r="H35" s="387">
        <v>-0.7</v>
      </c>
    </row>
    <row r="36" spans="1:8" ht="14" customHeight="1" x14ac:dyDescent="0.2">
      <c r="A36" s="388">
        <v>34</v>
      </c>
      <c r="B36" s="389" t="s">
        <v>859</v>
      </c>
      <c r="C36" s="390">
        <v>-0.9</v>
      </c>
      <c r="D36" s="390">
        <v>-1.5</v>
      </c>
      <c r="E36" s="390">
        <v>-2.5</v>
      </c>
      <c r="F36" s="390">
        <v>-2</v>
      </c>
      <c r="G36" s="392">
        <v>-1.9</v>
      </c>
      <c r="H36" s="390">
        <v>-0.7</v>
      </c>
    </row>
    <row r="37" spans="1:8" ht="14" customHeight="1" x14ac:dyDescent="0.2">
      <c r="A37" s="385">
        <v>35</v>
      </c>
      <c r="B37" s="386" t="s">
        <v>860</v>
      </c>
      <c r="C37" s="387">
        <v>-1</v>
      </c>
      <c r="D37" s="387">
        <v>-1.5</v>
      </c>
      <c r="E37" s="387">
        <v>-2.5</v>
      </c>
      <c r="F37" s="387">
        <v>-2</v>
      </c>
      <c r="G37" s="391">
        <v>-1.9</v>
      </c>
      <c r="H37" s="387">
        <v>-0.7</v>
      </c>
    </row>
    <row r="38" spans="1:8" ht="14" customHeight="1" x14ac:dyDescent="0.2">
      <c r="A38" s="388">
        <v>36</v>
      </c>
      <c r="B38" s="389" t="s">
        <v>862</v>
      </c>
      <c r="C38" s="390">
        <v>-1</v>
      </c>
      <c r="D38" s="390">
        <v>-1.5</v>
      </c>
      <c r="E38" s="390">
        <v>-2.5</v>
      </c>
      <c r="F38" s="390">
        <v>-2</v>
      </c>
      <c r="G38" s="392">
        <v>-1.9</v>
      </c>
      <c r="H38" s="390">
        <v>-0.7</v>
      </c>
    </row>
    <row r="39" spans="1:8" ht="14" customHeight="1" x14ac:dyDescent="0.2">
      <c r="A39" s="385">
        <v>37</v>
      </c>
      <c r="B39" s="386" t="s">
        <v>863</v>
      </c>
      <c r="C39" s="387">
        <v>-1</v>
      </c>
      <c r="D39" s="387">
        <v>-1.5</v>
      </c>
      <c r="E39" s="387">
        <v>-2.5</v>
      </c>
      <c r="F39" s="387">
        <v>-2</v>
      </c>
      <c r="G39" s="391">
        <v>-1.9</v>
      </c>
      <c r="H39" s="387">
        <v>-0.7</v>
      </c>
    </row>
    <row r="40" spans="1:8" ht="14" customHeight="1" x14ac:dyDescent="0.2">
      <c r="A40" s="388">
        <v>38</v>
      </c>
      <c r="B40" s="389" t="s">
        <v>864</v>
      </c>
      <c r="C40" s="390">
        <v>-0.9</v>
      </c>
      <c r="D40" s="390">
        <v>-1.5</v>
      </c>
      <c r="E40" s="390">
        <v>-2.5</v>
      </c>
      <c r="F40" s="390">
        <v>-2</v>
      </c>
      <c r="G40" s="392">
        <v>-1.9</v>
      </c>
      <c r="H40" s="390">
        <v>-0.7</v>
      </c>
    </row>
    <row r="41" spans="1:8" ht="14" customHeight="1" x14ac:dyDescent="0.2">
      <c r="A41" s="385">
        <v>39</v>
      </c>
      <c r="B41" s="386" t="s">
        <v>865</v>
      </c>
      <c r="C41" s="387">
        <v>-1</v>
      </c>
      <c r="D41" s="387">
        <v>-1.5</v>
      </c>
      <c r="E41" s="387">
        <v>-2.5</v>
      </c>
      <c r="F41" s="387">
        <v>-2</v>
      </c>
      <c r="G41" s="391">
        <v>-1.9</v>
      </c>
      <c r="H41" s="387">
        <v>-0.7</v>
      </c>
    </row>
    <row r="42" spans="1:8" ht="14" customHeight="1" x14ac:dyDescent="0.2">
      <c r="A42" s="388">
        <v>40</v>
      </c>
      <c r="B42" s="389" t="s">
        <v>866</v>
      </c>
      <c r="C42" s="390">
        <v>-1</v>
      </c>
      <c r="D42" s="390">
        <v>-1.5</v>
      </c>
      <c r="E42" s="390">
        <v>-2.5</v>
      </c>
      <c r="F42" s="390">
        <v>-2</v>
      </c>
      <c r="G42" s="392">
        <v>-1.9</v>
      </c>
      <c r="H42" s="390">
        <v>-0.7</v>
      </c>
    </row>
    <row r="43" spans="1:8" ht="14" customHeight="1" x14ac:dyDescent="0.2">
      <c r="A43" s="385">
        <v>41</v>
      </c>
      <c r="B43" s="386" t="s">
        <v>867</v>
      </c>
      <c r="C43" s="387">
        <v>-1</v>
      </c>
      <c r="D43" s="387">
        <v>-1.5</v>
      </c>
      <c r="E43" s="387">
        <v>-2.5</v>
      </c>
      <c r="F43" s="387">
        <v>-2</v>
      </c>
      <c r="G43" s="391">
        <v>-1.9</v>
      </c>
      <c r="H43" s="387">
        <v>-0.7</v>
      </c>
    </row>
    <row r="44" spans="1:8" ht="14" customHeight="1" x14ac:dyDescent="0.2">
      <c r="A44" s="388">
        <v>42</v>
      </c>
      <c r="B44" s="389" t="s">
        <v>868</v>
      </c>
      <c r="C44" s="390">
        <v>-1</v>
      </c>
      <c r="D44" s="390">
        <v>-1.5</v>
      </c>
      <c r="E44" s="390">
        <v>-2.5</v>
      </c>
      <c r="F44" s="390">
        <v>-2</v>
      </c>
      <c r="G44" s="392">
        <v>-1.9</v>
      </c>
      <c r="H44" s="390">
        <v>-0.7</v>
      </c>
    </row>
    <row r="45" spans="1:8" ht="14" customHeight="1" x14ac:dyDescent="0.2">
      <c r="A45" s="385">
        <v>43</v>
      </c>
      <c r="B45" s="386" t="s">
        <v>147</v>
      </c>
      <c r="C45" s="387">
        <v>-0.9</v>
      </c>
      <c r="D45" s="387">
        <v>-1.5</v>
      </c>
      <c r="E45" s="387">
        <v>-2.5</v>
      </c>
      <c r="F45" s="387">
        <v>-2</v>
      </c>
      <c r="G45" s="391">
        <v>-1.9</v>
      </c>
      <c r="H45" s="387">
        <v>-0.7</v>
      </c>
    </row>
    <row r="46" spans="1:8" ht="14" customHeight="1" x14ac:dyDescent="0.2">
      <c r="A46" s="388">
        <v>44</v>
      </c>
      <c r="B46" s="389" t="s">
        <v>869</v>
      </c>
      <c r="C46" s="390">
        <v>-0.9</v>
      </c>
      <c r="D46" s="390">
        <v>-1.5</v>
      </c>
      <c r="E46" s="390">
        <v>-2.5</v>
      </c>
      <c r="F46" s="390">
        <v>-2</v>
      </c>
      <c r="G46" s="392">
        <v>-1.9</v>
      </c>
      <c r="H46" s="390">
        <v>-0.7</v>
      </c>
    </row>
    <row r="47" spans="1:8" ht="14" customHeight="1" x14ac:dyDescent="0.2">
      <c r="A47" s="385">
        <v>45</v>
      </c>
      <c r="B47" s="386" t="s">
        <v>712</v>
      </c>
      <c r="C47" s="387">
        <v>-1</v>
      </c>
      <c r="D47" s="387">
        <v>-1.5</v>
      </c>
      <c r="E47" s="387">
        <v>-2.5</v>
      </c>
      <c r="F47" s="387">
        <v>-2</v>
      </c>
      <c r="G47" s="391">
        <v>-1.9</v>
      </c>
      <c r="H47" s="387">
        <v>-0.7</v>
      </c>
    </row>
    <row r="48" spans="1:8" ht="14" customHeight="1" x14ac:dyDescent="0.2">
      <c r="A48" s="388">
        <v>46</v>
      </c>
      <c r="B48" s="389" t="s">
        <v>871</v>
      </c>
      <c r="C48" s="390">
        <v>-1</v>
      </c>
      <c r="D48" s="390">
        <v>-1.5</v>
      </c>
      <c r="E48" s="390">
        <v>-2.5</v>
      </c>
      <c r="F48" s="390">
        <v>-2</v>
      </c>
      <c r="G48" s="392">
        <v>-1.9</v>
      </c>
      <c r="H48" s="390">
        <v>-0.7</v>
      </c>
    </row>
    <row r="49" spans="1:8" ht="14" customHeight="1" x14ac:dyDescent="0.2">
      <c r="A49" s="385">
        <v>47</v>
      </c>
      <c r="B49" s="386" t="s">
        <v>872</v>
      </c>
      <c r="C49" s="387">
        <v>-1</v>
      </c>
      <c r="D49" s="387">
        <v>-1.5</v>
      </c>
      <c r="E49" s="387">
        <v>-2.5</v>
      </c>
      <c r="F49" s="387">
        <v>-2</v>
      </c>
      <c r="G49" s="391">
        <v>-1.9</v>
      </c>
      <c r="H49" s="387">
        <v>-0.7</v>
      </c>
    </row>
    <row r="50" spans="1:8" ht="14" customHeight="1" x14ac:dyDescent="0.2">
      <c r="A50" s="388">
        <v>48</v>
      </c>
      <c r="B50" s="389" t="s">
        <v>873</v>
      </c>
      <c r="C50" s="390">
        <v>-1</v>
      </c>
      <c r="D50" s="390">
        <v>-1.5</v>
      </c>
      <c r="E50" s="390">
        <v>-2.5</v>
      </c>
      <c r="F50" s="390">
        <v>-2</v>
      </c>
      <c r="G50" s="392">
        <v>-1.9</v>
      </c>
      <c r="H50" s="390">
        <v>-0.7</v>
      </c>
    </row>
    <row r="51" spans="1:8" ht="14" customHeight="1" x14ac:dyDescent="0.2">
      <c r="A51" s="385">
        <v>49</v>
      </c>
      <c r="B51" s="386" t="s">
        <v>874</v>
      </c>
      <c r="C51" s="387">
        <v>-0.9</v>
      </c>
      <c r="D51" s="387">
        <v>-1.5</v>
      </c>
      <c r="E51" s="387">
        <v>-2.5</v>
      </c>
      <c r="F51" s="387">
        <v>-2</v>
      </c>
      <c r="G51" s="391">
        <v>-1.9</v>
      </c>
      <c r="H51" s="387">
        <v>-0.7</v>
      </c>
    </row>
    <row r="52" spans="1:8" ht="14" customHeight="1" x14ac:dyDescent="0.2">
      <c r="A52" s="388">
        <v>50</v>
      </c>
      <c r="B52" s="389" t="s">
        <v>154</v>
      </c>
      <c r="C52" s="390">
        <v>-0.9</v>
      </c>
      <c r="D52" s="390">
        <v>-1.5</v>
      </c>
      <c r="E52" s="390">
        <v>-2.5</v>
      </c>
      <c r="F52" s="390">
        <v>-2</v>
      </c>
      <c r="G52" s="392">
        <v>-1.9</v>
      </c>
      <c r="H52" s="390">
        <v>-0.7</v>
      </c>
    </row>
    <row r="53" spans="1:8" ht="14" customHeight="1" x14ac:dyDescent="0.2">
      <c r="A53" s="385">
        <v>51</v>
      </c>
      <c r="B53" s="386" t="s">
        <v>875</v>
      </c>
      <c r="C53" s="387">
        <v>-0.9</v>
      </c>
      <c r="D53" s="387">
        <v>-1.5</v>
      </c>
      <c r="E53" s="387">
        <v>-2.5</v>
      </c>
      <c r="F53" s="387">
        <v>-2</v>
      </c>
      <c r="G53" s="391">
        <v>-1.9</v>
      </c>
      <c r="H53" s="387">
        <v>-0.7</v>
      </c>
    </row>
    <row r="54" spans="1:8" ht="14" customHeight="1" x14ac:dyDescent="0.2">
      <c r="A54" s="388">
        <v>52</v>
      </c>
      <c r="B54" s="389" t="s">
        <v>156</v>
      </c>
      <c r="C54" s="390">
        <v>-0.9</v>
      </c>
      <c r="D54" s="390">
        <v>-1.5</v>
      </c>
      <c r="E54" s="390">
        <v>-2.5</v>
      </c>
      <c r="F54" s="390">
        <v>-2</v>
      </c>
      <c r="G54" s="392">
        <v>-1.9</v>
      </c>
      <c r="H54" s="390">
        <v>-0.7</v>
      </c>
    </row>
    <row r="55" spans="1:8" ht="14" customHeight="1" x14ac:dyDescent="0.2">
      <c r="A55" s="385">
        <v>53</v>
      </c>
      <c r="B55" s="386" t="s">
        <v>876</v>
      </c>
      <c r="C55" s="387">
        <v>-1</v>
      </c>
      <c r="D55" s="387">
        <v>-1.5</v>
      </c>
      <c r="E55" s="387">
        <v>-2.5</v>
      </c>
      <c r="F55" s="387">
        <v>-2</v>
      </c>
      <c r="G55" s="391">
        <v>-1.9</v>
      </c>
      <c r="H55" s="387">
        <v>-0.7</v>
      </c>
    </row>
    <row r="56" spans="1:8" ht="14" customHeight="1" x14ac:dyDescent="0.2">
      <c r="A56" s="388">
        <v>54</v>
      </c>
      <c r="B56" s="389" t="s">
        <v>878</v>
      </c>
      <c r="C56" s="390">
        <v>-0.9</v>
      </c>
      <c r="D56" s="390">
        <v>-1.5</v>
      </c>
      <c r="E56" s="390">
        <v>-2.5</v>
      </c>
      <c r="F56" s="390">
        <v>-2</v>
      </c>
      <c r="G56" s="392">
        <v>-1.9</v>
      </c>
      <c r="H56" s="390">
        <v>-0.7</v>
      </c>
    </row>
    <row r="57" spans="1:8" ht="14" customHeight="1" x14ac:dyDescent="0.2">
      <c r="A57" s="385">
        <v>55</v>
      </c>
      <c r="B57" s="386" t="s">
        <v>879</v>
      </c>
      <c r="C57" s="387">
        <v>-0.9</v>
      </c>
      <c r="D57" s="387">
        <v>-1.5</v>
      </c>
      <c r="E57" s="387">
        <v>-2.5</v>
      </c>
      <c r="F57" s="387">
        <v>-2</v>
      </c>
      <c r="G57" s="391">
        <v>-1.9</v>
      </c>
      <c r="H57" s="387">
        <v>-0.7</v>
      </c>
    </row>
    <row r="58" spans="1:8" ht="14" customHeight="1" x14ac:dyDescent="0.2">
      <c r="A58" s="388">
        <v>56</v>
      </c>
      <c r="B58" s="389" t="s">
        <v>880</v>
      </c>
      <c r="C58" s="390">
        <v>-0.9</v>
      </c>
      <c r="D58" s="390">
        <v>-1.5</v>
      </c>
      <c r="E58" s="390">
        <v>-2.5</v>
      </c>
      <c r="F58" s="390">
        <v>-2</v>
      </c>
      <c r="G58" s="392">
        <v>-1.9</v>
      </c>
      <c r="H58" s="390">
        <v>-0.7</v>
      </c>
    </row>
    <row r="59" spans="1:8" ht="14" customHeight="1" x14ac:dyDescent="0.2">
      <c r="A59" s="385">
        <v>57</v>
      </c>
      <c r="B59" s="386" t="s">
        <v>881</v>
      </c>
      <c r="C59" s="387">
        <v>-0.9</v>
      </c>
      <c r="D59" s="387">
        <v>-1.5</v>
      </c>
      <c r="E59" s="387">
        <v>-2.5</v>
      </c>
      <c r="F59" s="387">
        <v>-2</v>
      </c>
      <c r="G59" s="391">
        <v>-1.9</v>
      </c>
      <c r="H59" s="387">
        <v>-0.7</v>
      </c>
    </row>
    <row r="60" spans="1:8" ht="14" customHeight="1" x14ac:dyDescent="0.2">
      <c r="A60" s="388">
        <v>58</v>
      </c>
      <c r="B60" s="389" t="s">
        <v>352</v>
      </c>
      <c r="C60" s="390">
        <v>-0.9</v>
      </c>
      <c r="D60" s="390">
        <v>-1.5</v>
      </c>
      <c r="E60" s="390">
        <v>-2.5</v>
      </c>
      <c r="F60" s="390">
        <v>-2</v>
      </c>
      <c r="G60" s="392">
        <v>-1.9</v>
      </c>
      <c r="H60" s="390">
        <v>-0.7</v>
      </c>
    </row>
    <row r="61" spans="1:8" ht="14" customHeight="1" x14ac:dyDescent="0.2">
      <c r="A61" s="385">
        <v>59</v>
      </c>
      <c r="B61" s="386" t="s">
        <v>882</v>
      </c>
      <c r="C61" s="387">
        <v>-0.9</v>
      </c>
      <c r="D61" s="387">
        <v>-1.5</v>
      </c>
      <c r="E61" s="387">
        <v>-2.5</v>
      </c>
      <c r="F61" s="387">
        <v>-2</v>
      </c>
      <c r="G61" s="391">
        <v>-1.9</v>
      </c>
      <c r="H61" s="387">
        <v>-0.7</v>
      </c>
    </row>
    <row r="62" spans="1:8" ht="14" customHeight="1" x14ac:dyDescent="0.2">
      <c r="A62" s="388">
        <v>60</v>
      </c>
      <c r="B62" s="389" t="s">
        <v>883</v>
      </c>
      <c r="C62" s="390">
        <v>-1</v>
      </c>
      <c r="D62" s="390">
        <v>-1.5</v>
      </c>
      <c r="E62" s="390">
        <v>-2.5</v>
      </c>
      <c r="F62" s="390">
        <v>-2</v>
      </c>
      <c r="G62" s="392">
        <v>-1.9</v>
      </c>
      <c r="H62" s="390">
        <v>-0.7</v>
      </c>
    </row>
    <row r="63" spans="1:8" ht="14" customHeight="1" x14ac:dyDescent="0.2">
      <c r="A63" s="385">
        <v>61</v>
      </c>
      <c r="B63" s="386" t="s">
        <v>884</v>
      </c>
      <c r="C63" s="387">
        <v>-0.9</v>
      </c>
      <c r="D63" s="387">
        <v>-1.5</v>
      </c>
      <c r="E63" s="387">
        <v>-2.5</v>
      </c>
      <c r="F63" s="387">
        <v>-2</v>
      </c>
      <c r="G63" s="391">
        <v>-1.9</v>
      </c>
      <c r="H63" s="387">
        <v>-0.7</v>
      </c>
    </row>
    <row r="64" spans="1:8" ht="14" customHeight="1" x14ac:dyDescent="0.2">
      <c r="A64" s="388">
        <v>62</v>
      </c>
      <c r="B64" s="389" t="s">
        <v>886</v>
      </c>
      <c r="C64" s="390">
        <v>-0.9</v>
      </c>
      <c r="D64" s="390">
        <v>-1.5</v>
      </c>
      <c r="E64" s="390">
        <v>-2.5</v>
      </c>
      <c r="F64" s="390">
        <v>-2</v>
      </c>
      <c r="G64" s="392">
        <v>-1.9</v>
      </c>
      <c r="H64" s="390">
        <v>-0.7</v>
      </c>
    </row>
    <row r="65" spans="1:8" ht="14" customHeight="1" x14ac:dyDescent="0.2">
      <c r="A65" s="385">
        <v>63</v>
      </c>
      <c r="B65" s="386" t="s">
        <v>887</v>
      </c>
      <c r="C65" s="387">
        <v>-1</v>
      </c>
      <c r="D65" s="387">
        <v>-1.5</v>
      </c>
      <c r="E65" s="387">
        <v>-2.5</v>
      </c>
      <c r="F65" s="387">
        <v>-2</v>
      </c>
      <c r="G65" s="391">
        <v>-1.9</v>
      </c>
      <c r="H65" s="387">
        <v>-0.7</v>
      </c>
    </row>
    <row r="66" spans="1:8" ht="14" customHeight="1" x14ac:dyDescent="0.2">
      <c r="A66" s="388">
        <v>64</v>
      </c>
      <c r="B66" s="389" t="s">
        <v>888</v>
      </c>
      <c r="C66" s="390">
        <v>-0.9</v>
      </c>
      <c r="D66" s="390">
        <v>-1.5</v>
      </c>
      <c r="E66" s="390">
        <v>-2.5</v>
      </c>
      <c r="F66" s="390">
        <v>-2</v>
      </c>
      <c r="G66" s="392">
        <v>-1.9</v>
      </c>
      <c r="H66" s="390">
        <v>-0.7</v>
      </c>
    </row>
    <row r="67" spans="1:8" ht="14" customHeight="1" x14ac:dyDescent="0.2">
      <c r="A67" s="385">
        <v>65</v>
      </c>
      <c r="B67" s="386" t="s">
        <v>889</v>
      </c>
      <c r="C67" s="387">
        <v>-0.9</v>
      </c>
      <c r="D67" s="387">
        <v>-1.5</v>
      </c>
      <c r="E67" s="387">
        <v>-2.5</v>
      </c>
      <c r="F67" s="387">
        <v>-2</v>
      </c>
      <c r="G67" s="391">
        <v>-1.9</v>
      </c>
      <c r="H67" s="387">
        <v>-0.7</v>
      </c>
    </row>
    <row r="68" spans="1:8" ht="14" customHeight="1" x14ac:dyDescent="0.2">
      <c r="A68" s="388">
        <v>66</v>
      </c>
      <c r="B68" s="389" t="s">
        <v>890</v>
      </c>
      <c r="C68" s="390">
        <v>-0.9</v>
      </c>
      <c r="D68" s="390">
        <v>-1.5</v>
      </c>
      <c r="E68" s="390">
        <v>-2.5</v>
      </c>
      <c r="F68" s="390">
        <v>-2</v>
      </c>
      <c r="G68" s="392">
        <v>-1.9</v>
      </c>
      <c r="H68" s="390">
        <v>-0.7</v>
      </c>
    </row>
    <row r="69" spans="1:8" ht="14" customHeight="1" x14ac:dyDescent="0.2">
      <c r="A69" s="385">
        <v>67</v>
      </c>
      <c r="B69" s="386" t="s">
        <v>891</v>
      </c>
      <c r="C69" s="387">
        <v>-0.9</v>
      </c>
      <c r="D69" s="387">
        <v>-1.5</v>
      </c>
      <c r="E69" s="387">
        <v>-2.5</v>
      </c>
      <c r="F69" s="387">
        <v>-2</v>
      </c>
      <c r="G69" s="391">
        <v>-1.9</v>
      </c>
      <c r="H69" s="387">
        <v>-0.7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FC38-D928-0D4A-A44C-72333E166AC7}">
  <dimension ref="A1:I100"/>
  <sheetViews>
    <sheetView topLeftCell="A15" zoomScale="125" workbookViewId="0">
      <selection activeCell="F52" sqref="F52"/>
    </sheetView>
  </sheetViews>
  <sheetFormatPr baseColWidth="10" defaultColWidth="8.83203125" defaultRowHeight="15" x14ac:dyDescent="0.2"/>
  <cols>
    <col min="1" max="1" width="16.33203125" style="73" customWidth="1"/>
    <col min="2" max="2" width="23.1640625" style="73" customWidth="1"/>
    <col min="3" max="3" width="13.1640625" style="73" customWidth="1"/>
    <col min="4" max="4" width="10.83203125" style="73" customWidth="1"/>
    <col min="5" max="5" width="10.1640625" style="73" customWidth="1"/>
    <col min="6" max="6" width="9.83203125" style="73" customWidth="1"/>
    <col min="7" max="7" width="8.33203125" style="73" customWidth="1"/>
    <col min="8" max="8" width="35.83203125" style="73" customWidth="1"/>
    <col min="9" max="9" width="43.83203125" style="73" customWidth="1"/>
    <col min="10" max="16384" width="8.83203125" style="73"/>
  </cols>
  <sheetData>
    <row r="1" spans="1:8" ht="20" customHeight="1" x14ac:dyDescent="0.2">
      <c r="A1" s="423" t="s">
        <v>764</v>
      </c>
      <c r="B1" s="424"/>
      <c r="C1" s="424"/>
      <c r="D1" s="424"/>
      <c r="E1" s="424"/>
      <c r="F1" s="424"/>
      <c r="G1" s="424"/>
    </row>
    <row r="2" spans="1:8" ht="27" customHeight="1" x14ac:dyDescent="0.2">
      <c r="A2" s="425" t="s">
        <v>765</v>
      </c>
      <c r="B2" s="418"/>
      <c r="C2" s="418"/>
      <c r="D2" s="418"/>
      <c r="E2" s="418"/>
      <c r="F2" s="418"/>
      <c r="G2" s="418"/>
    </row>
    <row r="4" spans="1:8" x14ac:dyDescent="0.2">
      <c r="A4" s="426" t="s">
        <v>766</v>
      </c>
      <c r="B4" s="426"/>
      <c r="C4" s="426"/>
      <c r="D4" s="426"/>
      <c r="E4" s="426"/>
      <c r="F4" s="426"/>
      <c r="G4" s="426"/>
    </row>
    <row r="5" spans="1:8" ht="30" customHeight="1" x14ac:dyDescent="0.2">
      <c r="A5" s="267" t="s">
        <v>767</v>
      </c>
      <c r="B5" s="267" t="s">
        <v>768</v>
      </c>
      <c r="C5" s="267" t="s">
        <v>769</v>
      </c>
      <c r="D5" s="267" t="s">
        <v>770</v>
      </c>
      <c r="E5" s="267" t="s">
        <v>771</v>
      </c>
      <c r="F5" s="267" t="s">
        <v>772</v>
      </c>
      <c r="G5" s="267" t="s">
        <v>773</v>
      </c>
    </row>
    <row r="6" spans="1:8" ht="71" customHeight="1" x14ac:dyDescent="0.2">
      <c r="A6" s="268" t="s">
        <v>774</v>
      </c>
      <c r="B6" s="269">
        <v>610</v>
      </c>
      <c r="C6" s="269">
        <v>883</v>
      </c>
      <c r="D6" s="269">
        <v>1122</v>
      </c>
      <c r="E6" s="269">
        <v>1550</v>
      </c>
      <c r="F6" s="269">
        <v>3705</v>
      </c>
      <c r="G6" s="270" t="s">
        <v>775</v>
      </c>
    </row>
    <row r="7" spans="1:8" ht="35" customHeight="1" x14ac:dyDescent="0.2">
      <c r="A7" s="268" t="s">
        <v>776</v>
      </c>
      <c r="B7" s="271">
        <v>-3.5775339199673022</v>
      </c>
      <c r="C7" s="271">
        <v>-3.1315305111527798</v>
      </c>
      <c r="D7" s="271">
        <v>-2.87279788428879</v>
      </c>
      <c r="E7" s="271">
        <v>-2.557308307326057</v>
      </c>
      <c r="F7" s="271">
        <v>-1.868696380195509</v>
      </c>
      <c r="G7" s="270"/>
    </row>
    <row r="8" spans="1:8" ht="40" customHeight="1" x14ac:dyDescent="0.2">
      <c r="A8" s="268" t="s">
        <v>777</v>
      </c>
      <c r="B8" s="272">
        <v>0.72047784245491098</v>
      </c>
      <c r="C8" s="272">
        <v>0.68066732978058075</v>
      </c>
      <c r="D8" s="272">
        <v>0.65190729028695071</v>
      </c>
      <c r="E8" s="273">
        <v>0.60896384798999514</v>
      </c>
      <c r="F8" s="274">
        <v>0.46486758865804789</v>
      </c>
      <c r="G8" s="270"/>
    </row>
    <row r="9" spans="1:8" ht="29" customHeight="1" x14ac:dyDescent="0.2">
      <c r="A9" s="268" t="s">
        <v>778</v>
      </c>
      <c r="B9" s="275">
        <v>0.27952215754508902</v>
      </c>
      <c r="C9" s="274">
        <v>0.31933267021941919</v>
      </c>
      <c r="D9" s="274">
        <v>0.34809270971304929</v>
      </c>
      <c r="E9" s="274">
        <v>0.39103615201000491</v>
      </c>
      <c r="F9" s="274">
        <v>0.53513241134195211</v>
      </c>
      <c r="G9" s="270"/>
    </row>
    <row r="12" spans="1:8" x14ac:dyDescent="0.2">
      <c r="A12" s="422" t="s">
        <v>779</v>
      </c>
      <c r="B12" s="422"/>
      <c r="C12" s="422"/>
      <c r="D12" s="422"/>
      <c r="E12" s="422"/>
      <c r="F12" s="422"/>
      <c r="G12" s="422"/>
    </row>
    <row r="13" spans="1:8" x14ac:dyDescent="0.2">
      <c r="A13" s="427" t="s">
        <v>780</v>
      </c>
      <c r="B13" s="428"/>
      <c r="C13" s="428"/>
      <c r="D13" s="428"/>
      <c r="E13" s="428"/>
      <c r="F13" s="428"/>
      <c r="G13" s="428"/>
      <c r="H13" s="428"/>
    </row>
    <row r="14" spans="1:8" ht="29" customHeight="1" x14ac:dyDescent="0.2">
      <c r="A14" s="429" t="s">
        <v>781</v>
      </c>
      <c r="B14" s="419"/>
      <c r="C14" s="419"/>
      <c r="D14" s="419"/>
      <c r="E14" s="419"/>
      <c r="F14" s="419"/>
      <c r="G14" s="419"/>
      <c r="H14" s="419"/>
    </row>
    <row r="15" spans="1:8" ht="26" x14ac:dyDescent="0.2">
      <c r="A15" s="267" t="s">
        <v>782</v>
      </c>
      <c r="B15" s="267" t="s">
        <v>783</v>
      </c>
      <c r="C15" s="267" t="s">
        <v>784</v>
      </c>
      <c r="D15" s="267" t="s">
        <v>785</v>
      </c>
      <c r="E15" s="267" t="s">
        <v>786</v>
      </c>
      <c r="F15" s="267" t="s">
        <v>787</v>
      </c>
      <c r="G15" s="267" t="s">
        <v>788</v>
      </c>
      <c r="H15" s="267" t="s">
        <v>789</v>
      </c>
    </row>
    <row r="16" spans="1:8" ht="15" customHeight="1" x14ac:dyDescent="0.2">
      <c r="A16" s="276" t="s">
        <v>790</v>
      </c>
      <c r="B16" s="277">
        <v>0.871</v>
      </c>
      <c r="C16" s="278">
        <v>0.84459784761538015</v>
      </c>
      <c r="D16" s="278">
        <v>0.79792899628383018</v>
      </c>
      <c r="E16" s="278">
        <v>0.76421433356653312</v>
      </c>
      <c r="F16" s="279">
        <v>0.71387282853201317</v>
      </c>
      <c r="G16" s="279">
        <v>0.54495244915364704</v>
      </c>
      <c r="H16" s="280" t="s">
        <v>791</v>
      </c>
    </row>
    <row r="17" spans="1:9" ht="15" customHeight="1" x14ac:dyDescent="0.2">
      <c r="A17" s="281" t="s">
        <v>792</v>
      </c>
      <c r="B17" s="282">
        <v>0.79400000000000004</v>
      </c>
      <c r="C17" s="283">
        <v>0.76993190701103553</v>
      </c>
      <c r="D17" s="284">
        <v>0.72738877502796928</v>
      </c>
      <c r="E17" s="284">
        <v>0.69665462784365939</v>
      </c>
      <c r="F17" s="284">
        <v>0.65076351992470549</v>
      </c>
      <c r="G17" s="284">
        <v>0.49677640026176317</v>
      </c>
      <c r="H17" s="285" t="s">
        <v>793</v>
      </c>
    </row>
    <row r="18" spans="1:9" ht="15" customHeight="1" x14ac:dyDescent="0.2">
      <c r="A18" s="286" t="s">
        <v>794</v>
      </c>
      <c r="B18" s="287">
        <v>0.76900000000000002</v>
      </c>
      <c r="C18" s="288">
        <v>0.74568971850313137</v>
      </c>
      <c r="D18" s="288">
        <v>0.70448610578905335</v>
      </c>
      <c r="E18" s="288">
        <v>0.67471965845311599</v>
      </c>
      <c r="F18" s="288">
        <v>0.63027348466259259</v>
      </c>
      <c r="G18" s="288">
        <v>0.48113482594621648</v>
      </c>
      <c r="H18" s="289" t="s">
        <v>795</v>
      </c>
    </row>
    <row r="19" spans="1:9" ht="15" customHeight="1" x14ac:dyDescent="0.2">
      <c r="A19" s="290" t="s">
        <v>796</v>
      </c>
      <c r="B19" s="291">
        <v>0.79400000000000004</v>
      </c>
      <c r="C19" s="292">
        <v>0.76993190701103553</v>
      </c>
      <c r="D19" s="293">
        <v>0.72738877502796928</v>
      </c>
      <c r="E19" s="293">
        <v>0.69665462784365939</v>
      </c>
      <c r="F19" s="293">
        <v>0.65076351992470549</v>
      </c>
      <c r="G19" s="293">
        <v>0.49677640026176317</v>
      </c>
      <c r="H19" s="294" t="s">
        <v>797</v>
      </c>
    </row>
    <row r="20" spans="1:9" ht="15" customHeight="1" x14ac:dyDescent="0.2">
      <c r="A20" s="295" t="s">
        <v>798</v>
      </c>
      <c r="B20" s="296">
        <v>0.61399999999999999</v>
      </c>
      <c r="C20" s="297">
        <v>0.59538814975412557</v>
      </c>
      <c r="D20" s="297">
        <v>0.56248955650777466</v>
      </c>
      <c r="E20" s="297">
        <v>0.53872284823174665</v>
      </c>
      <c r="F20" s="297">
        <v>0.50323526603749258</v>
      </c>
      <c r="G20" s="298">
        <v>0.3841570651898269</v>
      </c>
      <c r="H20" s="299" t="s">
        <v>799</v>
      </c>
    </row>
    <row r="21" spans="1:9" ht="15" customHeight="1" x14ac:dyDescent="0.2">
      <c r="A21" s="300" t="s">
        <v>800</v>
      </c>
      <c r="B21" s="301">
        <v>0.74299999999999999</v>
      </c>
      <c r="C21" s="302">
        <v>0.72047784245491098</v>
      </c>
      <c r="D21" s="302">
        <v>0.68066732978058075</v>
      </c>
      <c r="E21" s="302">
        <v>0.65190729028695071</v>
      </c>
      <c r="F21" s="302">
        <v>0.60896384798999514</v>
      </c>
      <c r="G21" s="302">
        <v>0.46486758865804789</v>
      </c>
      <c r="H21" s="303" t="s">
        <v>801</v>
      </c>
    </row>
    <row r="22" spans="1:9" ht="15" customHeight="1" x14ac:dyDescent="0.2">
      <c r="A22" s="304" t="s">
        <v>802</v>
      </c>
      <c r="B22" s="305">
        <v>0.74299999999999999</v>
      </c>
      <c r="C22" s="306">
        <v>0.72047784245491098</v>
      </c>
      <c r="D22" s="306">
        <v>0.68066732978058075</v>
      </c>
      <c r="E22" s="306">
        <v>0.65190729028695071</v>
      </c>
      <c r="F22" s="306">
        <v>0.60896384798999514</v>
      </c>
      <c r="G22" s="306">
        <v>0.46486758865804789</v>
      </c>
      <c r="H22" s="307" t="s">
        <v>803</v>
      </c>
    </row>
    <row r="23" spans="1:9" ht="15" customHeight="1" x14ac:dyDescent="0.2">
      <c r="A23" s="308" t="s">
        <v>804</v>
      </c>
      <c r="B23" s="309">
        <v>0.79400000000000004</v>
      </c>
      <c r="C23" s="310">
        <v>0.76993190701103553</v>
      </c>
      <c r="D23" s="311">
        <v>0.72738877502796928</v>
      </c>
      <c r="E23" s="311">
        <v>0.69665462784365939</v>
      </c>
      <c r="F23" s="311">
        <v>0.65076351992470549</v>
      </c>
      <c r="G23" s="311">
        <v>0.49677640026176317</v>
      </c>
      <c r="H23" s="312" t="s">
        <v>805</v>
      </c>
    </row>
    <row r="24" spans="1:9" ht="15" customHeight="1" x14ac:dyDescent="0.2">
      <c r="A24" s="313" t="s">
        <v>806</v>
      </c>
      <c r="B24" s="314">
        <v>0.74299999999999999</v>
      </c>
      <c r="C24" s="315">
        <v>0.72047784245491098</v>
      </c>
      <c r="D24" s="315">
        <v>0.68066732978058075</v>
      </c>
      <c r="E24" s="315">
        <v>0.65190729028695071</v>
      </c>
      <c r="F24" s="315">
        <v>0.60896384798999514</v>
      </c>
      <c r="G24" s="315">
        <v>0.46486758865804789</v>
      </c>
      <c r="H24" s="316" t="s">
        <v>807</v>
      </c>
    </row>
    <row r="25" spans="1:9" ht="15" customHeight="1" x14ac:dyDescent="0.2">
      <c r="A25" s="317" t="s">
        <v>626</v>
      </c>
      <c r="B25" s="318">
        <v>0.70400000000000007</v>
      </c>
      <c r="C25" s="319">
        <v>0.68266002838258055</v>
      </c>
      <c r="D25" s="319">
        <v>0.64493916576787202</v>
      </c>
      <c r="E25" s="319">
        <v>0.61768873803770308</v>
      </c>
      <c r="F25" s="319">
        <v>0.57699939298109915</v>
      </c>
      <c r="G25" s="319">
        <v>0.44046673272579512</v>
      </c>
      <c r="H25" s="320" t="s">
        <v>808</v>
      </c>
    </row>
    <row r="26" spans="1:9" ht="15" customHeight="1" x14ac:dyDescent="0.2">
      <c r="A26" s="321" t="s">
        <v>809</v>
      </c>
      <c r="B26" s="322">
        <v>0.70400000000000007</v>
      </c>
      <c r="C26" s="323">
        <v>0.68266002838258055</v>
      </c>
      <c r="D26" s="323">
        <v>0.64493916576787202</v>
      </c>
      <c r="E26" s="323">
        <v>0.61768873803770308</v>
      </c>
      <c r="F26" s="323">
        <v>0.57699939298109915</v>
      </c>
      <c r="G26" s="323">
        <v>0.44046673272579512</v>
      </c>
      <c r="H26" s="324" t="s">
        <v>810</v>
      </c>
    </row>
    <row r="27" spans="1:9" ht="14" customHeight="1" x14ac:dyDescent="0.2">
      <c r="A27" s="325" t="s">
        <v>811</v>
      </c>
      <c r="B27" s="326">
        <v>0.74299999999999999</v>
      </c>
      <c r="C27" s="327">
        <v>0.72047784245491098</v>
      </c>
      <c r="D27" s="327">
        <v>0.68066732978058075</v>
      </c>
      <c r="E27" s="327">
        <v>0.65190729028695071</v>
      </c>
      <c r="F27" s="327">
        <v>0.60896384798999514</v>
      </c>
      <c r="G27" s="327">
        <v>0.46486758865804789</v>
      </c>
      <c r="H27" s="328" t="s">
        <v>812</v>
      </c>
    </row>
    <row r="29" spans="1:9" x14ac:dyDescent="0.2">
      <c r="A29" s="422" t="s">
        <v>894</v>
      </c>
      <c r="B29" s="422"/>
      <c r="C29" s="422"/>
      <c r="D29" s="422"/>
      <c r="E29" s="422"/>
      <c r="F29" s="422"/>
      <c r="G29" s="422"/>
      <c r="H29" s="422"/>
    </row>
    <row r="30" spans="1:9" x14ac:dyDescent="0.2">
      <c r="A30" s="427" t="s">
        <v>813</v>
      </c>
      <c r="B30" s="428"/>
      <c r="C30" s="428"/>
      <c r="D30" s="428"/>
      <c r="E30" s="428"/>
      <c r="F30" s="428"/>
      <c r="G30" s="428"/>
      <c r="H30" s="428"/>
      <c r="I30" s="428"/>
    </row>
    <row r="31" spans="1:9" x14ac:dyDescent="0.2">
      <c r="A31" s="380" t="s">
        <v>895</v>
      </c>
      <c r="B31" s="380" t="s">
        <v>815</v>
      </c>
      <c r="C31" s="380" t="s">
        <v>816</v>
      </c>
      <c r="D31" s="380" t="s">
        <v>817</v>
      </c>
      <c r="E31" s="380" t="s">
        <v>818</v>
      </c>
      <c r="F31" s="380" t="s">
        <v>819</v>
      </c>
      <c r="G31" s="380" t="s">
        <v>820</v>
      </c>
      <c r="H31" s="380" t="s">
        <v>821</v>
      </c>
      <c r="I31" s="380" t="s">
        <v>822</v>
      </c>
    </row>
    <row r="32" spans="1:9" ht="15" customHeight="1" x14ac:dyDescent="0.2">
      <c r="A32" s="329">
        <v>1</v>
      </c>
      <c r="B32" s="330" t="s">
        <v>823</v>
      </c>
      <c r="C32" s="331" t="s">
        <v>790</v>
      </c>
      <c r="D32" s="332">
        <v>0.84459784761538015</v>
      </c>
      <c r="E32" s="332">
        <v>0.79792899628383018</v>
      </c>
      <c r="F32" s="332">
        <v>0.76421433356653312</v>
      </c>
      <c r="G32" s="332">
        <v>0.71387282853201317</v>
      </c>
      <c r="H32" s="333">
        <v>0.54495244915364704</v>
      </c>
      <c r="I32" s="280" t="s">
        <v>824</v>
      </c>
    </row>
    <row r="33" spans="1:9" ht="15" customHeight="1" x14ac:dyDescent="0.2">
      <c r="A33" s="334">
        <v>2</v>
      </c>
      <c r="B33" s="335" t="s">
        <v>106</v>
      </c>
      <c r="C33" s="336" t="s">
        <v>794</v>
      </c>
      <c r="D33" s="337">
        <v>0.74568971850313137</v>
      </c>
      <c r="E33" s="337">
        <v>0.70448610578905335</v>
      </c>
      <c r="F33" s="338">
        <v>0.67471965845311599</v>
      </c>
      <c r="G33" s="338">
        <v>0.63027348466259259</v>
      </c>
      <c r="H33" s="338">
        <v>0.48113482594621648</v>
      </c>
      <c r="I33" s="289" t="s">
        <v>825</v>
      </c>
    </row>
    <row r="34" spans="1:9" ht="15" customHeight="1" x14ac:dyDescent="0.2">
      <c r="A34" s="339">
        <v>3</v>
      </c>
      <c r="B34" s="340" t="s">
        <v>826</v>
      </c>
      <c r="C34" s="340" t="s">
        <v>802</v>
      </c>
      <c r="D34" s="341">
        <v>0.72047784245491098</v>
      </c>
      <c r="E34" s="342">
        <v>0.68066732978058075</v>
      </c>
      <c r="F34" s="342">
        <v>0.65190729028695071</v>
      </c>
      <c r="G34" s="342">
        <v>0.60896384798999514</v>
      </c>
      <c r="H34" s="342">
        <v>0.46486758865804789</v>
      </c>
      <c r="I34" s="307" t="s">
        <v>827</v>
      </c>
    </row>
    <row r="35" spans="1:9" ht="15" customHeight="1" x14ac:dyDescent="0.2">
      <c r="A35" s="343">
        <v>4</v>
      </c>
      <c r="B35" s="344" t="s">
        <v>828</v>
      </c>
      <c r="C35" s="344" t="s">
        <v>626</v>
      </c>
      <c r="D35" s="345">
        <v>0.68266002838258055</v>
      </c>
      <c r="E35" s="345">
        <v>0.64493916576787202</v>
      </c>
      <c r="F35" s="345">
        <v>0.61768873803770308</v>
      </c>
      <c r="G35" s="345">
        <v>0.57699939298109915</v>
      </c>
      <c r="H35" s="345">
        <v>0.44046673272579512</v>
      </c>
      <c r="I35" s="320" t="s">
        <v>829</v>
      </c>
    </row>
    <row r="36" spans="1:9" ht="15" customHeight="1" x14ac:dyDescent="0.2">
      <c r="A36" s="346">
        <v>5</v>
      </c>
      <c r="B36" s="347" t="s">
        <v>109</v>
      </c>
      <c r="C36" s="348" t="s">
        <v>796</v>
      </c>
      <c r="D36" s="349">
        <v>0.76993190701103553</v>
      </c>
      <c r="E36" s="349">
        <v>0.72738877502796928</v>
      </c>
      <c r="F36" s="350">
        <v>0.69665462784365939</v>
      </c>
      <c r="G36" s="350">
        <v>0.65076351992470549</v>
      </c>
      <c r="H36" s="350">
        <v>0.49677640026176317</v>
      </c>
      <c r="I36" s="294" t="s">
        <v>830</v>
      </c>
    </row>
    <row r="37" spans="1:9" ht="15" customHeight="1" x14ac:dyDescent="0.2">
      <c r="A37" s="351">
        <v>6</v>
      </c>
      <c r="B37" s="352" t="s">
        <v>110</v>
      </c>
      <c r="C37" s="352" t="s">
        <v>798</v>
      </c>
      <c r="D37" s="353">
        <v>0.59538814975412557</v>
      </c>
      <c r="E37" s="353">
        <v>0.56248955650777466</v>
      </c>
      <c r="F37" s="353">
        <v>0.53872284823174665</v>
      </c>
      <c r="G37" s="353">
        <v>0.50323526603749258</v>
      </c>
      <c r="H37" s="354">
        <v>0.3841570651898269</v>
      </c>
      <c r="I37" s="299" t="s">
        <v>831</v>
      </c>
    </row>
    <row r="38" spans="1:9" ht="15" customHeight="1" x14ac:dyDescent="0.2">
      <c r="A38" s="351">
        <v>7</v>
      </c>
      <c r="B38" s="352" t="s">
        <v>832</v>
      </c>
      <c r="C38" s="352" t="s">
        <v>798</v>
      </c>
      <c r="D38" s="353">
        <v>0.59538814975412557</v>
      </c>
      <c r="E38" s="353">
        <v>0.56248955650777466</v>
      </c>
      <c r="F38" s="353">
        <v>0.53872284823174665</v>
      </c>
      <c r="G38" s="353">
        <v>0.50323526603749258</v>
      </c>
      <c r="H38" s="354">
        <v>0.3841570651898269</v>
      </c>
      <c r="I38" s="299" t="s">
        <v>833</v>
      </c>
    </row>
    <row r="39" spans="1:9" ht="15" customHeight="1" x14ac:dyDescent="0.2">
      <c r="A39" s="355">
        <v>8</v>
      </c>
      <c r="B39" s="356" t="s">
        <v>112</v>
      </c>
      <c r="C39" s="357" t="s">
        <v>800</v>
      </c>
      <c r="D39" s="358">
        <v>0.72047784245491098</v>
      </c>
      <c r="E39" s="359">
        <v>0.68066732978058075</v>
      </c>
      <c r="F39" s="359">
        <v>0.65190729028695071</v>
      </c>
      <c r="G39" s="359">
        <v>0.60896384798999514</v>
      </c>
      <c r="H39" s="359">
        <v>0.46486758865804789</v>
      </c>
      <c r="I39" s="303" t="s">
        <v>680</v>
      </c>
    </row>
    <row r="40" spans="1:9" ht="15" customHeight="1" x14ac:dyDescent="0.2">
      <c r="A40" s="355">
        <v>9</v>
      </c>
      <c r="B40" s="356" t="s">
        <v>113</v>
      </c>
      <c r="C40" s="357" t="s">
        <v>800</v>
      </c>
      <c r="D40" s="358">
        <v>0.72047784245491098</v>
      </c>
      <c r="E40" s="359">
        <v>0.68066732978058075</v>
      </c>
      <c r="F40" s="359">
        <v>0.65190729028695071</v>
      </c>
      <c r="G40" s="359">
        <v>0.60896384798999514</v>
      </c>
      <c r="H40" s="359">
        <v>0.46486758865804789</v>
      </c>
      <c r="I40" s="303" t="s">
        <v>680</v>
      </c>
    </row>
    <row r="41" spans="1:9" ht="15" customHeight="1" x14ac:dyDescent="0.2">
      <c r="A41" s="355">
        <v>10</v>
      </c>
      <c r="B41" s="356" t="s">
        <v>627</v>
      </c>
      <c r="C41" s="357" t="s">
        <v>800</v>
      </c>
      <c r="D41" s="358">
        <v>0.72047784245491098</v>
      </c>
      <c r="E41" s="359">
        <v>0.68066732978058075</v>
      </c>
      <c r="F41" s="359">
        <v>0.65190729028695071</v>
      </c>
      <c r="G41" s="359">
        <v>0.60896384798999514</v>
      </c>
      <c r="H41" s="359">
        <v>0.46486758865804789</v>
      </c>
      <c r="I41" s="303" t="s">
        <v>801</v>
      </c>
    </row>
    <row r="42" spans="1:9" ht="15" customHeight="1" x14ac:dyDescent="0.2">
      <c r="A42" s="343">
        <v>11</v>
      </c>
      <c r="B42" s="344" t="s">
        <v>628</v>
      </c>
      <c r="C42" s="344" t="s">
        <v>626</v>
      </c>
      <c r="D42" s="345">
        <v>0.68266002838258055</v>
      </c>
      <c r="E42" s="345">
        <v>0.64493916576787202</v>
      </c>
      <c r="F42" s="345">
        <v>0.61768873803770308</v>
      </c>
      <c r="G42" s="345">
        <v>0.57699939298109915</v>
      </c>
      <c r="H42" s="345">
        <v>0.44046673272579512</v>
      </c>
      <c r="I42" s="320" t="s">
        <v>834</v>
      </c>
    </row>
    <row r="43" spans="1:9" ht="15" customHeight="1" x14ac:dyDescent="0.2">
      <c r="A43" s="343">
        <v>12</v>
      </c>
      <c r="B43" s="344" t="s">
        <v>629</v>
      </c>
      <c r="C43" s="344" t="s">
        <v>626</v>
      </c>
      <c r="D43" s="345">
        <v>0.68266002838258055</v>
      </c>
      <c r="E43" s="345">
        <v>0.64493916576787202</v>
      </c>
      <c r="F43" s="345">
        <v>0.61768873803770308</v>
      </c>
      <c r="G43" s="345">
        <v>0.57699939298109915</v>
      </c>
      <c r="H43" s="345">
        <v>0.44046673272579512</v>
      </c>
      <c r="I43" s="320" t="s">
        <v>834</v>
      </c>
    </row>
    <row r="44" spans="1:9" ht="15" customHeight="1" x14ac:dyDescent="0.2">
      <c r="A44" s="360">
        <v>13</v>
      </c>
      <c r="B44" s="361" t="s">
        <v>835</v>
      </c>
      <c r="C44" s="361" t="s">
        <v>809</v>
      </c>
      <c r="D44" s="362">
        <v>0.68266002838258055</v>
      </c>
      <c r="E44" s="362">
        <v>0.64493916576787202</v>
      </c>
      <c r="F44" s="362">
        <v>0.61768873803770308</v>
      </c>
      <c r="G44" s="362">
        <v>0.57699939298109915</v>
      </c>
      <c r="H44" s="362">
        <v>0.44046673272579512</v>
      </c>
      <c r="I44" s="324" t="s">
        <v>691</v>
      </c>
    </row>
    <row r="45" spans="1:9" ht="15" customHeight="1" x14ac:dyDescent="0.2">
      <c r="A45" s="363">
        <v>14</v>
      </c>
      <c r="B45" s="364" t="s">
        <v>981</v>
      </c>
      <c r="C45" s="364" t="s">
        <v>802</v>
      </c>
      <c r="D45" s="365">
        <v>0.72047784245491098</v>
      </c>
      <c r="E45" s="365">
        <v>0.68066732978058075</v>
      </c>
      <c r="F45" s="365">
        <v>0.65190729028695071</v>
      </c>
      <c r="G45" s="365">
        <v>0.60896384798999514</v>
      </c>
      <c r="H45" s="365">
        <v>0.46486758865804789</v>
      </c>
      <c r="I45" s="366" t="s">
        <v>836</v>
      </c>
    </row>
    <row r="46" spans="1:9" ht="15" customHeight="1" x14ac:dyDescent="0.2">
      <c r="A46" s="343">
        <v>15</v>
      </c>
      <c r="B46" s="344" t="s">
        <v>631</v>
      </c>
      <c r="C46" s="344" t="s">
        <v>626</v>
      </c>
      <c r="D46" s="345">
        <v>0.68266002838258055</v>
      </c>
      <c r="E46" s="345">
        <v>0.64493916576787202</v>
      </c>
      <c r="F46" s="345">
        <v>0.61768873803770308</v>
      </c>
      <c r="G46" s="345">
        <v>0.57699939298109915</v>
      </c>
      <c r="H46" s="345">
        <v>0.44046673272579512</v>
      </c>
      <c r="I46" s="320" t="s">
        <v>834</v>
      </c>
    </row>
    <row r="47" spans="1:9" ht="15" customHeight="1" x14ac:dyDescent="0.2">
      <c r="A47" s="367">
        <v>16</v>
      </c>
      <c r="B47" s="368" t="s">
        <v>837</v>
      </c>
      <c r="C47" s="369" t="s">
        <v>806</v>
      </c>
      <c r="D47" s="370">
        <v>0.72047784245491098</v>
      </c>
      <c r="E47" s="371">
        <v>0.68066732978058075</v>
      </c>
      <c r="F47" s="371">
        <v>0.65190729028695071</v>
      </c>
      <c r="G47" s="371">
        <v>0.60896384798999514</v>
      </c>
      <c r="H47" s="371">
        <v>0.46486758865804789</v>
      </c>
      <c r="I47" s="316" t="s">
        <v>838</v>
      </c>
    </row>
    <row r="48" spans="1:9" ht="15" customHeight="1" x14ac:dyDescent="0.2">
      <c r="A48" s="343">
        <v>17</v>
      </c>
      <c r="B48" s="344" t="s">
        <v>839</v>
      </c>
      <c r="C48" s="344" t="s">
        <v>626</v>
      </c>
      <c r="D48" s="345">
        <v>0.68266002838258055</v>
      </c>
      <c r="E48" s="345">
        <v>0.64493916576787202</v>
      </c>
      <c r="F48" s="345">
        <v>0.61768873803770308</v>
      </c>
      <c r="G48" s="345">
        <v>0.57699939298109915</v>
      </c>
      <c r="H48" s="345">
        <v>0.44046673272579512</v>
      </c>
      <c r="I48" s="320" t="s">
        <v>834</v>
      </c>
    </row>
    <row r="49" spans="1:9" ht="15" customHeight="1" x14ac:dyDescent="0.2">
      <c r="A49" s="343">
        <v>18</v>
      </c>
      <c r="B49" s="344" t="s">
        <v>840</v>
      </c>
      <c r="C49" s="344" t="s">
        <v>626</v>
      </c>
      <c r="D49" s="345">
        <v>0.68266002838258055</v>
      </c>
      <c r="E49" s="345">
        <v>0.64493916576787202</v>
      </c>
      <c r="F49" s="345">
        <v>0.61768873803770308</v>
      </c>
      <c r="G49" s="345">
        <v>0.57699939298109915</v>
      </c>
      <c r="H49" s="345">
        <v>0.44046673272579512</v>
      </c>
      <c r="I49" s="320" t="s">
        <v>834</v>
      </c>
    </row>
    <row r="50" spans="1:9" ht="15" customHeight="1" x14ac:dyDescent="0.2">
      <c r="A50" s="343">
        <v>19</v>
      </c>
      <c r="B50" s="344" t="s">
        <v>841</v>
      </c>
      <c r="C50" s="344" t="s">
        <v>626</v>
      </c>
      <c r="D50" s="345">
        <v>0.68266002838258055</v>
      </c>
      <c r="E50" s="345">
        <v>0.64493916576787202</v>
      </c>
      <c r="F50" s="345">
        <v>0.61768873803770308</v>
      </c>
      <c r="G50" s="345">
        <v>0.57699939298109915</v>
      </c>
      <c r="H50" s="345">
        <v>0.44046673272579512</v>
      </c>
      <c r="I50" s="320" t="s">
        <v>834</v>
      </c>
    </row>
    <row r="51" spans="1:9" ht="15" customHeight="1" x14ac:dyDescent="0.2">
      <c r="A51" s="343">
        <v>20</v>
      </c>
      <c r="B51" s="344" t="s">
        <v>842</v>
      </c>
      <c r="C51" s="344" t="s">
        <v>626</v>
      </c>
      <c r="D51" s="345">
        <v>0.68266002838258055</v>
      </c>
      <c r="E51" s="345">
        <v>0.64493916576787202</v>
      </c>
      <c r="F51" s="345">
        <v>0.61768873803770308</v>
      </c>
      <c r="G51" s="345">
        <v>0.57699939298109915</v>
      </c>
      <c r="H51" s="345">
        <v>0.44046673272579512</v>
      </c>
      <c r="I51" s="320" t="s">
        <v>834</v>
      </c>
    </row>
    <row r="52" spans="1:9" ht="15" customHeight="1" x14ac:dyDescent="0.2">
      <c r="A52" s="360">
        <v>21</v>
      </c>
      <c r="B52" s="361" t="s">
        <v>843</v>
      </c>
      <c r="C52" s="361" t="s">
        <v>809</v>
      </c>
      <c r="D52" s="362">
        <v>0.68266002838258055</v>
      </c>
      <c r="E52" s="362">
        <v>0.64493916576787202</v>
      </c>
      <c r="F52" s="362">
        <v>0.61768873803770308</v>
      </c>
      <c r="G52" s="362">
        <v>0.57699939298109915</v>
      </c>
      <c r="H52" s="362">
        <v>0.44046673272579512</v>
      </c>
      <c r="I52" s="324" t="s">
        <v>844</v>
      </c>
    </row>
    <row r="53" spans="1:9" ht="15" customHeight="1" x14ac:dyDescent="0.2">
      <c r="A53" s="343">
        <v>22</v>
      </c>
      <c r="B53" s="344" t="s">
        <v>339</v>
      </c>
      <c r="C53" s="344" t="s">
        <v>626</v>
      </c>
      <c r="D53" s="345">
        <v>0.68266002838258055</v>
      </c>
      <c r="E53" s="345">
        <v>0.64493916576787202</v>
      </c>
      <c r="F53" s="345">
        <v>0.61768873803770308</v>
      </c>
      <c r="G53" s="345">
        <v>0.57699939298109915</v>
      </c>
      <c r="H53" s="345">
        <v>0.44046673272579512</v>
      </c>
      <c r="I53" s="320" t="s">
        <v>834</v>
      </c>
    </row>
    <row r="54" spans="1:9" ht="15" customHeight="1" x14ac:dyDescent="0.2">
      <c r="A54" s="343">
        <v>23</v>
      </c>
      <c r="B54" s="344" t="s">
        <v>845</v>
      </c>
      <c r="C54" s="344" t="s">
        <v>626</v>
      </c>
      <c r="D54" s="345">
        <v>0.68266002838258055</v>
      </c>
      <c r="E54" s="345">
        <v>0.64493916576787202</v>
      </c>
      <c r="F54" s="345">
        <v>0.61768873803770308</v>
      </c>
      <c r="G54" s="345">
        <v>0.57699939298109915</v>
      </c>
      <c r="H54" s="345">
        <v>0.44046673272579512</v>
      </c>
      <c r="I54" s="320" t="s">
        <v>834</v>
      </c>
    </row>
    <row r="55" spans="1:9" ht="15" customHeight="1" x14ac:dyDescent="0.2">
      <c r="A55" s="351">
        <v>24</v>
      </c>
      <c r="B55" s="352" t="s">
        <v>846</v>
      </c>
      <c r="C55" s="352" t="s">
        <v>798</v>
      </c>
      <c r="D55" s="353">
        <v>0.59538814975412557</v>
      </c>
      <c r="E55" s="353">
        <v>0.56248955650777466</v>
      </c>
      <c r="F55" s="353">
        <v>0.53872284823174665</v>
      </c>
      <c r="G55" s="353">
        <v>0.50323526603749258</v>
      </c>
      <c r="H55" s="354">
        <v>0.3841570651898269</v>
      </c>
      <c r="I55" s="299" t="s">
        <v>847</v>
      </c>
    </row>
    <row r="56" spans="1:9" ht="15" customHeight="1" x14ac:dyDescent="0.2">
      <c r="A56" s="343">
        <v>25</v>
      </c>
      <c r="B56" s="344" t="s">
        <v>848</v>
      </c>
      <c r="C56" s="344" t="s">
        <v>626</v>
      </c>
      <c r="D56" s="345">
        <v>0.68266002838258055</v>
      </c>
      <c r="E56" s="345">
        <v>0.64493916576787202</v>
      </c>
      <c r="F56" s="345">
        <v>0.61768873803770308</v>
      </c>
      <c r="G56" s="345">
        <v>0.57699939298109915</v>
      </c>
      <c r="H56" s="345">
        <v>0.44046673272579512</v>
      </c>
      <c r="I56" s="320" t="s">
        <v>834</v>
      </c>
    </row>
    <row r="57" spans="1:9" ht="15" customHeight="1" x14ac:dyDescent="0.2">
      <c r="A57" s="372">
        <v>26</v>
      </c>
      <c r="B57" s="373" t="s">
        <v>849</v>
      </c>
      <c r="C57" s="374" t="s">
        <v>804</v>
      </c>
      <c r="D57" s="375">
        <v>0.76993190701103553</v>
      </c>
      <c r="E57" s="375">
        <v>0.72738877502796928</v>
      </c>
      <c r="F57" s="376">
        <v>0.69665462784365939</v>
      </c>
      <c r="G57" s="376">
        <v>0.65076351992470549</v>
      </c>
      <c r="H57" s="376">
        <v>0.49677640026176317</v>
      </c>
      <c r="I57" s="312" t="s">
        <v>850</v>
      </c>
    </row>
    <row r="58" spans="1:9" ht="15" customHeight="1" x14ac:dyDescent="0.2">
      <c r="A58" s="343">
        <v>27</v>
      </c>
      <c r="B58" s="344" t="s">
        <v>131</v>
      </c>
      <c r="C58" s="344" t="s">
        <v>626</v>
      </c>
      <c r="D58" s="345">
        <v>0.68266002838258055</v>
      </c>
      <c r="E58" s="345">
        <v>0.64493916576787202</v>
      </c>
      <c r="F58" s="345">
        <v>0.61768873803770308</v>
      </c>
      <c r="G58" s="345">
        <v>0.57699939298109915</v>
      </c>
      <c r="H58" s="345">
        <v>0.44046673272579512</v>
      </c>
      <c r="I58" s="320" t="s">
        <v>834</v>
      </c>
    </row>
    <row r="59" spans="1:9" ht="15" customHeight="1" x14ac:dyDescent="0.2">
      <c r="A59" s="360">
        <v>28</v>
      </c>
      <c r="B59" s="361" t="s">
        <v>851</v>
      </c>
      <c r="C59" s="361" t="s">
        <v>809</v>
      </c>
      <c r="D59" s="362">
        <v>0.68266002838258055</v>
      </c>
      <c r="E59" s="362">
        <v>0.64493916576787202</v>
      </c>
      <c r="F59" s="362">
        <v>0.61768873803770308</v>
      </c>
      <c r="G59" s="362">
        <v>0.57699939298109915</v>
      </c>
      <c r="H59" s="362">
        <v>0.44046673272579512</v>
      </c>
      <c r="I59" s="324" t="s">
        <v>691</v>
      </c>
    </row>
    <row r="60" spans="1:9" ht="15" customHeight="1" x14ac:dyDescent="0.2">
      <c r="A60" s="339">
        <v>29</v>
      </c>
      <c r="B60" s="340" t="s">
        <v>852</v>
      </c>
      <c r="C60" s="377" t="s">
        <v>802</v>
      </c>
      <c r="D60" s="341">
        <v>0.72047784245491098</v>
      </c>
      <c r="E60" s="342">
        <v>0.68066732978058075</v>
      </c>
      <c r="F60" s="342">
        <v>0.65190729028695071</v>
      </c>
      <c r="G60" s="342">
        <v>0.60896384798999514</v>
      </c>
      <c r="H60" s="342">
        <v>0.46486758865804789</v>
      </c>
      <c r="I60" s="307" t="s">
        <v>853</v>
      </c>
    </row>
    <row r="61" spans="1:9" ht="15" customHeight="1" x14ac:dyDescent="0.2">
      <c r="A61" s="339">
        <v>30</v>
      </c>
      <c r="B61" s="340" t="s">
        <v>854</v>
      </c>
      <c r="C61" s="377" t="s">
        <v>802</v>
      </c>
      <c r="D61" s="341">
        <v>0.72047784245491098</v>
      </c>
      <c r="E61" s="342">
        <v>0.68066732978058075</v>
      </c>
      <c r="F61" s="342">
        <v>0.65190729028695071</v>
      </c>
      <c r="G61" s="342">
        <v>0.60896384798999514</v>
      </c>
      <c r="H61" s="342">
        <v>0.46486758865804789</v>
      </c>
      <c r="I61" s="307" t="s">
        <v>855</v>
      </c>
    </row>
    <row r="62" spans="1:9" ht="15" customHeight="1" x14ac:dyDescent="0.2">
      <c r="A62" s="372">
        <v>31</v>
      </c>
      <c r="B62" s="373" t="s">
        <v>343</v>
      </c>
      <c r="C62" s="374" t="s">
        <v>804</v>
      </c>
      <c r="D62" s="375">
        <v>0.76993190701103553</v>
      </c>
      <c r="E62" s="375">
        <v>0.72738877502796928</v>
      </c>
      <c r="F62" s="376">
        <v>0.69665462784365939</v>
      </c>
      <c r="G62" s="376">
        <v>0.65076351992470549</v>
      </c>
      <c r="H62" s="376">
        <v>0.49677640026176317</v>
      </c>
      <c r="I62" s="312" t="s">
        <v>680</v>
      </c>
    </row>
    <row r="63" spans="1:9" ht="15" customHeight="1" x14ac:dyDescent="0.2">
      <c r="A63" s="360">
        <v>32</v>
      </c>
      <c r="B63" s="361" t="s">
        <v>856</v>
      </c>
      <c r="C63" s="361" t="s">
        <v>809</v>
      </c>
      <c r="D63" s="362">
        <v>0.68266002838258055</v>
      </c>
      <c r="E63" s="362">
        <v>0.64493916576787202</v>
      </c>
      <c r="F63" s="362">
        <v>0.61768873803770308</v>
      </c>
      <c r="G63" s="362">
        <v>0.57699939298109915</v>
      </c>
      <c r="H63" s="362">
        <v>0.44046673272579512</v>
      </c>
      <c r="I63" s="324" t="s">
        <v>691</v>
      </c>
    </row>
    <row r="64" spans="1:9" ht="15" customHeight="1" x14ac:dyDescent="0.2">
      <c r="A64" s="360">
        <v>33</v>
      </c>
      <c r="B64" s="361" t="s">
        <v>857</v>
      </c>
      <c r="C64" s="378" t="s">
        <v>809</v>
      </c>
      <c r="D64" s="362">
        <v>0.68266002838258055</v>
      </c>
      <c r="E64" s="362">
        <v>0.64493916576787202</v>
      </c>
      <c r="F64" s="362">
        <v>0.61768873803770308</v>
      </c>
      <c r="G64" s="362">
        <v>0.57699939298109915</v>
      </c>
      <c r="H64" s="362">
        <v>0.44046673272579512</v>
      </c>
      <c r="I64" s="324" t="s">
        <v>858</v>
      </c>
    </row>
    <row r="65" spans="1:9" ht="15" customHeight="1" x14ac:dyDescent="0.2">
      <c r="A65" s="360">
        <v>34</v>
      </c>
      <c r="B65" s="361" t="s">
        <v>859</v>
      </c>
      <c r="C65" s="361" t="s">
        <v>809</v>
      </c>
      <c r="D65" s="362">
        <v>0.68266002838258055</v>
      </c>
      <c r="E65" s="362">
        <v>0.64493916576787202</v>
      </c>
      <c r="F65" s="362">
        <v>0.61768873803770308</v>
      </c>
      <c r="G65" s="362">
        <v>0.57699939298109915</v>
      </c>
      <c r="H65" s="362">
        <v>0.44046673272579512</v>
      </c>
      <c r="I65" s="324" t="s">
        <v>691</v>
      </c>
    </row>
    <row r="66" spans="1:9" ht="15" customHeight="1" x14ac:dyDescent="0.2">
      <c r="A66" s="351">
        <v>35</v>
      </c>
      <c r="B66" s="352" t="s">
        <v>860</v>
      </c>
      <c r="C66" s="379" t="s">
        <v>798</v>
      </c>
      <c r="D66" s="353">
        <v>0.59538814975412557</v>
      </c>
      <c r="E66" s="353">
        <v>0.56248955650777466</v>
      </c>
      <c r="F66" s="353">
        <v>0.53872284823174665</v>
      </c>
      <c r="G66" s="353">
        <v>0.50323526603749258</v>
      </c>
      <c r="H66" s="354">
        <v>0.3841570651898269</v>
      </c>
      <c r="I66" s="299" t="s">
        <v>861</v>
      </c>
    </row>
    <row r="67" spans="1:9" ht="15" customHeight="1" x14ac:dyDescent="0.2">
      <c r="A67" s="360">
        <v>36</v>
      </c>
      <c r="B67" s="361" t="s">
        <v>862</v>
      </c>
      <c r="C67" s="361" t="s">
        <v>809</v>
      </c>
      <c r="D67" s="362">
        <v>0.68266002838258055</v>
      </c>
      <c r="E67" s="362">
        <v>0.64493916576787202</v>
      </c>
      <c r="F67" s="362">
        <v>0.61768873803770308</v>
      </c>
      <c r="G67" s="362">
        <v>0.57699939298109915</v>
      </c>
      <c r="H67" s="362">
        <v>0.44046673272579512</v>
      </c>
      <c r="I67" s="324" t="s">
        <v>691</v>
      </c>
    </row>
    <row r="68" spans="1:9" ht="15" customHeight="1" x14ac:dyDescent="0.2">
      <c r="A68" s="360">
        <v>37</v>
      </c>
      <c r="B68" s="361" t="s">
        <v>863</v>
      </c>
      <c r="C68" s="361" t="s">
        <v>809</v>
      </c>
      <c r="D68" s="362">
        <v>0.68266002838258055</v>
      </c>
      <c r="E68" s="362">
        <v>0.64493916576787202</v>
      </c>
      <c r="F68" s="362">
        <v>0.61768873803770308</v>
      </c>
      <c r="G68" s="362">
        <v>0.57699939298109915</v>
      </c>
      <c r="H68" s="362">
        <v>0.44046673272579512</v>
      </c>
      <c r="I68" s="324" t="s">
        <v>691</v>
      </c>
    </row>
    <row r="69" spans="1:9" ht="15" customHeight="1" x14ac:dyDescent="0.2">
      <c r="A69" s="360">
        <v>38</v>
      </c>
      <c r="B69" s="361" t="s">
        <v>864</v>
      </c>
      <c r="C69" s="361" t="s">
        <v>809</v>
      </c>
      <c r="D69" s="362">
        <v>0.68266002838258055</v>
      </c>
      <c r="E69" s="362">
        <v>0.64493916576787202</v>
      </c>
      <c r="F69" s="362">
        <v>0.61768873803770308</v>
      </c>
      <c r="G69" s="362">
        <v>0.57699939298109915</v>
      </c>
      <c r="H69" s="362">
        <v>0.44046673272579512</v>
      </c>
      <c r="I69" s="324" t="s">
        <v>691</v>
      </c>
    </row>
    <row r="70" spans="1:9" ht="15" customHeight="1" x14ac:dyDescent="0.2">
      <c r="A70" s="360">
        <v>39</v>
      </c>
      <c r="B70" s="361" t="s">
        <v>865</v>
      </c>
      <c r="C70" s="361" t="s">
        <v>809</v>
      </c>
      <c r="D70" s="362">
        <v>0.68266002838258055</v>
      </c>
      <c r="E70" s="362">
        <v>0.64493916576787202</v>
      </c>
      <c r="F70" s="362">
        <v>0.61768873803770308</v>
      </c>
      <c r="G70" s="362">
        <v>0.57699939298109915</v>
      </c>
      <c r="H70" s="362">
        <v>0.44046673272579512</v>
      </c>
      <c r="I70" s="324" t="s">
        <v>691</v>
      </c>
    </row>
    <row r="71" spans="1:9" ht="15" customHeight="1" x14ac:dyDescent="0.2">
      <c r="A71" s="360">
        <v>40</v>
      </c>
      <c r="B71" s="361" t="s">
        <v>866</v>
      </c>
      <c r="C71" s="361" t="s">
        <v>809</v>
      </c>
      <c r="D71" s="362">
        <v>0.68266002838258055</v>
      </c>
      <c r="E71" s="362">
        <v>0.64493916576787202</v>
      </c>
      <c r="F71" s="362">
        <v>0.61768873803770308</v>
      </c>
      <c r="G71" s="362">
        <v>0.57699939298109915</v>
      </c>
      <c r="H71" s="362">
        <v>0.44046673272579512</v>
      </c>
      <c r="I71" s="324" t="s">
        <v>844</v>
      </c>
    </row>
    <row r="72" spans="1:9" ht="15" customHeight="1" x14ac:dyDescent="0.2">
      <c r="A72" s="360">
        <v>41</v>
      </c>
      <c r="B72" s="361" t="s">
        <v>867</v>
      </c>
      <c r="C72" s="361" t="s">
        <v>809</v>
      </c>
      <c r="D72" s="362">
        <v>0.68266002838258055</v>
      </c>
      <c r="E72" s="362">
        <v>0.64493916576787202</v>
      </c>
      <c r="F72" s="362">
        <v>0.61768873803770308</v>
      </c>
      <c r="G72" s="362">
        <v>0.57699939298109915</v>
      </c>
      <c r="H72" s="362">
        <v>0.44046673272579512</v>
      </c>
      <c r="I72" s="324" t="s">
        <v>691</v>
      </c>
    </row>
    <row r="73" spans="1:9" ht="15" customHeight="1" x14ac:dyDescent="0.2">
      <c r="A73" s="360">
        <v>42</v>
      </c>
      <c r="B73" s="361" t="s">
        <v>868</v>
      </c>
      <c r="C73" s="361" t="s">
        <v>809</v>
      </c>
      <c r="D73" s="362">
        <v>0.68266002838258055</v>
      </c>
      <c r="E73" s="362">
        <v>0.64493916576787202</v>
      </c>
      <c r="F73" s="362">
        <v>0.61768873803770308</v>
      </c>
      <c r="G73" s="362">
        <v>0.57699939298109915</v>
      </c>
      <c r="H73" s="362">
        <v>0.44046673272579512</v>
      </c>
      <c r="I73" s="324" t="s">
        <v>691</v>
      </c>
    </row>
    <row r="74" spans="1:9" ht="15" customHeight="1" x14ac:dyDescent="0.2">
      <c r="A74" s="372">
        <v>43</v>
      </c>
      <c r="B74" s="373" t="s">
        <v>147</v>
      </c>
      <c r="C74" s="374" t="s">
        <v>804</v>
      </c>
      <c r="D74" s="375">
        <v>0.76993190701103553</v>
      </c>
      <c r="E74" s="375">
        <v>0.72738877502796928</v>
      </c>
      <c r="F74" s="376">
        <v>0.69665462784365939</v>
      </c>
      <c r="G74" s="376">
        <v>0.65076351992470549</v>
      </c>
      <c r="H74" s="376">
        <v>0.49677640026176317</v>
      </c>
      <c r="I74" s="312" t="s">
        <v>853</v>
      </c>
    </row>
    <row r="75" spans="1:9" ht="15" customHeight="1" x14ac:dyDescent="0.2">
      <c r="A75" s="360">
        <v>44</v>
      </c>
      <c r="B75" s="361" t="s">
        <v>869</v>
      </c>
      <c r="C75" s="361" t="s">
        <v>809</v>
      </c>
      <c r="D75" s="362">
        <v>0.68266002838258055</v>
      </c>
      <c r="E75" s="362">
        <v>0.64493916576787202</v>
      </c>
      <c r="F75" s="362">
        <v>0.61768873803770308</v>
      </c>
      <c r="G75" s="362">
        <v>0.57699939298109915</v>
      </c>
      <c r="H75" s="362">
        <v>0.44046673272579512</v>
      </c>
      <c r="I75" s="324" t="s">
        <v>870</v>
      </c>
    </row>
    <row r="76" spans="1:9" ht="15" customHeight="1" x14ac:dyDescent="0.2">
      <c r="A76" s="360">
        <v>45</v>
      </c>
      <c r="B76" s="361" t="s">
        <v>712</v>
      </c>
      <c r="C76" s="361" t="s">
        <v>809</v>
      </c>
      <c r="D76" s="362">
        <v>0.68266002838258055</v>
      </c>
      <c r="E76" s="362">
        <v>0.64493916576787202</v>
      </c>
      <c r="F76" s="362">
        <v>0.61768873803770308</v>
      </c>
      <c r="G76" s="362">
        <v>0.57699939298109915</v>
      </c>
      <c r="H76" s="362">
        <v>0.44046673272579512</v>
      </c>
      <c r="I76" s="324" t="s">
        <v>691</v>
      </c>
    </row>
    <row r="77" spans="1:9" ht="15" customHeight="1" x14ac:dyDescent="0.2">
      <c r="A77" s="360">
        <v>46</v>
      </c>
      <c r="B77" s="361" t="s">
        <v>871</v>
      </c>
      <c r="C77" s="361" t="s">
        <v>809</v>
      </c>
      <c r="D77" s="362">
        <v>0.68266002838258055</v>
      </c>
      <c r="E77" s="362">
        <v>0.64493916576787202</v>
      </c>
      <c r="F77" s="362">
        <v>0.61768873803770308</v>
      </c>
      <c r="G77" s="362">
        <v>0.57699939298109915</v>
      </c>
      <c r="H77" s="362">
        <v>0.44046673272579512</v>
      </c>
      <c r="I77" s="324" t="s">
        <v>691</v>
      </c>
    </row>
    <row r="78" spans="1:9" ht="15" customHeight="1" x14ac:dyDescent="0.2">
      <c r="A78" s="360">
        <v>47</v>
      </c>
      <c r="B78" s="361" t="s">
        <v>872</v>
      </c>
      <c r="C78" s="361" t="s">
        <v>809</v>
      </c>
      <c r="D78" s="362">
        <v>0.68266002838258055</v>
      </c>
      <c r="E78" s="362">
        <v>0.64493916576787202</v>
      </c>
      <c r="F78" s="362">
        <v>0.61768873803770308</v>
      </c>
      <c r="G78" s="362">
        <v>0.57699939298109915</v>
      </c>
      <c r="H78" s="362">
        <v>0.44046673272579512</v>
      </c>
      <c r="I78" s="324" t="s">
        <v>691</v>
      </c>
    </row>
    <row r="79" spans="1:9" ht="15" customHeight="1" x14ac:dyDescent="0.2">
      <c r="A79" s="360">
        <v>48</v>
      </c>
      <c r="B79" s="361" t="s">
        <v>873</v>
      </c>
      <c r="C79" s="361" t="s">
        <v>809</v>
      </c>
      <c r="D79" s="362">
        <v>0.68266002838258055</v>
      </c>
      <c r="E79" s="362">
        <v>0.64493916576787202</v>
      </c>
      <c r="F79" s="362">
        <v>0.61768873803770308</v>
      </c>
      <c r="G79" s="362">
        <v>0.57699939298109915</v>
      </c>
      <c r="H79" s="362">
        <v>0.44046673272579512</v>
      </c>
      <c r="I79" s="324" t="s">
        <v>691</v>
      </c>
    </row>
    <row r="80" spans="1:9" ht="15" customHeight="1" x14ac:dyDescent="0.2">
      <c r="A80" s="360">
        <v>49</v>
      </c>
      <c r="B80" s="361" t="s">
        <v>874</v>
      </c>
      <c r="C80" s="361" t="s">
        <v>809</v>
      </c>
      <c r="D80" s="362">
        <v>0.68266002838258055</v>
      </c>
      <c r="E80" s="362">
        <v>0.64493916576787202</v>
      </c>
      <c r="F80" s="362">
        <v>0.61768873803770308</v>
      </c>
      <c r="G80" s="362">
        <v>0.57699939298109915</v>
      </c>
      <c r="H80" s="362">
        <v>0.44046673272579512</v>
      </c>
      <c r="I80" s="324" t="s">
        <v>691</v>
      </c>
    </row>
    <row r="81" spans="1:9" ht="15" customHeight="1" x14ac:dyDescent="0.2">
      <c r="A81" s="360">
        <v>50</v>
      </c>
      <c r="B81" s="361" t="s">
        <v>154</v>
      </c>
      <c r="C81" s="361" t="s">
        <v>809</v>
      </c>
      <c r="D81" s="362">
        <v>0.68266002838258055</v>
      </c>
      <c r="E81" s="362">
        <v>0.64493916576787202</v>
      </c>
      <c r="F81" s="362">
        <v>0.61768873803770308</v>
      </c>
      <c r="G81" s="362">
        <v>0.57699939298109915</v>
      </c>
      <c r="H81" s="362">
        <v>0.44046673272579512</v>
      </c>
      <c r="I81" s="324" t="s">
        <v>691</v>
      </c>
    </row>
    <row r="82" spans="1:9" ht="15" customHeight="1" x14ac:dyDescent="0.2">
      <c r="A82" s="360">
        <v>51</v>
      </c>
      <c r="B82" s="361" t="s">
        <v>875</v>
      </c>
      <c r="C82" s="361" t="s">
        <v>809</v>
      </c>
      <c r="D82" s="362">
        <v>0.68266002838258055</v>
      </c>
      <c r="E82" s="362">
        <v>0.64493916576787202</v>
      </c>
      <c r="F82" s="362">
        <v>0.61768873803770308</v>
      </c>
      <c r="G82" s="362">
        <v>0.57699939298109915</v>
      </c>
      <c r="H82" s="362">
        <v>0.44046673272579512</v>
      </c>
      <c r="I82" s="324" t="s">
        <v>691</v>
      </c>
    </row>
    <row r="83" spans="1:9" ht="15" customHeight="1" x14ac:dyDescent="0.2">
      <c r="A83" s="360">
        <v>52</v>
      </c>
      <c r="B83" s="361" t="s">
        <v>156</v>
      </c>
      <c r="C83" s="361" t="s">
        <v>809</v>
      </c>
      <c r="D83" s="362">
        <v>0.68266002838258055</v>
      </c>
      <c r="E83" s="362">
        <v>0.64493916576787202</v>
      </c>
      <c r="F83" s="362">
        <v>0.61768873803770308</v>
      </c>
      <c r="G83" s="362">
        <v>0.57699939298109915</v>
      </c>
      <c r="H83" s="362">
        <v>0.44046673272579512</v>
      </c>
      <c r="I83" s="324" t="s">
        <v>691</v>
      </c>
    </row>
    <row r="84" spans="1:9" ht="15" customHeight="1" x14ac:dyDescent="0.2">
      <c r="A84" s="360">
        <v>53</v>
      </c>
      <c r="B84" s="361" t="s">
        <v>876</v>
      </c>
      <c r="C84" s="361" t="s">
        <v>809</v>
      </c>
      <c r="D84" s="362">
        <v>0.68266002838258055</v>
      </c>
      <c r="E84" s="362">
        <v>0.64493916576787202</v>
      </c>
      <c r="F84" s="362">
        <v>0.61768873803770308</v>
      </c>
      <c r="G84" s="362">
        <v>0.57699939298109915</v>
      </c>
      <c r="H84" s="362">
        <v>0.44046673272579512</v>
      </c>
      <c r="I84" s="324" t="s">
        <v>877</v>
      </c>
    </row>
    <row r="85" spans="1:9" ht="15" customHeight="1" x14ac:dyDescent="0.2">
      <c r="A85" s="360">
        <v>54</v>
      </c>
      <c r="B85" s="361" t="s">
        <v>878</v>
      </c>
      <c r="C85" s="361" t="s">
        <v>809</v>
      </c>
      <c r="D85" s="362">
        <v>0.68266002838258055</v>
      </c>
      <c r="E85" s="362">
        <v>0.64493916576787202</v>
      </c>
      <c r="F85" s="362">
        <v>0.61768873803770308</v>
      </c>
      <c r="G85" s="362">
        <v>0.57699939298109915</v>
      </c>
      <c r="H85" s="362">
        <v>0.44046673272579512</v>
      </c>
      <c r="I85" s="324" t="s">
        <v>691</v>
      </c>
    </row>
    <row r="86" spans="1:9" ht="15" customHeight="1" x14ac:dyDescent="0.2">
      <c r="A86" s="360">
        <v>55</v>
      </c>
      <c r="B86" s="361" t="s">
        <v>879</v>
      </c>
      <c r="C86" s="361" t="s">
        <v>809</v>
      </c>
      <c r="D86" s="362">
        <v>0.68266002838258055</v>
      </c>
      <c r="E86" s="362">
        <v>0.64493916576787202</v>
      </c>
      <c r="F86" s="362">
        <v>0.61768873803770308</v>
      </c>
      <c r="G86" s="362">
        <v>0.57699939298109915</v>
      </c>
      <c r="H86" s="362">
        <v>0.44046673272579512</v>
      </c>
      <c r="I86" s="324" t="s">
        <v>691</v>
      </c>
    </row>
    <row r="87" spans="1:9" ht="15" customHeight="1" x14ac:dyDescent="0.2">
      <c r="A87" s="360">
        <v>56</v>
      </c>
      <c r="B87" s="361" t="s">
        <v>880</v>
      </c>
      <c r="C87" s="361" t="s">
        <v>809</v>
      </c>
      <c r="D87" s="362">
        <v>0.68266002838258055</v>
      </c>
      <c r="E87" s="362">
        <v>0.64493916576787202</v>
      </c>
      <c r="F87" s="362">
        <v>0.61768873803770308</v>
      </c>
      <c r="G87" s="362">
        <v>0.57699939298109915</v>
      </c>
      <c r="H87" s="362">
        <v>0.44046673272579512</v>
      </c>
      <c r="I87" s="324" t="s">
        <v>691</v>
      </c>
    </row>
    <row r="88" spans="1:9" ht="15" customHeight="1" x14ac:dyDescent="0.2">
      <c r="A88" s="367">
        <v>57</v>
      </c>
      <c r="B88" s="368" t="s">
        <v>881</v>
      </c>
      <c r="C88" s="369" t="s">
        <v>806</v>
      </c>
      <c r="D88" s="370">
        <v>0.72047784245491098</v>
      </c>
      <c r="E88" s="371">
        <v>0.68066732978058075</v>
      </c>
      <c r="F88" s="371">
        <v>0.65190729028695071</v>
      </c>
      <c r="G88" s="371">
        <v>0.60896384798999514</v>
      </c>
      <c r="H88" s="371">
        <v>0.46486758865804789</v>
      </c>
      <c r="I88" s="316" t="s">
        <v>680</v>
      </c>
    </row>
    <row r="89" spans="1:9" ht="15" customHeight="1" x14ac:dyDescent="0.2">
      <c r="A89" s="367">
        <v>58</v>
      </c>
      <c r="B89" s="368" t="s">
        <v>352</v>
      </c>
      <c r="C89" s="369" t="s">
        <v>806</v>
      </c>
      <c r="D89" s="370">
        <v>0.72047784245491098</v>
      </c>
      <c r="E89" s="371">
        <v>0.68066732978058075</v>
      </c>
      <c r="F89" s="371">
        <v>0.65190729028695071</v>
      </c>
      <c r="G89" s="371">
        <v>0.60896384798999514</v>
      </c>
      <c r="H89" s="371">
        <v>0.46486758865804789</v>
      </c>
      <c r="I89" s="316" t="s">
        <v>680</v>
      </c>
    </row>
    <row r="90" spans="1:9" ht="15" customHeight="1" x14ac:dyDescent="0.2">
      <c r="A90" s="367">
        <v>59</v>
      </c>
      <c r="B90" s="368" t="s">
        <v>882</v>
      </c>
      <c r="C90" s="369" t="s">
        <v>806</v>
      </c>
      <c r="D90" s="370">
        <v>0.72047784245491098</v>
      </c>
      <c r="E90" s="371">
        <v>0.68066732978058075</v>
      </c>
      <c r="F90" s="371">
        <v>0.65190729028695071</v>
      </c>
      <c r="G90" s="371">
        <v>0.60896384798999514</v>
      </c>
      <c r="H90" s="371">
        <v>0.46486758865804789</v>
      </c>
      <c r="I90" s="316" t="s">
        <v>680</v>
      </c>
    </row>
    <row r="91" spans="1:9" ht="15" customHeight="1" x14ac:dyDescent="0.2">
      <c r="A91" s="360">
        <v>60</v>
      </c>
      <c r="B91" s="361" t="s">
        <v>883</v>
      </c>
      <c r="C91" s="361" t="s">
        <v>809</v>
      </c>
      <c r="D91" s="362">
        <v>0.68266002838258055</v>
      </c>
      <c r="E91" s="362">
        <v>0.64493916576787202</v>
      </c>
      <c r="F91" s="362">
        <v>0.61768873803770308</v>
      </c>
      <c r="G91" s="362">
        <v>0.57699939298109915</v>
      </c>
      <c r="H91" s="362">
        <v>0.44046673272579512</v>
      </c>
      <c r="I91" s="324" t="s">
        <v>691</v>
      </c>
    </row>
    <row r="92" spans="1:9" ht="15" customHeight="1" x14ac:dyDescent="0.2">
      <c r="A92" s="367">
        <v>61</v>
      </c>
      <c r="B92" s="368" t="s">
        <v>884</v>
      </c>
      <c r="C92" s="369" t="s">
        <v>806</v>
      </c>
      <c r="D92" s="370">
        <v>0.72047784245491098</v>
      </c>
      <c r="E92" s="371">
        <v>0.68066732978058075</v>
      </c>
      <c r="F92" s="371">
        <v>0.65190729028695071</v>
      </c>
      <c r="G92" s="371">
        <v>0.60896384798999514</v>
      </c>
      <c r="H92" s="371">
        <v>0.46486758865804789</v>
      </c>
      <c r="I92" s="316" t="s">
        <v>885</v>
      </c>
    </row>
    <row r="93" spans="1:9" ht="15" customHeight="1" x14ac:dyDescent="0.2">
      <c r="A93" s="351">
        <v>62</v>
      </c>
      <c r="B93" s="352" t="s">
        <v>886</v>
      </c>
      <c r="C93" s="352" t="s">
        <v>798</v>
      </c>
      <c r="D93" s="353">
        <v>0.59538814975412557</v>
      </c>
      <c r="E93" s="353">
        <v>0.56248955650777466</v>
      </c>
      <c r="F93" s="353">
        <v>0.53872284823174665</v>
      </c>
      <c r="G93" s="353">
        <v>0.50323526603749258</v>
      </c>
      <c r="H93" s="354">
        <v>0.3841570651898269</v>
      </c>
      <c r="I93" s="299" t="s">
        <v>810</v>
      </c>
    </row>
    <row r="94" spans="1:9" ht="15" customHeight="1" x14ac:dyDescent="0.2">
      <c r="A94" s="360">
        <v>63</v>
      </c>
      <c r="B94" s="361" t="s">
        <v>887</v>
      </c>
      <c r="C94" s="361" t="s">
        <v>809</v>
      </c>
      <c r="D94" s="362">
        <v>0.68266002838258055</v>
      </c>
      <c r="E94" s="362">
        <v>0.64493916576787202</v>
      </c>
      <c r="F94" s="362">
        <v>0.61768873803770308</v>
      </c>
      <c r="G94" s="362">
        <v>0.57699939298109915</v>
      </c>
      <c r="H94" s="362">
        <v>0.44046673272579512</v>
      </c>
      <c r="I94" s="324" t="s">
        <v>691</v>
      </c>
    </row>
    <row r="95" spans="1:9" ht="15" customHeight="1" x14ac:dyDescent="0.2">
      <c r="A95" s="360">
        <v>64</v>
      </c>
      <c r="B95" s="361" t="s">
        <v>888</v>
      </c>
      <c r="C95" s="361" t="s">
        <v>809</v>
      </c>
      <c r="D95" s="362">
        <v>0.68266002838258055</v>
      </c>
      <c r="E95" s="362">
        <v>0.64493916576787202</v>
      </c>
      <c r="F95" s="362">
        <v>0.61768873803770308</v>
      </c>
      <c r="G95" s="362">
        <v>0.57699939298109915</v>
      </c>
      <c r="H95" s="362">
        <v>0.44046673272579512</v>
      </c>
      <c r="I95" s="324" t="s">
        <v>691</v>
      </c>
    </row>
    <row r="96" spans="1:9" ht="15" customHeight="1" x14ac:dyDescent="0.2">
      <c r="A96" s="360">
        <v>65</v>
      </c>
      <c r="B96" s="361" t="s">
        <v>889</v>
      </c>
      <c r="C96" s="361" t="s">
        <v>809</v>
      </c>
      <c r="D96" s="362">
        <v>0.68266002838258055</v>
      </c>
      <c r="E96" s="362">
        <v>0.64493916576787202</v>
      </c>
      <c r="F96" s="362">
        <v>0.61768873803770308</v>
      </c>
      <c r="G96" s="362">
        <v>0.57699939298109915</v>
      </c>
      <c r="H96" s="362">
        <v>0.44046673272579512</v>
      </c>
      <c r="I96" s="324" t="s">
        <v>691</v>
      </c>
    </row>
    <row r="97" spans="1:9" ht="15" customHeight="1" x14ac:dyDescent="0.2">
      <c r="A97" s="360">
        <v>66</v>
      </c>
      <c r="B97" s="361" t="s">
        <v>890</v>
      </c>
      <c r="C97" s="361" t="s">
        <v>809</v>
      </c>
      <c r="D97" s="362">
        <v>0.68266002838258055</v>
      </c>
      <c r="E97" s="362">
        <v>0.64493916576787202</v>
      </c>
      <c r="F97" s="362">
        <v>0.61768873803770308</v>
      </c>
      <c r="G97" s="362">
        <v>0.57699939298109915</v>
      </c>
      <c r="H97" s="362">
        <v>0.44046673272579512</v>
      </c>
      <c r="I97" s="324" t="s">
        <v>691</v>
      </c>
    </row>
    <row r="98" spans="1:9" ht="15" customHeight="1" x14ac:dyDescent="0.2">
      <c r="A98" s="329">
        <v>67</v>
      </c>
      <c r="B98" s="330" t="s">
        <v>891</v>
      </c>
      <c r="C98" s="330" t="s">
        <v>790</v>
      </c>
      <c r="D98" s="332">
        <v>0.84459784761538015</v>
      </c>
      <c r="E98" s="332">
        <v>0.79792899628383018</v>
      </c>
      <c r="F98" s="332">
        <v>0.76421433356653312</v>
      </c>
      <c r="G98" s="332">
        <v>0.71387282853201317</v>
      </c>
      <c r="H98" s="333">
        <v>0.54495244915364704</v>
      </c>
      <c r="I98" s="280" t="s">
        <v>892</v>
      </c>
    </row>
    <row r="100" spans="1:9" x14ac:dyDescent="0.2">
      <c r="A100" s="421" t="s">
        <v>893</v>
      </c>
      <c r="B100" s="418"/>
      <c r="C100" s="418"/>
      <c r="D100" s="418"/>
      <c r="E100" s="418"/>
      <c r="F100" s="418"/>
      <c r="G100" s="418"/>
      <c r="H100" s="418"/>
      <c r="I100" s="418"/>
    </row>
  </sheetData>
  <mergeCells count="9">
    <mergeCell ref="A100:I100"/>
    <mergeCell ref="A12:G12"/>
    <mergeCell ref="A29:H29"/>
    <mergeCell ref="A1:G1"/>
    <mergeCell ref="A2:G2"/>
    <mergeCell ref="A4:G4"/>
    <mergeCell ref="A13:H13"/>
    <mergeCell ref="A14:H1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IO</vt:lpstr>
      <vt:lpstr>SAM</vt:lpstr>
      <vt:lpstr>CQ</vt:lpstr>
      <vt:lpstr>POPQ</vt:lpstr>
      <vt:lpstr>THETAW</vt:lpstr>
      <vt:lpstr>APIQ</vt:lpstr>
      <vt:lpstr>SCQ</vt:lpstr>
      <vt:lpstr>Subsistence (c0_SH)</vt:lpstr>
      <vt:lpstr>Own-Price Elasticities (ηxh)</vt:lpstr>
      <vt:lpstr>βᵖ Sector Mapping</vt:lpstr>
      <vt:lpstr>Trade Elasticities EZ</vt:lpstr>
      <vt:lpstr>Trade Elasticities BR</vt:lpstr>
      <vt:lpstr>Comparison</vt:lpstr>
      <vt:lpstr>Subsistence (frisch)</vt:lpstr>
      <vt:lpstr>IO!Print_Area</vt:lpstr>
      <vt:lpstr>WorldBank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Koura</dc:creator>
  <cp:lastModifiedBy>Menna Koura</cp:lastModifiedBy>
  <dcterms:created xsi:type="dcterms:W3CDTF">2026-04-07T09:40:36Z</dcterms:created>
  <dcterms:modified xsi:type="dcterms:W3CDTF">2026-06-04T18:21:56Z</dcterms:modified>
</cp:coreProperties>
</file>