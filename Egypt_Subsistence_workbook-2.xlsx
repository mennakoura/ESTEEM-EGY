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ennakoura/Downloads/"/>
    </mc:Choice>
  </mc:AlternateContent>
  <xr:revisionPtr revIDLastSave="0" documentId="8_{1A79C0FF-C387-A34E-91BA-7D902D422683}" xr6:coauthVersionLast="47" xr6:coauthVersionMax="47" xr10:uidLastSave="{00000000-0000-0000-0000-000000000000}"/>
  <bookViews>
    <workbookView xWindow="0" yWindow="840" windowWidth="38400" windowHeight="24020" activeTab="4" xr2:uid="{00000000-000D-0000-FFFF-FFFF00000000}"/>
  </bookViews>
  <sheets>
    <sheet name="0_README" sheetId="1" r:id="rId1"/>
    <sheet name="1_Rwanda_LES_Step4" sheetId="2" r:id="rId2"/>
    <sheet name="2_Egypt_CQ Mapping" sheetId="3" r:id="rId3"/>
    <sheet name="3_Calculations" sheetId="4" r:id="rId4"/>
    <sheet name="4_Egypt_Subsistence" sheetId="5" r:id="rId5"/>
    <sheet name="5_CrossCheck"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4" l="1"/>
  <c r="N23" i="5"/>
  <c r="O23" i="5"/>
  <c r="P23" i="5"/>
  <c r="Q23" i="5"/>
  <c r="R23" i="5"/>
  <c r="N24" i="5"/>
  <c r="O24" i="5"/>
  <c r="P24" i="5"/>
  <c r="Q24" i="5"/>
  <c r="R24" i="5"/>
  <c r="N25" i="5"/>
  <c r="O25" i="5"/>
  <c r="P25" i="5"/>
  <c r="Q25" i="5"/>
  <c r="R25" i="5"/>
  <c r="N26" i="5"/>
  <c r="O26" i="5"/>
  <c r="P26" i="5"/>
  <c r="Q26" i="5"/>
  <c r="R26" i="5"/>
  <c r="N27" i="5"/>
  <c r="O27" i="5"/>
  <c r="P27" i="5"/>
  <c r="Q27" i="5"/>
  <c r="R27" i="5"/>
  <c r="N28" i="5"/>
  <c r="O28" i="5"/>
  <c r="P28" i="5"/>
  <c r="Q28" i="5"/>
  <c r="R28" i="5"/>
  <c r="N29" i="5"/>
  <c r="O29" i="5"/>
  <c r="P29" i="5"/>
  <c r="Q29" i="5"/>
  <c r="R29" i="5"/>
  <c r="N30" i="5"/>
  <c r="O30" i="5"/>
  <c r="P30" i="5"/>
  <c r="Q30" i="5"/>
  <c r="R30" i="5"/>
  <c r="N31" i="5"/>
  <c r="O31" i="5"/>
  <c r="P31" i="5"/>
  <c r="Q31" i="5"/>
  <c r="R31" i="5"/>
  <c r="N32" i="5"/>
  <c r="O32" i="5"/>
  <c r="P32" i="5"/>
  <c r="Q32" i="5"/>
  <c r="R32" i="5"/>
  <c r="N33" i="5"/>
  <c r="O33" i="5"/>
  <c r="P33" i="5"/>
  <c r="Q33" i="5"/>
  <c r="R33" i="5"/>
  <c r="N34" i="5"/>
  <c r="O34" i="5"/>
  <c r="P34" i="5"/>
  <c r="Q34" i="5"/>
  <c r="R34" i="5"/>
  <c r="N35" i="5"/>
  <c r="O35" i="5"/>
  <c r="P35" i="5"/>
  <c r="Q35" i="5"/>
  <c r="R35" i="5"/>
  <c r="N36" i="5"/>
  <c r="O36" i="5"/>
  <c r="P36" i="5"/>
  <c r="Q36" i="5"/>
  <c r="R36" i="5"/>
  <c r="N37" i="5"/>
  <c r="O37" i="5"/>
  <c r="P37" i="5"/>
  <c r="Q37" i="5"/>
  <c r="R37" i="5"/>
  <c r="N38" i="5"/>
  <c r="O38" i="5"/>
  <c r="P38" i="5"/>
  <c r="Q38" i="5"/>
  <c r="R38" i="5"/>
  <c r="N39" i="5"/>
  <c r="O39" i="5"/>
  <c r="P39" i="5"/>
  <c r="Q39" i="5"/>
  <c r="R39" i="5"/>
  <c r="N40" i="5"/>
  <c r="O40" i="5"/>
  <c r="P40" i="5"/>
  <c r="Q40" i="5"/>
  <c r="R40" i="5"/>
  <c r="N41" i="5"/>
  <c r="O41" i="5"/>
  <c r="P41" i="5"/>
  <c r="Q41" i="5"/>
  <c r="R41" i="5"/>
  <c r="N42" i="5"/>
  <c r="O42" i="5"/>
  <c r="P42" i="5"/>
  <c r="Q42" i="5"/>
  <c r="R42" i="5"/>
  <c r="N43" i="5"/>
  <c r="O43" i="5"/>
  <c r="P43" i="5"/>
  <c r="Q43" i="5"/>
  <c r="R43" i="5"/>
  <c r="N44" i="5"/>
  <c r="O44" i="5"/>
  <c r="P44" i="5"/>
  <c r="Q44" i="5"/>
  <c r="R44" i="5"/>
  <c r="N45" i="5"/>
  <c r="O45" i="5"/>
  <c r="P45" i="5"/>
  <c r="Q45" i="5"/>
  <c r="R45" i="5"/>
  <c r="N46" i="5"/>
  <c r="O46" i="5"/>
  <c r="P46" i="5"/>
  <c r="Q46" i="5"/>
  <c r="R46" i="5"/>
  <c r="N47" i="5"/>
  <c r="O47" i="5"/>
  <c r="P47" i="5"/>
  <c r="Q47" i="5"/>
  <c r="R47" i="5"/>
  <c r="N48" i="5"/>
  <c r="O48" i="5"/>
  <c r="P48" i="5"/>
  <c r="Q48" i="5"/>
  <c r="R48" i="5"/>
  <c r="N49" i="5"/>
  <c r="O49" i="5"/>
  <c r="P49" i="5"/>
  <c r="Q49" i="5"/>
  <c r="R49" i="5"/>
  <c r="N50" i="5"/>
  <c r="O50" i="5"/>
  <c r="P50" i="5"/>
  <c r="Q50" i="5"/>
  <c r="R50" i="5"/>
  <c r="N51" i="5"/>
  <c r="O51" i="5"/>
  <c r="P51" i="5"/>
  <c r="Q51" i="5"/>
  <c r="R51" i="5"/>
  <c r="N52" i="5"/>
  <c r="O52" i="5"/>
  <c r="P52" i="5"/>
  <c r="Q52" i="5"/>
  <c r="R52" i="5"/>
  <c r="N53" i="5"/>
  <c r="O53" i="5"/>
  <c r="P53" i="5"/>
  <c r="Q53" i="5"/>
  <c r="R53" i="5"/>
  <c r="N54" i="5"/>
  <c r="O54" i="5"/>
  <c r="P54" i="5"/>
  <c r="Q54" i="5"/>
  <c r="R54" i="5"/>
  <c r="N55" i="5"/>
  <c r="O55" i="5"/>
  <c r="P55" i="5"/>
  <c r="Q55" i="5"/>
  <c r="R55" i="5"/>
  <c r="N56" i="5"/>
  <c r="O56" i="5"/>
  <c r="P56" i="5"/>
  <c r="Q56" i="5"/>
  <c r="R56" i="5"/>
  <c r="N57" i="5"/>
  <c r="O57" i="5"/>
  <c r="P57" i="5"/>
  <c r="Q57" i="5"/>
  <c r="R57" i="5"/>
  <c r="N58" i="5"/>
  <c r="O58" i="5"/>
  <c r="P58" i="5"/>
  <c r="Q58" i="5"/>
  <c r="R58" i="5"/>
  <c r="N59" i="5"/>
  <c r="O59" i="5"/>
  <c r="P59" i="5"/>
  <c r="Q59" i="5"/>
  <c r="R59" i="5"/>
  <c r="N60" i="5"/>
  <c r="O60" i="5"/>
  <c r="P60" i="5"/>
  <c r="Q60" i="5"/>
  <c r="R60" i="5"/>
  <c r="N61" i="5"/>
  <c r="O61" i="5"/>
  <c r="P61" i="5"/>
  <c r="Q61" i="5"/>
  <c r="R61" i="5"/>
  <c r="N62" i="5"/>
  <c r="O62" i="5"/>
  <c r="P62" i="5"/>
  <c r="Q62" i="5"/>
  <c r="R62" i="5"/>
  <c r="N63" i="5"/>
  <c r="O63" i="5"/>
  <c r="P63" i="5"/>
  <c r="Q63" i="5"/>
  <c r="R63" i="5"/>
  <c r="N64" i="5"/>
  <c r="O64" i="5"/>
  <c r="P64" i="5"/>
  <c r="Q64" i="5"/>
  <c r="R64" i="5"/>
  <c r="N65" i="5"/>
  <c r="O65" i="5"/>
  <c r="P65" i="5"/>
  <c r="Q65" i="5"/>
  <c r="R65" i="5"/>
  <c r="N66" i="5"/>
  <c r="O66" i="5"/>
  <c r="P66" i="5"/>
  <c r="Q66" i="5"/>
  <c r="R66" i="5"/>
  <c r="N67" i="5"/>
  <c r="O67" i="5"/>
  <c r="P67" i="5"/>
  <c r="Q67" i="5"/>
  <c r="R67" i="5"/>
  <c r="N68" i="5"/>
  <c r="O68" i="5"/>
  <c r="P68" i="5"/>
  <c r="Q68" i="5"/>
  <c r="R68" i="5"/>
  <c r="N69" i="5"/>
  <c r="O69" i="5"/>
  <c r="P69" i="5"/>
  <c r="Q69" i="5"/>
  <c r="R69" i="5"/>
  <c r="N70" i="5"/>
  <c r="O70" i="5"/>
  <c r="P70" i="5"/>
  <c r="Q70" i="5"/>
  <c r="R70" i="5"/>
  <c r="N5" i="5"/>
  <c r="O5" i="5"/>
  <c r="P5" i="5"/>
  <c r="Q5" i="5"/>
  <c r="R5" i="5"/>
  <c r="N6" i="5"/>
  <c r="O6" i="5"/>
  <c r="P6" i="5"/>
  <c r="Q6" i="5"/>
  <c r="R6" i="5"/>
  <c r="N7" i="5"/>
  <c r="O7" i="5"/>
  <c r="P7" i="5"/>
  <c r="Q7" i="5"/>
  <c r="R7" i="5"/>
  <c r="N8" i="5"/>
  <c r="O8" i="5"/>
  <c r="P8" i="5"/>
  <c r="Q8" i="5"/>
  <c r="R8" i="5"/>
  <c r="N9" i="5"/>
  <c r="O9" i="5"/>
  <c r="P9" i="5"/>
  <c r="Q9" i="5"/>
  <c r="R9" i="5"/>
  <c r="N10" i="5"/>
  <c r="O10" i="5"/>
  <c r="P10" i="5"/>
  <c r="Q10" i="5"/>
  <c r="R10" i="5"/>
  <c r="N11" i="5"/>
  <c r="O11" i="5"/>
  <c r="P11" i="5"/>
  <c r="Q11" i="5"/>
  <c r="R11" i="5"/>
  <c r="N12" i="5"/>
  <c r="O12" i="5"/>
  <c r="P12" i="5"/>
  <c r="Q12" i="5"/>
  <c r="R12" i="5"/>
  <c r="N13" i="5"/>
  <c r="O13" i="5"/>
  <c r="P13" i="5"/>
  <c r="Q13" i="5"/>
  <c r="R13" i="5"/>
  <c r="N14" i="5"/>
  <c r="O14" i="5"/>
  <c r="P14" i="5"/>
  <c r="Q14" i="5"/>
  <c r="R14" i="5"/>
  <c r="N15" i="5"/>
  <c r="O15" i="5"/>
  <c r="P15" i="5"/>
  <c r="Q15" i="5"/>
  <c r="R15" i="5"/>
  <c r="N16" i="5"/>
  <c r="O16" i="5"/>
  <c r="P16" i="5"/>
  <c r="Q16" i="5"/>
  <c r="R16" i="5"/>
  <c r="N17" i="5"/>
  <c r="O17" i="5"/>
  <c r="P17" i="5"/>
  <c r="Q17" i="5"/>
  <c r="R17" i="5"/>
  <c r="N18" i="5"/>
  <c r="O18" i="5"/>
  <c r="P18" i="5"/>
  <c r="Q18" i="5"/>
  <c r="R18" i="5"/>
  <c r="N19" i="5"/>
  <c r="O19" i="5"/>
  <c r="P19" i="5"/>
  <c r="Q19" i="5"/>
  <c r="R19" i="5"/>
  <c r="N20" i="5"/>
  <c r="O20" i="5"/>
  <c r="P20" i="5"/>
  <c r="Q20" i="5"/>
  <c r="R20" i="5"/>
  <c r="N21" i="5"/>
  <c r="O21" i="5"/>
  <c r="P21" i="5"/>
  <c r="Q21" i="5"/>
  <c r="R21" i="5"/>
  <c r="N22" i="5"/>
  <c r="O22" i="5"/>
  <c r="P22" i="5"/>
  <c r="Q22" i="5"/>
  <c r="R22" i="5"/>
  <c r="O4" i="5"/>
  <c r="P4" i="5"/>
  <c r="Q4" i="5"/>
  <c r="R4" i="5"/>
  <c r="N4" i="5"/>
  <c r="I73" i="5"/>
  <c r="C14" i="4"/>
  <c r="D73" i="3"/>
  <c r="G18" i="6"/>
  <c r="G17" i="6"/>
  <c r="G16" i="6"/>
  <c r="G15" i="6"/>
  <c r="G14" i="6"/>
  <c r="G13" i="6"/>
  <c r="G12" i="6"/>
  <c r="G11" i="6"/>
  <c r="G10" i="6"/>
  <c r="G9" i="6"/>
  <c r="I9" i="6" s="1"/>
  <c r="G8" i="6"/>
  <c r="G25" i="4"/>
  <c r="F25" i="4"/>
  <c r="E25" i="4"/>
  <c r="D25" i="4"/>
  <c r="D40" i="4" s="1"/>
  <c r="E70" i="5" s="1"/>
  <c r="C25" i="4"/>
  <c r="C40" i="4" s="1"/>
  <c r="G24" i="4"/>
  <c r="F24" i="4"/>
  <c r="E24" i="4"/>
  <c r="D24" i="4"/>
  <c r="C24" i="4"/>
  <c r="G23" i="4"/>
  <c r="F23" i="4"/>
  <c r="E23" i="4"/>
  <c r="D23" i="4"/>
  <c r="D39" i="4" s="1"/>
  <c r="E30" i="5" s="1"/>
  <c r="C23" i="4"/>
  <c r="G22" i="4"/>
  <c r="F22" i="4"/>
  <c r="E22" i="4"/>
  <c r="D22" i="4"/>
  <c r="C22" i="4"/>
  <c r="G21" i="4"/>
  <c r="F21" i="4"/>
  <c r="E21" i="4"/>
  <c r="D21" i="4"/>
  <c r="D37" i="4" s="1"/>
  <c r="E46" i="5" s="1"/>
  <c r="C21" i="4"/>
  <c r="G20" i="4"/>
  <c r="F20" i="4"/>
  <c r="E20" i="4"/>
  <c r="D20" i="4"/>
  <c r="G19" i="4"/>
  <c r="G35" i="4" s="1"/>
  <c r="H13" i="5" s="1"/>
  <c r="F19" i="4"/>
  <c r="E19" i="4"/>
  <c r="D19" i="4"/>
  <c r="D35" i="4" s="1"/>
  <c r="E12" i="5" s="1"/>
  <c r="C19" i="4"/>
  <c r="G18" i="4"/>
  <c r="F18" i="4"/>
  <c r="E18" i="4"/>
  <c r="D18" i="4"/>
  <c r="C18" i="4"/>
  <c r="G17" i="4"/>
  <c r="G33" i="4" s="1"/>
  <c r="H8" i="5" s="1"/>
  <c r="F17" i="4"/>
  <c r="E17" i="4"/>
  <c r="D17" i="4"/>
  <c r="D33" i="4" s="1"/>
  <c r="E8" i="5" s="1"/>
  <c r="C17" i="4"/>
  <c r="G16" i="4"/>
  <c r="F16" i="4"/>
  <c r="E16" i="4"/>
  <c r="D16" i="4"/>
  <c r="C16" i="4"/>
  <c r="G15" i="4"/>
  <c r="G31" i="4" s="1"/>
  <c r="F15" i="4"/>
  <c r="E15" i="4"/>
  <c r="D15" i="4"/>
  <c r="D31" i="4" s="1"/>
  <c r="C15" i="4"/>
  <c r="G14" i="4"/>
  <c r="F14" i="4"/>
  <c r="E14" i="4"/>
  <c r="D14" i="4"/>
  <c r="G5" i="4"/>
  <c r="G7" i="4" s="1"/>
  <c r="G8" i="4" s="1"/>
  <c r="G9" i="4" s="1"/>
  <c r="F5" i="4"/>
  <c r="F7" i="4" s="1"/>
  <c r="F8" i="4" s="1"/>
  <c r="F9" i="4" s="1"/>
  <c r="H73" i="3"/>
  <c r="H74" i="3" s="1"/>
  <c r="G73" i="3"/>
  <c r="G74" i="3" s="1"/>
  <c r="F73" i="3"/>
  <c r="F74" i="3" s="1"/>
  <c r="E5" i="4" s="1"/>
  <c r="E7" i="4" s="1"/>
  <c r="E8" i="4" s="1"/>
  <c r="E9" i="4" s="1"/>
  <c r="E73" i="3"/>
  <c r="E74" i="3" s="1"/>
  <c r="D5" i="4" s="1"/>
  <c r="D7" i="4" s="1"/>
  <c r="D8" i="4" s="1"/>
  <c r="D9" i="4" s="1"/>
  <c r="D74" i="3"/>
  <c r="C5" i="4" s="1"/>
  <c r="C7" i="4" s="1"/>
  <c r="C8" i="4" s="1"/>
  <c r="C9" i="4" s="1"/>
  <c r="F31" i="4" l="1"/>
  <c r="F33" i="4"/>
  <c r="G8" i="5" s="1"/>
  <c r="F35" i="4"/>
  <c r="G13" i="5" s="1"/>
  <c r="F37" i="4"/>
  <c r="G46" i="5" s="1"/>
  <c r="F39" i="4"/>
  <c r="G29" i="5" s="1"/>
  <c r="G28" i="5"/>
  <c r="G22" i="5"/>
  <c r="G30" i="5"/>
  <c r="G6" i="5"/>
  <c r="G37" i="4"/>
  <c r="H46" i="5" s="1"/>
  <c r="H12" i="5"/>
  <c r="G39" i="4"/>
  <c r="H21" i="5" s="1"/>
  <c r="C32" i="4"/>
  <c r="H10" i="6" s="1"/>
  <c r="I10" i="6" s="1"/>
  <c r="C36" i="4"/>
  <c r="H14" i="6" s="1"/>
  <c r="I14" i="6" s="1"/>
  <c r="D32" i="4"/>
  <c r="E5" i="5" s="1"/>
  <c r="D36" i="4"/>
  <c r="E32" i="5" s="1"/>
  <c r="G30" i="4"/>
  <c r="H4" i="5" s="1"/>
  <c r="G32" i="4"/>
  <c r="H5" i="5" s="1"/>
  <c r="G34" i="4"/>
  <c r="H9" i="5" s="1"/>
  <c r="G36" i="4"/>
  <c r="H17" i="5" s="1"/>
  <c r="G38" i="4"/>
  <c r="H61" i="5" s="1"/>
  <c r="G40" i="4"/>
  <c r="H54" i="5" s="1"/>
  <c r="D58" i="5"/>
  <c r="D57" i="5"/>
  <c r="D55" i="5"/>
  <c r="D63" i="5"/>
  <c r="E57" i="5"/>
  <c r="E31" i="4"/>
  <c r="E33" i="4"/>
  <c r="F8" i="5" s="1"/>
  <c r="E35" i="4"/>
  <c r="E37" i="4"/>
  <c r="F46" i="5" s="1"/>
  <c r="E39" i="4"/>
  <c r="F7" i="5" s="1"/>
  <c r="E65" i="5"/>
  <c r="C30" i="4"/>
  <c r="H8" i="6" s="1"/>
  <c r="I8" i="6" s="1"/>
  <c r="C34" i="4"/>
  <c r="D9" i="5" s="1"/>
  <c r="C38" i="4"/>
  <c r="H16" i="6" s="1"/>
  <c r="I16" i="6" s="1"/>
  <c r="D30" i="4"/>
  <c r="E4" i="5" s="1"/>
  <c r="D34" i="4"/>
  <c r="E10" i="5" s="1"/>
  <c r="D38" i="4"/>
  <c r="E62" i="5" s="1"/>
  <c r="E30" i="4"/>
  <c r="F4" i="5" s="1"/>
  <c r="E32" i="4"/>
  <c r="F5" i="5" s="1"/>
  <c r="E34" i="4"/>
  <c r="F10" i="5" s="1"/>
  <c r="E36" i="4"/>
  <c r="F32" i="5" s="1"/>
  <c r="E38" i="4"/>
  <c r="F60" i="5" s="1"/>
  <c r="E40" i="4"/>
  <c r="F37" i="5" s="1"/>
  <c r="G20" i="5"/>
  <c r="H26" i="5"/>
  <c r="C31" i="4"/>
  <c r="H9" i="6" s="1"/>
  <c r="C33" i="4"/>
  <c r="H11" i="6" s="1"/>
  <c r="I11" i="6" s="1"/>
  <c r="C35" i="4"/>
  <c r="H13" i="6" s="1"/>
  <c r="I13" i="6" s="1"/>
  <c r="C37" i="4"/>
  <c r="H15" i="6" s="1"/>
  <c r="I15" i="6" s="1"/>
  <c r="C39" i="4"/>
  <c r="H17" i="6" s="1"/>
  <c r="I17" i="6" s="1"/>
  <c r="E63" i="5"/>
  <c r="F30" i="4"/>
  <c r="G4" i="5" s="1"/>
  <c r="F32" i="4"/>
  <c r="G5" i="5" s="1"/>
  <c r="F34" i="4"/>
  <c r="G9" i="5" s="1"/>
  <c r="F36" i="4"/>
  <c r="G33" i="5" s="1"/>
  <c r="F38" i="4"/>
  <c r="G64" i="5" s="1"/>
  <c r="F40" i="4"/>
  <c r="G55" i="5" s="1"/>
  <c r="G12" i="5"/>
  <c r="E55" i="5"/>
  <c r="H60" i="5"/>
  <c r="K73" i="5"/>
  <c r="L73" i="5"/>
  <c r="J73" i="5"/>
  <c r="G32" i="5"/>
  <c r="G50" i="5"/>
  <c r="H65" i="5"/>
  <c r="H59" i="5"/>
  <c r="H57" i="5"/>
  <c r="H55" i="5"/>
  <c r="H68" i="5"/>
  <c r="H70" i="5"/>
  <c r="H63" i="5"/>
  <c r="H67" i="5"/>
  <c r="H41" i="5"/>
  <c r="H39" i="5"/>
  <c r="H37" i="5"/>
  <c r="H35" i="5"/>
  <c r="H38" i="5"/>
  <c r="H16" i="5"/>
  <c r="H50" i="5"/>
  <c r="H42" i="5"/>
  <c r="M73" i="5"/>
  <c r="D31" i="5"/>
  <c r="D37" i="5"/>
  <c r="D43" i="5"/>
  <c r="D49" i="5"/>
  <c r="D5" i="5"/>
  <c r="D35" i="5"/>
  <c r="D41" i="5"/>
  <c r="D47" i="5"/>
  <c r="D53" i="5"/>
  <c r="G11" i="5"/>
  <c r="G23" i="5"/>
  <c r="G27" i="5"/>
  <c r="D56" i="5"/>
  <c r="E67" i="5"/>
  <c r="E13" i="5"/>
  <c r="E19" i="5"/>
  <c r="E25" i="5"/>
  <c r="E31" i="5"/>
  <c r="E35" i="5"/>
  <c r="E41" i="5"/>
  <c r="E45" i="5"/>
  <c r="E49" i="5"/>
  <c r="E53" i="5"/>
  <c r="E58" i="5"/>
  <c r="H7" i="5"/>
  <c r="H11" i="5"/>
  <c r="H15" i="5"/>
  <c r="H19" i="5"/>
  <c r="E56" i="5"/>
  <c r="E68" i="5"/>
  <c r="H18" i="6"/>
  <c r="I18" i="6" s="1"/>
  <c r="D70" i="5"/>
  <c r="D69" i="5"/>
  <c r="D68" i="5"/>
  <c r="D67" i="5"/>
  <c r="D66" i="5"/>
  <c r="D65" i="5"/>
  <c r="D23" i="5"/>
  <c r="D27" i="5"/>
  <c r="D39" i="5"/>
  <c r="D45" i="5"/>
  <c r="D51" i="5"/>
  <c r="E7" i="5"/>
  <c r="E15" i="5"/>
  <c r="E21" i="5"/>
  <c r="E27" i="5"/>
  <c r="E37" i="5"/>
  <c r="E43" i="5"/>
  <c r="E47" i="5"/>
  <c r="E51" i="5"/>
  <c r="E66" i="5"/>
  <c r="G19" i="5"/>
  <c r="D12" i="5"/>
  <c r="D16" i="5"/>
  <c r="D24" i="5"/>
  <c r="D26" i="5"/>
  <c r="D28" i="5"/>
  <c r="D34" i="5"/>
  <c r="D36" i="5"/>
  <c r="D38" i="5"/>
  <c r="D40" i="5"/>
  <c r="D42" i="5"/>
  <c r="D44" i="5"/>
  <c r="D48" i="5"/>
  <c r="D50" i="5"/>
  <c r="D52" i="5"/>
  <c r="D54" i="5"/>
  <c r="D59" i="5"/>
  <c r="E69" i="5"/>
  <c r="E11" i="5"/>
  <c r="E23" i="5"/>
  <c r="E29" i="5"/>
  <c r="E39" i="5"/>
  <c r="E6" i="5"/>
  <c r="E14" i="5"/>
  <c r="E16" i="5"/>
  <c r="E18" i="5"/>
  <c r="E20" i="5"/>
  <c r="E22" i="5"/>
  <c r="E24" i="5"/>
  <c r="E26" i="5"/>
  <c r="E28" i="5"/>
  <c r="E34" i="5"/>
  <c r="E36" i="5"/>
  <c r="E38" i="5"/>
  <c r="E40" i="5"/>
  <c r="E42" i="5"/>
  <c r="E44" i="5"/>
  <c r="E48" i="5"/>
  <c r="E50" i="5"/>
  <c r="E52" i="5"/>
  <c r="E54" i="5"/>
  <c r="E59" i="5"/>
  <c r="E60" i="5" l="1"/>
  <c r="G18" i="5"/>
  <c r="D4" i="5"/>
  <c r="E33" i="5"/>
  <c r="F50" i="5"/>
  <c r="D19" i="5"/>
  <c r="D7" i="5"/>
  <c r="H33" i="5"/>
  <c r="F54" i="5"/>
  <c r="E17" i="5"/>
  <c r="D6" i="5"/>
  <c r="D25" i="5"/>
  <c r="H32" i="5"/>
  <c r="F51" i="5"/>
  <c r="G25" i="5"/>
  <c r="H10" i="5"/>
  <c r="F17" i="5"/>
  <c r="F64" i="5"/>
  <c r="G24" i="5"/>
  <c r="G7" i="5"/>
  <c r="G21" i="5"/>
  <c r="F33" i="5"/>
  <c r="G26" i="5"/>
  <c r="G14" i="5"/>
  <c r="G15" i="5"/>
  <c r="D29" i="5"/>
  <c r="D30" i="5"/>
  <c r="D21" i="5"/>
  <c r="G37" i="5"/>
  <c r="G49" i="5"/>
  <c r="E61" i="5"/>
  <c r="D33" i="5"/>
  <c r="G51" i="5"/>
  <c r="E64" i="5"/>
  <c r="D8" i="5"/>
  <c r="D17" i="5"/>
  <c r="H27" i="5"/>
  <c r="H44" i="5"/>
  <c r="H47" i="5"/>
  <c r="H58" i="5"/>
  <c r="G66" i="5"/>
  <c r="F55" i="5"/>
  <c r="G61" i="5"/>
  <c r="H25" i="5"/>
  <c r="H48" i="5"/>
  <c r="H49" i="5"/>
  <c r="H69" i="5"/>
  <c r="G67" i="5"/>
  <c r="F43" i="5"/>
  <c r="G62" i="5"/>
  <c r="H34" i="5"/>
  <c r="H43" i="5"/>
  <c r="H40" i="5"/>
  <c r="H45" i="5"/>
  <c r="H56" i="5"/>
  <c r="G65" i="5"/>
  <c r="F58" i="5"/>
  <c r="G60" i="5"/>
  <c r="H23" i="5"/>
  <c r="H52" i="5"/>
  <c r="H51" i="5"/>
  <c r="H66" i="5"/>
  <c r="G52" i="5"/>
  <c r="G17" i="5"/>
  <c r="F49" i="5"/>
  <c r="H62" i="5"/>
  <c r="H20" i="5"/>
  <c r="H24" i="5"/>
  <c r="G53" i="5"/>
  <c r="H18" i="5"/>
  <c r="D32" i="5"/>
  <c r="H36" i="5"/>
  <c r="H31" i="5"/>
  <c r="H53" i="5"/>
  <c r="G44" i="5"/>
  <c r="F56" i="5"/>
  <c r="H64" i="5"/>
  <c r="D11" i="5"/>
  <c r="G36" i="5"/>
  <c r="G35" i="5"/>
  <c r="G68" i="5"/>
  <c r="G57" i="5"/>
  <c r="G58" i="5"/>
  <c r="G69" i="5"/>
  <c r="G31" i="5"/>
  <c r="G40" i="5"/>
  <c r="H29" i="5"/>
  <c r="H6" i="5"/>
  <c r="H30" i="5"/>
  <c r="H28" i="5"/>
  <c r="H22" i="5"/>
  <c r="H14" i="5"/>
  <c r="G48" i="5"/>
  <c r="D13" i="5"/>
  <c r="G39" i="5"/>
  <c r="D46" i="5"/>
  <c r="G34" i="5"/>
  <c r="G41" i="5"/>
  <c r="G59" i="5"/>
  <c r="F61" i="5"/>
  <c r="G56" i="5"/>
  <c r="G42" i="5"/>
  <c r="G47" i="5"/>
  <c r="G63" i="5"/>
  <c r="F42" i="5"/>
  <c r="F62" i="5"/>
  <c r="F29" i="5"/>
  <c r="F28" i="5"/>
  <c r="F14" i="5"/>
  <c r="F22" i="5"/>
  <c r="F20" i="5"/>
  <c r="F26" i="5"/>
  <c r="F18" i="5"/>
  <c r="F24" i="5"/>
  <c r="F30" i="5"/>
  <c r="F6" i="5"/>
  <c r="D10" i="5"/>
  <c r="H12" i="6"/>
  <c r="I12" i="6" s="1"/>
  <c r="G10" i="5"/>
  <c r="E9" i="5"/>
  <c r="F59" i="5"/>
  <c r="F65" i="5"/>
  <c r="F44" i="5"/>
  <c r="F66" i="5"/>
  <c r="F34" i="5"/>
  <c r="F67" i="5"/>
  <c r="F63" i="5"/>
  <c r="D61" i="5"/>
  <c r="F11" i="5"/>
  <c r="F12" i="5"/>
  <c r="F35" i="5"/>
  <c r="F41" i="5"/>
  <c r="D60" i="5"/>
  <c r="D22" i="5"/>
  <c r="D15" i="5"/>
  <c r="F47" i="5"/>
  <c r="D20" i="5"/>
  <c r="F40" i="5"/>
  <c r="G16" i="5"/>
  <c r="G43" i="5"/>
  <c r="G54" i="5"/>
  <c r="G70" i="5"/>
  <c r="F16" i="5"/>
  <c r="F39" i="5"/>
  <c r="F48" i="5"/>
  <c r="F70" i="5"/>
  <c r="D64" i="5"/>
  <c r="F57" i="5"/>
  <c r="D62" i="5"/>
  <c r="F25" i="5"/>
  <c r="F53" i="5"/>
  <c r="F68" i="5"/>
  <c r="F9" i="5"/>
  <c r="D18" i="5"/>
  <c r="F19" i="5"/>
  <c r="F27" i="5"/>
  <c r="F23" i="5"/>
  <c r="F52" i="5"/>
  <c r="F31" i="5"/>
  <c r="F38" i="5"/>
  <c r="F69" i="5"/>
  <c r="F21" i="5"/>
  <c r="F15" i="5"/>
  <c r="D14" i="5"/>
  <c r="F13" i="5"/>
  <c r="G38" i="5"/>
  <c r="G45" i="5"/>
  <c r="F36" i="5"/>
  <c r="F45" i="5"/>
  <c r="C45" i="4" l="1"/>
  <c r="I4" i="5" s="1"/>
  <c r="D45" i="4"/>
  <c r="J61" i="5" s="1"/>
  <c r="G45" i="4"/>
  <c r="M27" i="5" s="1"/>
  <c r="E45" i="4"/>
  <c r="K62" i="5" s="1"/>
  <c r="M64" i="5"/>
  <c r="F45" i="4"/>
  <c r="L14" i="5" s="1"/>
  <c r="J7" i="5"/>
  <c r="M57" i="5"/>
  <c r="J19" i="5"/>
  <c r="M42" i="5"/>
  <c r="J20" i="5"/>
  <c r="J44" i="5"/>
  <c r="J56" i="5"/>
  <c r="J14" i="5"/>
  <c r="J60" i="5"/>
  <c r="J41" i="5"/>
  <c r="J54" i="5"/>
  <c r="M56" i="5"/>
  <c r="J25" i="5"/>
  <c r="M50" i="5"/>
  <c r="J42" i="5"/>
  <c r="M21" i="5"/>
  <c r="J51" i="5"/>
  <c r="J15" i="5"/>
  <c r="J58" i="5"/>
  <c r="J48" i="5"/>
  <c r="I7" i="5"/>
  <c r="I48" i="5"/>
  <c r="M68" i="5"/>
  <c r="M35" i="5"/>
  <c r="I58" i="5"/>
  <c r="I57" i="5"/>
  <c r="I25" i="5"/>
  <c r="I10" i="5"/>
  <c r="I14" i="5"/>
  <c r="M10" i="5"/>
  <c r="J16" i="5"/>
  <c r="M15" i="5"/>
  <c r="J31" i="5"/>
  <c r="M23" i="5"/>
  <c r="M55" i="5"/>
  <c r="J36" i="5"/>
  <c r="M60" i="5"/>
  <c r="M11" i="5"/>
  <c r="J47" i="5"/>
  <c r="J37" i="5"/>
  <c r="M52" i="5"/>
  <c r="J6" i="5"/>
  <c r="J18" i="5"/>
  <c r="M51" i="5"/>
  <c r="M31" i="5"/>
  <c r="M30" i="5"/>
  <c r="M20" i="5"/>
  <c r="M49" i="5"/>
  <c r="M6" i="5"/>
  <c r="M28" i="5"/>
  <c r="M9" i="5"/>
  <c r="M8" i="5"/>
  <c r="M7" i="5"/>
  <c r="M26" i="5"/>
  <c r="M13" i="5"/>
  <c r="M54" i="5"/>
  <c r="M36" i="5"/>
  <c r="M48" i="5"/>
  <c r="M19" i="5"/>
  <c r="M18" i="5"/>
  <c r="M17" i="5"/>
  <c r="M4" i="5"/>
  <c r="M59" i="5"/>
  <c r="M47" i="5"/>
  <c r="M46" i="5"/>
  <c r="M32" i="5"/>
  <c r="J46" i="5"/>
  <c r="J55" i="5"/>
  <c r="J5" i="5"/>
  <c r="J24" i="5"/>
  <c r="J4" i="5"/>
  <c r="J67" i="5"/>
  <c r="J9" i="5"/>
  <c r="J59" i="5"/>
  <c r="J43" i="5"/>
  <c r="J30" i="5"/>
  <c r="J29" i="5"/>
  <c r="J13" i="5"/>
  <c r="J70" i="5"/>
  <c r="J12" i="5"/>
  <c r="J63" i="5"/>
  <c r="J50" i="5"/>
  <c r="J21" i="5"/>
  <c r="J8" i="5"/>
  <c r="J62" i="5"/>
  <c r="J33" i="5"/>
  <c r="J32" i="5"/>
  <c r="J57" i="5"/>
  <c r="J28" i="5"/>
  <c r="J40" i="5"/>
  <c r="J23" i="5"/>
  <c r="J52" i="5"/>
  <c r="J39" i="5"/>
  <c r="J68" i="5"/>
  <c r="J10" i="5"/>
  <c r="J69" i="5"/>
  <c r="J53" i="5"/>
  <c r="J38" i="5"/>
  <c r="J66" i="5"/>
  <c r="M39" i="5"/>
  <c r="M16" i="5"/>
  <c r="J45" i="5"/>
  <c r="J22" i="5"/>
  <c r="M43" i="5"/>
  <c r="M25" i="5"/>
  <c r="I56" i="5" l="1"/>
  <c r="I28" i="5"/>
  <c r="I15" i="5"/>
  <c r="I24" i="5"/>
  <c r="I11" i="5"/>
  <c r="I43" i="5"/>
  <c r="I54" i="5"/>
  <c r="I29" i="5"/>
  <c r="I68" i="5"/>
  <c r="I9" i="5"/>
  <c r="I34" i="5"/>
  <c r="I37" i="5"/>
  <c r="I8" i="5"/>
  <c r="I13" i="5"/>
  <c r="I18" i="5"/>
  <c r="I38" i="5"/>
  <c r="I63" i="5"/>
  <c r="I5" i="5"/>
  <c r="I72" i="5" s="1"/>
  <c r="K53" i="5"/>
  <c r="K40" i="5"/>
  <c r="K31" i="5"/>
  <c r="K47" i="5"/>
  <c r="K17" i="5"/>
  <c r="K64" i="5"/>
  <c r="K65" i="5"/>
  <c r="K38" i="5"/>
  <c r="K33" i="5"/>
  <c r="K51" i="5"/>
  <c r="K5" i="5"/>
  <c r="K45" i="5"/>
  <c r="K6" i="5"/>
  <c r="K26" i="5"/>
  <c r="K19" i="5"/>
  <c r="L23" i="5"/>
  <c r="L53" i="5"/>
  <c r="L63" i="5"/>
  <c r="L49" i="5"/>
  <c r="L6" i="5"/>
  <c r="I47" i="5"/>
  <c r="I70" i="5"/>
  <c r="I67" i="5"/>
  <c r="I40" i="5"/>
  <c r="K28" i="5"/>
  <c r="I22" i="5"/>
  <c r="I64" i="5"/>
  <c r="I33" i="5"/>
  <c r="I65" i="5"/>
  <c r="K60" i="5"/>
  <c r="M58" i="5"/>
  <c r="M5" i="5"/>
  <c r="M53" i="5"/>
  <c r="M12" i="5"/>
  <c r="L16" i="5"/>
  <c r="M67" i="5"/>
  <c r="I50" i="5"/>
  <c r="I69" i="5"/>
  <c r="M40" i="5"/>
  <c r="I20" i="5"/>
  <c r="M65" i="5"/>
  <c r="J11" i="5"/>
  <c r="K20" i="5"/>
  <c r="J35" i="5"/>
  <c r="J27" i="5"/>
  <c r="J49" i="5"/>
  <c r="J17" i="5"/>
  <c r="J65" i="5"/>
  <c r="M33" i="5"/>
  <c r="M66" i="5"/>
  <c r="M22" i="5"/>
  <c r="L60" i="5"/>
  <c r="M45" i="5"/>
  <c r="I32" i="5"/>
  <c r="I52" i="5"/>
  <c r="M44" i="5"/>
  <c r="I36" i="5"/>
  <c r="J34" i="5"/>
  <c r="J26" i="5"/>
  <c r="J64" i="5"/>
  <c r="L10" i="5"/>
  <c r="L43" i="5"/>
  <c r="L48" i="5"/>
  <c r="L8" i="5"/>
  <c r="L22" i="5"/>
  <c r="L17" i="5"/>
  <c r="L25" i="5"/>
  <c r="L42" i="5"/>
  <c r="I17" i="5"/>
  <c r="I60" i="5"/>
  <c r="I51" i="5"/>
  <c r="I23" i="5"/>
  <c r="I35" i="5"/>
  <c r="L28" i="5"/>
  <c r="L24" i="5"/>
  <c r="I12" i="5"/>
  <c r="I45" i="5"/>
  <c r="K69" i="5"/>
  <c r="K27" i="5"/>
  <c r="K66" i="5"/>
  <c r="I27" i="5"/>
  <c r="I21" i="5"/>
  <c r="I41" i="5"/>
  <c r="I55" i="5"/>
  <c r="L5" i="5"/>
  <c r="I31" i="5"/>
  <c r="I30" i="5"/>
  <c r="I66" i="5"/>
  <c r="K52" i="5"/>
  <c r="M34" i="5"/>
  <c r="M14" i="5"/>
  <c r="M24" i="5"/>
  <c r="K42" i="5"/>
  <c r="M41" i="5"/>
  <c r="I39" i="5"/>
  <c r="I44" i="5"/>
  <c r="I26" i="5"/>
  <c r="M62" i="5"/>
  <c r="L18" i="5"/>
  <c r="I62" i="5"/>
  <c r="I6" i="5"/>
  <c r="M38" i="5"/>
  <c r="M70" i="5"/>
  <c r="K8" i="5"/>
  <c r="L47" i="5"/>
  <c r="M63" i="5"/>
  <c r="M69" i="5"/>
  <c r="M29" i="5"/>
  <c r="M37" i="5"/>
  <c r="I49" i="5"/>
  <c r="M61" i="5"/>
  <c r="I53" i="5"/>
  <c r="I19" i="5"/>
  <c r="I46" i="5"/>
  <c r="L52" i="5"/>
  <c r="L31" i="5"/>
  <c r="I16" i="5"/>
  <c r="I42" i="5"/>
  <c r="K63" i="5"/>
  <c r="L20" i="5"/>
  <c r="L59" i="5"/>
  <c r="L50" i="5"/>
  <c r="L12" i="5"/>
  <c r="K44" i="5"/>
  <c r="K57" i="5"/>
  <c r="K67" i="5"/>
  <c r="K70" i="5"/>
  <c r="K12" i="5"/>
  <c r="K46" i="5"/>
  <c r="K58" i="5"/>
  <c r="K43" i="5"/>
  <c r="K36" i="5"/>
  <c r="K61" i="5"/>
  <c r="K55" i="5"/>
  <c r="K34" i="5"/>
  <c r="K18" i="5"/>
  <c r="K22" i="5"/>
  <c r="K30" i="5"/>
  <c r="K15" i="5"/>
  <c r="K49" i="5"/>
  <c r="K23" i="5"/>
  <c r="K68" i="5"/>
  <c r="K11" i="5"/>
  <c r="K48" i="5"/>
  <c r="K9" i="5"/>
  <c r="K41" i="5"/>
  <c r="K13" i="5"/>
  <c r="K7" i="5"/>
  <c r="K29" i="5"/>
  <c r="K4" i="5"/>
  <c r="K54" i="5"/>
  <c r="K39" i="5"/>
  <c r="K32" i="5"/>
  <c r="K14" i="5"/>
  <c r="L45" i="5"/>
  <c r="K35" i="5"/>
  <c r="K50" i="5"/>
  <c r="L41" i="5"/>
  <c r="L66" i="5"/>
  <c r="K21" i="5"/>
  <c r="K10" i="5"/>
  <c r="K37" i="5"/>
  <c r="K24" i="5"/>
  <c r="L33" i="5"/>
  <c r="K25" i="5"/>
  <c r="L34" i="5"/>
  <c r="K56" i="5"/>
  <c r="L68" i="5"/>
  <c r="L55" i="5"/>
  <c r="K16" i="5"/>
  <c r="L54" i="5"/>
  <c r="L21" i="5"/>
  <c r="L30" i="5"/>
  <c r="L19" i="5"/>
  <c r="L67" i="5"/>
  <c r="L32" i="5"/>
  <c r="L37" i="5"/>
  <c r="L46" i="5"/>
  <c r="L35" i="5"/>
  <c r="L61" i="5"/>
  <c r="I61" i="5"/>
  <c r="I59" i="5"/>
  <c r="K59" i="5"/>
  <c r="L69" i="5"/>
  <c r="L56" i="5"/>
  <c r="L62" i="5"/>
  <c r="L64" i="5"/>
  <c r="L51" i="5"/>
  <c r="L70" i="5"/>
  <c r="L38" i="5"/>
  <c r="L40" i="5"/>
  <c r="L27" i="5"/>
  <c r="L13" i="5"/>
  <c r="L65" i="5"/>
  <c r="L26" i="5"/>
  <c r="L57" i="5"/>
  <c r="L58" i="5"/>
  <c r="L4" i="5"/>
  <c r="L11" i="5"/>
  <c r="L9" i="5"/>
  <c r="L39" i="5"/>
  <c r="L44" i="5"/>
  <c r="L36" i="5"/>
  <c r="L15" i="5"/>
  <c r="L29" i="5"/>
  <c r="L7" i="5"/>
  <c r="J72" i="5"/>
  <c r="M72" i="5" l="1"/>
  <c r="L72" i="5"/>
  <c r="K72" i="5"/>
</calcChain>
</file>

<file path=xl/sharedStrings.xml><?xml version="1.0" encoding="utf-8"?>
<sst xmlns="http://schemas.openxmlformats.org/spreadsheetml/2006/main" count="441" uniqueCount="184">
  <si>
    <t>Egypt LES subsistence-share calibration — audit workbook</t>
  </si>
  <si>
    <t>LEVEL  : the aggregate subsistence share per quintile is derived from Egypts OWN per-capita</t>
  </si>
  <si>
    <t>SHAPE  : the relative split of subsistence across sectors is borrowed from Rwandas LES</t>
  </si>
  <si>
    <t>WHAT IS EGYPTIAN vs BORROWED</t>
  </si>
  <si>
    <t xml:space="preserve">  Sheet 5 cross-checks the borrowed ranking against Egypts own budget-share gradient.</t>
  </si>
  <si>
    <t>EXCHANGE RATE</t>
  </si>
  <si>
    <t>SHEETS</t>
  </si>
  <si>
    <t>Rwanda LES calibration — Step 4 gamma (subsistence) shares, %   [source: LES.xlsx, IFPRI replication package]</t>
  </si>
  <si>
    <t>Category \ Rwanda household group</t>
  </si>
  <si>
    <t>f1</t>
  </si>
  <si>
    <t>f2</t>
  </si>
  <si>
    <t>f3</t>
  </si>
  <si>
    <t>f4</t>
  </si>
  <si>
    <t>f5</t>
  </si>
  <si>
    <t>n1</t>
  </si>
  <si>
    <t>n2</t>
  </si>
  <si>
    <t>n3</t>
  </si>
  <si>
    <t>n4</t>
  </si>
  <si>
    <t>n5</t>
  </si>
  <si>
    <t>u1</t>
  </si>
  <si>
    <t>u2</t>
  </si>
  <si>
    <t>u3</t>
  </si>
  <si>
    <t>u4</t>
  </si>
  <si>
    <t>u5</t>
  </si>
  <si>
    <t>Group consumption (bn USD) — weight for collapse</t>
  </si>
  <si>
    <t>Cereals &amp; roots</t>
  </si>
  <si>
    <t>Vegetables &amp; pulses</t>
  </si>
  <si>
    <t>Fish, meat &amp; eggs</t>
  </si>
  <si>
    <t>Dairy &amp; fats/oils</t>
  </si>
  <si>
    <t>Other food</t>
  </si>
  <si>
    <t>Clothing &amp; textiles</t>
  </si>
  <si>
    <t>Utilities (elec/water)</t>
  </si>
  <si>
    <t>housing</t>
  </si>
  <si>
    <t>Educ, health &amp; public</t>
  </si>
  <si>
    <t>Manufacturing</t>
  </si>
  <si>
    <t>Services (residual)</t>
  </si>
  <si>
    <t>Rwanda Total (aggregate subsistence share)</t>
  </si>
  <si>
    <t>Julia idx</t>
  </si>
  <si>
    <t>Egypt IO sector</t>
  </si>
  <si>
    <t>Rwanda category</t>
  </si>
  <si>
    <t>Q1</t>
  </si>
  <si>
    <t>Q2</t>
  </si>
  <si>
    <t>Q3</t>
  </si>
  <si>
    <t>Q4</t>
  </si>
  <si>
    <t>Q5</t>
  </si>
  <si>
    <t>Crop &amp; animal production</t>
  </si>
  <si>
    <t>Fishing and aquaculture</t>
  </si>
  <si>
    <t>Extraction of crude petroleum/gas</t>
  </si>
  <si>
    <t>Mining (metal ores &amp; other)</t>
  </si>
  <si>
    <t>Manufacture of food products</t>
  </si>
  <si>
    <t>Manufacture of beverages</t>
  </si>
  <si>
    <t>Manufacture of tobacco</t>
  </si>
  <si>
    <t>Manufacture of textiles</t>
  </si>
  <si>
    <t>Manufacture of wearing apparel</t>
  </si>
  <si>
    <t>Manufacture of leather products</t>
  </si>
  <si>
    <t>Manufacture of wood products</t>
  </si>
  <si>
    <t>Manufacture of paper products</t>
  </si>
  <si>
    <t>Printing &amp; reproduction</t>
  </si>
  <si>
    <t>Petroleum refining</t>
  </si>
  <si>
    <t>Manufacture of chemicals</t>
  </si>
  <si>
    <t>Pharmaceuticals</t>
  </si>
  <si>
    <t>Rubber and plastics</t>
  </si>
  <si>
    <t>Non-metallic minerals</t>
  </si>
  <si>
    <t>Basic metals</t>
  </si>
  <si>
    <t>Fabricated metal products</t>
  </si>
  <si>
    <t>Computers &amp; electronics</t>
  </si>
  <si>
    <t>Electrical equipment</t>
  </si>
  <si>
    <t>Machinery &amp; equipment n.e.c.</t>
  </si>
  <si>
    <t>Motor vehicles &amp; trailers</t>
  </si>
  <si>
    <t>Other transport equipment</t>
  </si>
  <si>
    <t>Furniture</t>
  </si>
  <si>
    <t>Other manufacturing</t>
  </si>
  <si>
    <t>Repair &amp; installation</t>
  </si>
  <si>
    <t>Electricity, gas &amp; steam supply</t>
  </si>
  <si>
    <t>Water collection &amp; treatment</t>
  </si>
  <si>
    <t>Construction</t>
  </si>
  <si>
    <t>Wholesale &amp; retail trade</t>
  </si>
  <si>
    <t>Transport services</t>
  </si>
  <si>
    <t>Storage &amp; transport support</t>
  </si>
  <si>
    <t>Accommodation &amp; food services</t>
  </si>
  <si>
    <t>Publishing</t>
  </si>
  <si>
    <t>Film, TV, sound recording</t>
  </si>
  <si>
    <t>Programming &amp; broadcasting</t>
  </si>
  <si>
    <t>Telecommunications &amp; IT</t>
  </si>
  <si>
    <t>Financial services</t>
  </si>
  <si>
    <t>Insurance &amp; pension funding</t>
  </si>
  <si>
    <t>Auxiliary financial activities</t>
  </si>
  <si>
    <t>Real estate activities</t>
  </si>
  <si>
    <t>Legal &amp; accounting</t>
  </si>
  <si>
    <t>Management consulting</t>
  </si>
  <si>
    <t>Architecture &amp; engineering</t>
  </si>
  <si>
    <t>Scientific R&amp;D</t>
  </si>
  <si>
    <t>Advertising &amp; market research</t>
  </si>
  <si>
    <t>Other professional services</t>
  </si>
  <si>
    <t>Veterinary activities</t>
  </si>
  <si>
    <t>Rental &amp; leasing</t>
  </si>
  <si>
    <t>Employment activities</t>
  </si>
  <si>
    <t>Travel agencies &amp; tour operators</t>
  </si>
  <si>
    <t>Security &amp; investigation</t>
  </si>
  <si>
    <t>Building &amp; landscape services</t>
  </si>
  <si>
    <t>Office administrative services</t>
  </si>
  <si>
    <t>Public administration &amp; defence</t>
  </si>
  <si>
    <t>Education</t>
  </si>
  <si>
    <t>Human health &amp; social work</t>
  </si>
  <si>
    <t>Creative arts &amp; entertainment</t>
  </si>
  <si>
    <t>Libraries, archives &amp; museums</t>
  </si>
  <si>
    <t>Gambling &amp; betting</t>
  </si>
  <si>
    <t>Sports &amp; recreation</t>
  </si>
  <si>
    <t>Membership organisations</t>
  </si>
  <si>
    <t>Repair of household goods</t>
  </si>
  <si>
    <t>Other personal services</t>
  </si>
  <si>
    <t>Activities of households</t>
  </si>
  <si>
    <t>POPQ (thousands)</t>
  </si>
  <si>
    <t>Sum of CQ (thousands EGP)</t>
  </si>
  <si>
    <t>Per-capita consumption (EGP) = SumCQ / POPQ</t>
  </si>
  <si>
    <t>STEP 1</t>
  </si>
  <si>
    <t>Per-capita consumption, EGP</t>
  </si>
  <si>
    <t>Per-capita consumption, USD</t>
  </si>
  <si>
    <t>STEP 2</t>
  </si>
  <si>
    <t>Rwanda pattern collapsed 15 groups -&gt; 5 quintiles (consumption-weighted)</t>
  </si>
  <si>
    <t>Rwanda aggregate (Total)</t>
  </si>
  <si>
    <t>STEP 3</t>
  </si>
  <si>
    <t>SHARE Q1</t>
  </si>
  <si>
    <t>SHARE Q2</t>
  </si>
  <si>
    <t>SHARE Q3</t>
  </si>
  <si>
    <t>SHARE Q4</t>
  </si>
  <si>
    <t>SHARE Q5</t>
  </si>
  <si>
    <t>CHECK: consumption-weighted avg of shares (must equal gamma_agg in sheet 3 row 9)</t>
  </si>
  <si>
    <t>Egypt budget share = share of each quintiles total consumption spent on the category.</t>
  </si>
  <si>
    <t>Egy Q1</t>
  </si>
  <si>
    <t>Egy Q2</t>
  </si>
  <si>
    <t>Egy Q3</t>
  </si>
  <si>
    <t>Egy Q4</t>
  </si>
  <si>
    <t>Egy Q5</t>
  </si>
  <si>
    <t>Egy Q1/Q5</t>
  </si>
  <si>
    <t>Agree?</t>
  </si>
  <si>
    <t>Note: "Vegetables &amp; pulses" has no Egypt IO sector mapped to it, so its rho is never used.</t>
  </si>
  <si>
    <t>CAVEAT FOR THE FUEL-SUBSIDY SHOCK:</t>
  </si>
  <si>
    <t>Egypt's own data shows Utilities is a necessity (Q1/Q5 = 1.5), but Rwanda's LES places</t>
  </si>
  <si>
    <t>Egypt-specific elasticity pattern would assign utilities a higher subsistence share and a</t>
  </si>
  <si>
    <t>larger regressive impact. This should be stated as a limitation in the methodology.</t>
  </si>
  <si>
    <t>Yellow = Rwanda weights copied from step 3 (rows 182-192); Blue = Rwanda gamma shares copied from LES.xlsx Step 4 (rows 218-242).</t>
  </si>
  <si>
    <t xml:space="preserve">Yellow = inputs copied from ModelSheets.xlsx (CQ, POPQ).  </t>
  </si>
  <si>
    <t>Frisch omega (ω) = -36 * y^(-0.36)</t>
  </si>
  <si>
    <t>Calculations</t>
  </si>
  <si>
    <t>Egypt aggregate level via Lluch (1977) Frisch parameter (ω)</t>
  </si>
  <si>
    <t xml:space="preserve">Exchange rate, EGP/USD (2019) </t>
  </si>
  <si>
    <t>Aggregate subsistence share ( gamma_agg) = 1 + 1/ω</t>
  </si>
  <si>
    <t>Relative pattern (ρ) = category share / Rwanda aggregate  (&gt;1 = necessity, &lt;1 = discretionary)</t>
  </si>
  <si>
    <t>Normalisation factor: a consumption-weighted average of the Rwanda pattern across the 67 sectors. Sectors that take up a larger share of the quintile's spending count for more in the average. Dividing by this factor in the next step rescales the pattern so the Egyptian subsistence shares average back to the aggregate share from the Lluch step.</t>
  </si>
  <si>
    <t>Normalisation factor = SUMPRODUCT(CQ, ρ_sector)/SUM(CQ)  [makes weighted-avg share = gamma_agg]</t>
  </si>
  <si>
    <t>STEP 4</t>
  </si>
  <si>
    <t>Lluch gamma_agg target (sheet 3 row 9)</t>
  </si>
  <si>
    <t>ρ Q1</t>
  </si>
  <si>
    <t>ρ Q2</t>
  </si>
  <si>
    <t>ρ Q3</t>
  </si>
  <si>
    <t>ρ Q4</t>
  </si>
  <si>
    <t>ρ Q5</t>
  </si>
  <si>
    <t>STEP 5 — Egypt subsistence shares =  gamma_agg(Q) x ρ(sector,Q) / norm(Q)</t>
  </si>
  <si>
    <t>Cross-check — Seeing if borrowing Rwanda's ranking for Egypts makes sense</t>
  </si>
  <si>
    <t>A category that is a necessity has a budget share that falls as income rises (Q1/Q5 &gt; 1).</t>
  </si>
  <si>
    <t>Rwanda ρ Q1</t>
  </si>
  <si>
    <t>Reading: I think in general the borrowed pattern is corroborated</t>
  </si>
  <si>
    <t>If Egypts gradient agrees with Rwanda's ρ, borrowing the ranking hopefully makes sense.</t>
  </si>
  <si>
    <t xml:space="preserve">utilities in the neutral band (ρ = 1.0, neither necessity nor luxury). </t>
  </si>
  <si>
    <t xml:space="preserve"> The modelled welfare loss for the poorest quintile is therefore likely CONSERVATIVE (a lower bound): a fully</t>
  </si>
  <si>
    <t xml:space="preserve">Egypt inputs — consumption by sector x quintile (CQ), population (POPQ)  </t>
  </si>
  <si>
    <t xml:space="preserve">METHOD — </t>
  </si>
  <si>
    <t xml:space="preserve">         consumption, via the Lluch (1977) Frisch-parameter relationship: ω = -36 * y^(-0.36),</t>
  </si>
  <si>
    <t xml:space="preserve">         then  gamma_agg = 1 + 1/ω  (y = per-capita consumption in USD.)</t>
  </si>
  <si>
    <t xml:space="preserve">         calibration (LES.xlsx, Step 4), using Rwanda's quintile-specific patterns</t>
  </si>
  <si>
    <t xml:space="preserve">  1_Rwanda_LES_Step4: Rwanda inputs — subsistence (gamma) shares (15 household groups) + consumption weights (from step 3).</t>
  </si>
  <si>
    <t xml:space="preserve">  2_Egypt_CQ  Mapping: Egypt inputs — consumption by sector x quintile (CQ), population, mapping.</t>
  </si>
  <si>
    <t xml:space="preserve">  3_Calculations: Frisch level, Rwanda 15-&gt;5 collapse, relative pattern. </t>
  </si>
  <si>
    <t xml:space="preserve">  5_CrossCheck: quick Egypt-vs-Rwanda necessity check.</t>
  </si>
  <si>
    <t xml:space="preserve">  17 EGP/USD is used for the Frisch step — this is the 2019 rate, matching the year of the Rwanda SAM that LES.xlsx was calibrated on.</t>
  </si>
  <si>
    <t xml:space="preserve">  Borrowed : only the necessity distribution across categories.</t>
  </si>
  <si>
    <t xml:space="preserve">  Egyptian : per-capita consumption &amp; the basket (sheet 2, CQ matrix); the aggregate level.</t>
  </si>
  <si>
    <t>Rwanda Q1</t>
  </si>
  <si>
    <t>Rwanda Q2</t>
  </si>
  <si>
    <t>Rwanda Q3</t>
  </si>
  <si>
    <t>Rwanda Q4</t>
  </si>
  <si>
    <t>Rwanda Q5</t>
  </si>
  <si>
    <t xml:space="preserve">  4_Egypt_Subsistence: final 67x5 subsistence-share grid. Rwanda quintile subsistence shares are also calculated for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</si>
</sst>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6" x14ac:knownFonts="1">
    <font>
      <sz val="11"/>
      <color theme="1"/>
      <name val="Calibri"/>
      <family val="2"/>
      <scheme val="minor"/>
    </font>
    <font>
      <b/>
      <sz val="13"/>
      <name val="Calibri"/>
      <family val="2"/>
    </font>
    <font>
      <b/>
      <sz val="11"/>
      <name val="Calibri"/>
      <family val="2"/>
    </font>
    <font>
      <b/>
      <sz val="11"/>
      <color rgb="FFFFFFFF"/>
      <name val="Calibri"/>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2F5496"/>
      </patternFill>
    </fill>
    <fill>
      <patternFill patternType="solid">
        <fgColor rgb="FFFFF2CC"/>
      </patternFill>
    </fill>
    <fill>
      <patternFill patternType="solid">
        <fgColor rgb="FFDEEBF7"/>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4" fillId="0" borderId="0" applyFont="0" applyFill="0" applyBorder="0" applyAlignment="0" applyProtection="0"/>
  </cellStyleXfs>
  <cellXfs count="23">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164" fontId="0" fillId="3" borderId="1" xfId="0" applyNumberFormat="1" applyFill="1" applyBorder="1"/>
    <xf numFmtId="2" fontId="0" fillId="4" borderId="1" xfId="0" applyNumberFormat="1" applyFill="1" applyBorder="1"/>
    <xf numFmtId="3" fontId="0" fillId="3" borderId="1" xfId="0" applyNumberFormat="1" applyFill="1" applyBorder="1"/>
    <xf numFmtId="3" fontId="0" fillId="0" borderId="1" xfId="0" applyNumberFormat="1" applyBorder="1"/>
    <xf numFmtId="165" fontId="0" fillId="0" borderId="1" xfId="0" applyNumberFormat="1" applyBorder="1"/>
    <xf numFmtId="2" fontId="0" fillId="3" borderId="1" xfId="0" applyNumberFormat="1" applyFill="1" applyBorder="1"/>
    <xf numFmtId="164" fontId="0" fillId="0" borderId="1" xfId="0" applyNumberFormat="1" applyBorder="1"/>
    <xf numFmtId="166" fontId="0" fillId="5" borderId="1" xfId="0" applyNumberFormat="1" applyFill="1" applyBorder="1"/>
    <xf numFmtId="2" fontId="0" fillId="0" borderId="1" xfId="0" applyNumberFormat="1" applyBorder="1"/>
    <xf numFmtId="2" fontId="2" fillId="0" borderId="1" xfId="0" applyNumberFormat="1" applyFont="1" applyBorder="1"/>
    <xf numFmtId="9" fontId="0" fillId="5" borderId="1" xfId="1" applyFont="1" applyFill="1" applyBorder="1"/>
    <xf numFmtId="9" fontId="2" fillId="0" borderId="1" xfId="1" applyFont="1" applyBorder="1"/>
    <xf numFmtId="9" fontId="0" fillId="0" borderId="1" xfId="1" applyFont="1" applyBorder="1"/>
    <xf numFmtId="0" fontId="0" fillId="0" borderId="0" xfId="0" applyFont="1" applyAlignment="1">
      <alignment horizontal="left" vertical="top" wrapText="1"/>
    </xf>
    <xf numFmtId="0" fontId="5" fillId="0" borderId="0" xfId="0" applyFont="1"/>
    <xf numFmtId="166" fontId="5" fillId="0" borderId="1" xfId="0" applyNumberFormat="1" applyFont="1" applyBorder="1"/>
    <xf numFmtId="2" fontId="0" fillId="0" borderId="1" xfId="0" applyNumberFormat="1" applyBorder="1" applyAlignment="1">
      <alignment horizontal="right"/>
    </xf>
    <xf numFmtId="0" fontId="0" fillId="0" borderId="1" xfId="0" applyBorder="1" applyAlignment="1">
      <alignment horizontal="center"/>
    </xf>
    <xf numFmtId="9" fontId="0" fillId="0" borderId="0" xfId="1" applyFont="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zoomScale="150" workbookViewId="0">
      <selection activeCell="A9" sqref="A9"/>
    </sheetView>
  </sheetViews>
  <sheetFormatPr baseColWidth="10" defaultColWidth="8.83203125" defaultRowHeight="15" x14ac:dyDescent="0.2"/>
  <cols>
    <col min="1" max="1" width="110" customWidth="1"/>
  </cols>
  <sheetData>
    <row r="1" spans="1:1" ht="17" x14ac:dyDescent="0.2">
      <c r="A1" s="1" t="s">
        <v>0</v>
      </c>
    </row>
    <row r="3" spans="1:1" x14ac:dyDescent="0.2">
      <c r="A3" s="2" t="s">
        <v>167</v>
      </c>
    </row>
    <row r="4" spans="1:1" x14ac:dyDescent="0.2">
      <c r="A4" t="s">
        <v>1</v>
      </c>
    </row>
    <row r="5" spans="1:1" x14ac:dyDescent="0.2">
      <c r="A5" t="s">
        <v>168</v>
      </c>
    </row>
    <row r="6" spans="1:1" x14ac:dyDescent="0.2">
      <c r="A6" t="s">
        <v>169</v>
      </c>
    </row>
    <row r="7" spans="1:1" x14ac:dyDescent="0.2">
      <c r="A7" t="s">
        <v>2</v>
      </c>
    </row>
    <row r="8" spans="1:1" x14ac:dyDescent="0.2">
      <c r="A8" t="s">
        <v>170</v>
      </c>
    </row>
    <row r="10" spans="1:1" x14ac:dyDescent="0.2">
      <c r="A10" s="2" t="s">
        <v>3</v>
      </c>
    </row>
    <row r="11" spans="1:1" x14ac:dyDescent="0.2">
      <c r="A11" t="s">
        <v>177</v>
      </c>
    </row>
    <row r="12" spans="1:1" x14ac:dyDescent="0.2">
      <c r="A12" t="s">
        <v>176</v>
      </c>
    </row>
    <row r="13" spans="1:1" x14ac:dyDescent="0.2">
      <c r="A13" t="s">
        <v>4</v>
      </c>
    </row>
    <row r="15" spans="1:1" x14ac:dyDescent="0.2">
      <c r="A15" s="2" t="s">
        <v>5</v>
      </c>
    </row>
    <row r="16" spans="1:1" x14ac:dyDescent="0.2">
      <c r="A16" t="s">
        <v>175</v>
      </c>
    </row>
    <row r="18" spans="1:1" x14ac:dyDescent="0.2">
      <c r="A18" s="2" t="s">
        <v>6</v>
      </c>
    </row>
    <row r="19" spans="1:1" x14ac:dyDescent="0.2">
      <c r="A19" t="s">
        <v>171</v>
      </c>
    </row>
    <row r="20" spans="1:1" x14ac:dyDescent="0.2">
      <c r="A20" t="s">
        <v>172</v>
      </c>
    </row>
    <row r="21" spans="1:1" x14ac:dyDescent="0.2">
      <c r="A21" t="s">
        <v>173</v>
      </c>
    </row>
    <row r="22" spans="1:1" x14ac:dyDescent="0.2">
      <c r="A22" t="s">
        <v>183</v>
      </c>
    </row>
    <row r="23" spans="1:1" x14ac:dyDescent="0.2">
      <c r="A23" t="s">
        <v>174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
  <sheetViews>
    <sheetView zoomScale="118" workbookViewId="0">
      <selection activeCell="B3" sqref="B3"/>
    </sheetView>
  </sheetViews>
  <sheetFormatPr baseColWidth="10" defaultColWidth="8.83203125" defaultRowHeight="15" x14ac:dyDescent="0.2"/>
  <cols>
    <col min="2" max="2" width="46" customWidth="1"/>
    <col min="3" max="17" width="8.5" customWidth="1"/>
  </cols>
  <sheetData>
    <row r="1" spans="1:17" ht="17" x14ac:dyDescent="0.2">
      <c r="A1" s="1" t="s">
        <v>7</v>
      </c>
    </row>
    <row r="3" spans="1:17" x14ac:dyDescent="0.2">
      <c r="B3" s="2" t="s">
        <v>8</v>
      </c>
      <c r="C3" s="3" t="s">
        <v>9</v>
      </c>
      <c r="D3" s="3" t="s">
        <v>10</v>
      </c>
      <c r="E3" s="3" t="s">
        <v>11</v>
      </c>
      <c r="F3" s="3" t="s">
        <v>12</v>
      </c>
      <c r="G3" s="3" t="s">
        <v>13</v>
      </c>
      <c r="H3" s="3" t="s">
        <v>14</v>
      </c>
      <c r="I3" s="3" t="s">
        <v>15</v>
      </c>
      <c r="J3" s="3" t="s">
        <v>16</v>
      </c>
      <c r="K3" s="3" t="s">
        <v>17</v>
      </c>
      <c r="L3" s="3" t="s">
        <v>18</v>
      </c>
      <c r="M3" s="3" t="s">
        <v>19</v>
      </c>
      <c r="N3" s="3" t="s">
        <v>20</v>
      </c>
      <c r="O3" s="3" t="s">
        <v>21</v>
      </c>
      <c r="P3" s="3" t="s">
        <v>22</v>
      </c>
      <c r="Q3" s="3" t="s">
        <v>23</v>
      </c>
    </row>
    <row r="4" spans="1:17" x14ac:dyDescent="0.2">
      <c r="B4" s="2" t="s">
        <v>24</v>
      </c>
      <c r="C4" s="4">
        <v>0.31242318184713502</v>
      </c>
      <c r="D4" s="4">
        <v>0.45981514683432317</v>
      </c>
      <c r="E4" s="4">
        <v>0.62871791877095284</v>
      </c>
      <c r="F4" s="4">
        <v>0.90444379966167032</v>
      </c>
      <c r="G4" s="4">
        <v>0.99978907153640018</v>
      </c>
      <c r="H4" s="4">
        <v>5.959914002330665E-2</v>
      </c>
      <c r="I4" s="4">
        <v>8.8893036913178985E-2</v>
      </c>
      <c r="J4" s="4">
        <v>0.1076060415017116</v>
      </c>
      <c r="K4" s="4">
        <v>0.1372849085928797</v>
      </c>
      <c r="L4" s="4">
        <v>0.17587356806967899</v>
      </c>
      <c r="M4" s="4">
        <v>3.1128326494624731E-2</v>
      </c>
      <c r="N4" s="4">
        <v>6.4764741305015416E-2</v>
      </c>
      <c r="O4" s="4">
        <v>0.1099229610815254</v>
      </c>
      <c r="P4" s="4">
        <v>0.2332150034614886</v>
      </c>
      <c r="Q4" s="4">
        <v>3.137103303013014</v>
      </c>
    </row>
    <row r="5" spans="1:17" x14ac:dyDescent="0.2">
      <c r="B5" s="2" t="s">
        <v>25</v>
      </c>
      <c r="C5" s="5">
        <v>91.92809035855926</v>
      </c>
      <c r="D5" s="5">
        <v>90.614096832224334</v>
      </c>
      <c r="E5" s="5">
        <v>89.407897565086344</v>
      </c>
      <c r="F5" s="5">
        <v>87.642954550733592</v>
      </c>
      <c r="G5" s="5">
        <v>83.931640115816492</v>
      </c>
      <c r="H5" s="5">
        <v>87.742314303205916</v>
      </c>
      <c r="I5" s="5">
        <v>86.342481582190942</v>
      </c>
      <c r="J5" s="5">
        <v>85.944647171305874</v>
      </c>
      <c r="K5" s="5">
        <v>84.915825087879384</v>
      </c>
      <c r="L5" s="5">
        <v>87.556321523927082</v>
      </c>
      <c r="M5" s="5">
        <v>87.201121243684426</v>
      </c>
      <c r="N5" s="5">
        <v>86.879875222447083</v>
      </c>
      <c r="O5" s="5">
        <v>85.352122760696133</v>
      </c>
      <c r="P5" s="5">
        <v>84.546874627724605</v>
      </c>
      <c r="Q5" s="5">
        <v>75.222073526146531</v>
      </c>
    </row>
    <row r="6" spans="1:17" x14ac:dyDescent="0.2">
      <c r="B6" s="2" t="s">
        <v>26</v>
      </c>
      <c r="C6" s="5">
        <v>87.084944573694827</v>
      </c>
      <c r="D6" s="5">
        <v>84.982554931558923</v>
      </c>
      <c r="E6" s="5">
        <v>83.052636104138159</v>
      </c>
      <c r="F6" s="5">
        <v>80.228727281173747</v>
      </c>
      <c r="G6" s="5">
        <v>74.290624185306385</v>
      </c>
      <c r="H6" s="5">
        <v>80.387702885129471</v>
      </c>
      <c r="I6" s="5">
        <v>78.147970531505521</v>
      </c>
      <c r="J6" s="5">
        <v>77.51143547408941</v>
      </c>
      <c r="K6" s="5">
        <v>75.865320140607011</v>
      </c>
      <c r="L6" s="5">
        <v>80.090114438283337</v>
      </c>
      <c r="M6" s="5">
        <v>79.521793989895087</v>
      </c>
      <c r="N6" s="5">
        <v>79.007800355915322</v>
      </c>
      <c r="O6" s="5">
        <v>76.563396417113793</v>
      </c>
      <c r="P6" s="5">
        <v>75.274999404359349</v>
      </c>
      <c r="Q6" s="5">
        <v>60.355317641834439</v>
      </c>
    </row>
    <row r="7" spans="1:17" x14ac:dyDescent="0.2">
      <c r="B7" s="2" t="s">
        <v>27</v>
      </c>
      <c r="C7" s="5">
        <v>85.470562645406673</v>
      </c>
      <c r="D7" s="5">
        <v>83.105374298003795</v>
      </c>
      <c r="E7" s="5">
        <v>80.934215617155431</v>
      </c>
      <c r="F7" s="5">
        <v>77.757318191320451</v>
      </c>
      <c r="G7" s="5">
        <v>71.076952208469677</v>
      </c>
      <c r="H7" s="5">
        <v>77.936165745770651</v>
      </c>
      <c r="I7" s="5">
        <v>75.416466847943681</v>
      </c>
      <c r="J7" s="5">
        <v>74.700364908350579</v>
      </c>
      <c r="K7" s="5">
        <v>72.848485158182896</v>
      </c>
      <c r="L7" s="5">
        <v>77.60137874306875</v>
      </c>
      <c r="M7" s="5">
        <v>76.962018238631984</v>
      </c>
      <c r="N7" s="5">
        <v>76.38377540040473</v>
      </c>
      <c r="O7" s="5">
        <v>73.633820969253037</v>
      </c>
      <c r="P7" s="5">
        <v>72.184374329904273</v>
      </c>
      <c r="Q7" s="5">
        <v>55.399732347063747</v>
      </c>
    </row>
    <row r="8" spans="1:17" x14ac:dyDescent="0.2">
      <c r="B8" s="2" t="s">
        <v>28</v>
      </c>
      <c r="C8" s="5">
        <v>87.084944573694827</v>
      </c>
      <c r="D8" s="5">
        <v>84.982554931558937</v>
      </c>
      <c r="E8" s="5">
        <v>83.052636104138159</v>
      </c>
      <c r="F8" s="5">
        <v>80.228727281173732</v>
      </c>
      <c r="G8" s="5">
        <v>74.290624185306385</v>
      </c>
      <c r="H8" s="5">
        <v>80.387702885129457</v>
      </c>
      <c r="I8" s="5">
        <v>78.147970531505507</v>
      </c>
      <c r="J8" s="5">
        <v>77.51143547408941</v>
      </c>
      <c r="K8" s="5">
        <v>75.865320140606997</v>
      </c>
      <c r="L8" s="5">
        <v>80.090114438283337</v>
      </c>
      <c r="M8" s="5">
        <v>79.521793989895087</v>
      </c>
      <c r="N8" s="5">
        <v>79.007800355915322</v>
      </c>
      <c r="O8" s="5">
        <v>76.563396417113793</v>
      </c>
      <c r="P8" s="5">
        <v>75.274999404359349</v>
      </c>
      <c r="Q8" s="5">
        <v>60.355317641834453</v>
      </c>
    </row>
    <row r="9" spans="1:17" x14ac:dyDescent="0.2">
      <c r="B9" s="2" t="s">
        <v>29</v>
      </c>
      <c r="C9" s="5">
        <v>75.784271075677793</v>
      </c>
      <c r="D9" s="5">
        <v>71.842290496672987</v>
      </c>
      <c r="E9" s="5">
        <v>68.223692695259047</v>
      </c>
      <c r="F9" s="5">
        <v>62.928863652200768</v>
      </c>
      <c r="G9" s="5">
        <v>51.794920347449477</v>
      </c>
      <c r="H9" s="5">
        <v>63.22694290961774</v>
      </c>
      <c r="I9" s="5">
        <v>59.027444746572812</v>
      </c>
      <c r="J9" s="5">
        <v>57.833941513917651</v>
      </c>
      <c r="K9" s="5">
        <v>54.747475263638137</v>
      </c>
      <c r="L9" s="5">
        <v>62.668964571781252</v>
      </c>
      <c r="M9" s="5">
        <v>61.603363731053271</v>
      </c>
      <c r="N9" s="5">
        <v>60.639625667341228</v>
      </c>
      <c r="O9" s="5">
        <v>56.056368282088393</v>
      </c>
      <c r="P9" s="5">
        <v>53.640623883173802</v>
      </c>
      <c r="Q9" s="5">
        <v>25.666220578439582</v>
      </c>
    </row>
    <row r="10" spans="1:17" x14ac:dyDescent="0.2">
      <c r="B10" s="2" t="s">
        <v>30</v>
      </c>
      <c r="C10" s="5">
        <v>83.856180717118534</v>
      </c>
      <c r="D10" s="5">
        <v>81.228193664448668</v>
      </c>
      <c r="E10" s="5">
        <v>78.815795130172688</v>
      </c>
      <c r="F10" s="5">
        <v>75.285909101467183</v>
      </c>
      <c r="G10" s="5">
        <v>67.863280231632984</v>
      </c>
      <c r="H10" s="5">
        <v>75.484628606411832</v>
      </c>
      <c r="I10" s="5">
        <v>72.68496316438187</v>
      </c>
      <c r="J10" s="5">
        <v>71.889294342611777</v>
      </c>
      <c r="K10" s="5">
        <v>69.831650175758767</v>
      </c>
      <c r="L10" s="5">
        <v>75.112643047854164</v>
      </c>
      <c r="M10" s="5">
        <v>74.402242487368838</v>
      </c>
      <c r="N10" s="5">
        <v>73.759750444894152</v>
      </c>
      <c r="O10" s="5">
        <v>70.704245521392266</v>
      </c>
      <c r="P10" s="5">
        <v>69.093749255449197</v>
      </c>
      <c r="Q10" s="5">
        <v>50.444147052293047</v>
      </c>
    </row>
    <row r="11" spans="1:17" x14ac:dyDescent="0.2">
      <c r="B11" s="2" t="s">
        <v>31</v>
      </c>
      <c r="C11" s="5">
        <v>83.856180717118534</v>
      </c>
      <c r="D11" s="5">
        <v>81.228193664448654</v>
      </c>
      <c r="E11" s="5">
        <v>78.815795130172702</v>
      </c>
      <c r="F11" s="5">
        <v>75.285909101467183</v>
      </c>
      <c r="G11" s="5">
        <v>67.863280231632999</v>
      </c>
      <c r="H11" s="5">
        <v>75.484628606411832</v>
      </c>
      <c r="I11" s="5">
        <v>72.684963164381884</v>
      </c>
      <c r="J11" s="5">
        <v>71.889294342611763</v>
      </c>
      <c r="K11" s="5">
        <v>69.831650175758782</v>
      </c>
      <c r="L11" s="5">
        <v>75.112643047854178</v>
      </c>
      <c r="M11" s="5">
        <v>74.402242487368852</v>
      </c>
      <c r="N11" s="5">
        <v>73.759750444894152</v>
      </c>
      <c r="O11" s="5">
        <v>70.704245521392252</v>
      </c>
      <c r="P11" s="5">
        <v>69.093749255449197</v>
      </c>
      <c r="Q11" s="5">
        <v>50.444147052293047</v>
      </c>
    </row>
    <row r="12" spans="1:17" x14ac:dyDescent="0.2">
      <c r="B12" s="2" t="s">
        <v>32</v>
      </c>
      <c r="C12" s="5">
        <v>87.084944573694813</v>
      </c>
      <c r="D12" s="5">
        <v>84.982554931558923</v>
      </c>
      <c r="E12" s="5">
        <v>83.052636104138145</v>
      </c>
      <c r="F12" s="5">
        <v>80.228727281173732</v>
      </c>
      <c r="G12" s="5">
        <v>74.290624185306399</v>
      </c>
      <c r="H12" s="5">
        <v>80.387702885129457</v>
      </c>
      <c r="I12" s="5">
        <v>78.147970531505507</v>
      </c>
      <c r="J12" s="5">
        <v>77.51143547408941</v>
      </c>
      <c r="K12" s="5">
        <v>75.865320140607011</v>
      </c>
      <c r="L12" s="5">
        <v>80.090114438283337</v>
      </c>
      <c r="M12" s="5">
        <v>79.521793989895073</v>
      </c>
      <c r="N12" s="5">
        <v>79.007800355915322</v>
      </c>
      <c r="O12" s="5">
        <v>76.563396417113808</v>
      </c>
      <c r="P12" s="5">
        <v>75.274999404359363</v>
      </c>
      <c r="Q12" s="5">
        <v>60.355317641834453</v>
      </c>
    </row>
    <row r="13" spans="1:17" x14ac:dyDescent="0.2">
      <c r="B13" s="2" t="s">
        <v>33</v>
      </c>
      <c r="C13" s="5">
        <v>83.856180717118519</v>
      </c>
      <c r="D13" s="5">
        <v>81.228193664448654</v>
      </c>
      <c r="E13" s="5">
        <v>78.815795130172688</v>
      </c>
      <c r="F13" s="5">
        <v>75.285909101467183</v>
      </c>
      <c r="G13" s="5">
        <v>67.863280231632984</v>
      </c>
      <c r="H13" s="5">
        <v>75.484628606411832</v>
      </c>
      <c r="I13" s="5">
        <v>72.684963164381884</v>
      </c>
      <c r="J13" s="5">
        <v>71.889294342611777</v>
      </c>
      <c r="K13" s="5">
        <v>69.831650175758767</v>
      </c>
      <c r="L13" s="5">
        <v>75.112643047854164</v>
      </c>
      <c r="M13" s="5">
        <v>74.402242487368838</v>
      </c>
      <c r="N13" s="5">
        <v>73.759750444894152</v>
      </c>
      <c r="O13" s="5">
        <v>70.704245521392252</v>
      </c>
      <c r="P13" s="5">
        <v>69.093749255449211</v>
      </c>
      <c r="Q13" s="5">
        <v>50.444147052293047</v>
      </c>
    </row>
    <row r="14" spans="1:17" x14ac:dyDescent="0.2">
      <c r="B14" s="2" t="s">
        <v>34</v>
      </c>
      <c r="C14" s="5">
        <v>80.502858901199218</v>
      </c>
      <c r="D14" s="5">
        <v>77.196188053620787</v>
      </c>
      <c r="E14" s="5">
        <v>75.061562711629676</v>
      </c>
      <c r="F14" s="5">
        <v>72.421179867696196</v>
      </c>
      <c r="G14" s="5">
        <v>67.207372537977747</v>
      </c>
      <c r="H14" s="5">
        <v>69.305270782317763</v>
      </c>
      <c r="I14" s="5">
        <v>67.325098026777511</v>
      </c>
      <c r="J14" s="5">
        <v>67.033109018898685</v>
      </c>
      <c r="K14" s="5">
        <v>65.839948524809316</v>
      </c>
      <c r="L14" s="5">
        <v>74.366608493123664</v>
      </c>
      <c r="M14" s="5">
        <v>68.234528132307545</v>
      </c>
      <c r="N14" s="5">
        <v>68.10642195940838</v>
      </c>
      <c r="O14" s="5">
        <v>66.432725319713583</v>
      </c>
      <c r="P14" s="5">
        <v>65.925080272992275</v>
      </c>
      <c r="Q14" s="5">
        <v>49.793148971172592</v>
      </c>
    </row>
    <row r="15" spans="1:17" x14ac:dyDescent="0.2">
      <c r="B15" s="2" t="s">
        <v>35</v>
      </c>
      <c r="C15" s="5">
        <v>80.502858901199218</v>
      </c>
      <c r="D15" s="5">
        <v>77.196188053620787</v>
      </c>
      <c r="E15" s="5">
        <v>75.061562711629676</v>
      </c>
      <c r="F15" s="5">
        <v>72.421179867696196</v>
      </c>
      <c r="G15" s="5">
        <v>67.207372537977761</v>
      </c>
      <c r="H15" s="5">
        <v>69.305270782317763</v>
      </c>
      <c r="I15" s="5">
        <v>67.325098026777511</v>
      </c>
      <c r="J15" s="5">
        <v>67.033109018898685</v>
      </c>
      <c r="K15" s="5">
        <v>65.839948524809316</v>
      </c>
      <c r="L15" s="5">
        <v>74.36660849312365</v>
      </c>
      <c r="M15" s="5">
        <v>68.234528132307545</v>
      </c>
      <c r="N15" s="5">
        <v>68.10642195940838</v>
      </c>
      <c r="O15" s="5">
        <v>66.432725319713583</v>
      </c>
      <c r="P15" s="5">
        <v>65.925080272992261</v>
      </c>
      <c r="Q15" s="5">
        <v>49.793148971172599</v>
      </c>
    </row>
    <row r="16" spans="1:17" x14ac:dyDescent="0.2">
      <c r="B16" s="2" t="s">
        <v>36</v>
      </c>
      <c r="C16" s="5">
        <v>83.856180717118548</v>
      </c>
      <c r="D16" s="5">
        <v>81.228193664448654</v>
      </c>
      <c r="E16" s="5">
        <v>78.815795130172702</v>
      </c>
      <c r="F16" s="5">
        <v>75.285909101467183</v>
      </c>
      <c r="G16" s="5">
        <v>67.863280231632984</v>
      </c>
      <c r="H16" s="5">
        <v>75.484628606411832</v>
      </c>
      <c r="I16" s="5">
        <v>72.684963164381898</v>
      </c>
      <c r="J16" s="5">
        <v>71.889294342611763</v>
      </c>
      <c r="K16" s="5">
        <v>69.831650175758767</v>
      </c>
      <c r="L16" s="5">
        <v>75.112643047854164</v>
      </c>
      <c r="M16" s="5">
        <v>74.402242487368852</v>
      </c>
      <c r="N16" s="5">
        <v>73.759750444894152</v>
      </c>
      <c r="O16" s="5">
        <v>70.704245521392281</v>
      </c>
      <c r="P16" s="5">
        <v>69.093749255449183</v>
      </c>
      <c r="Q16" s="5">
        <v>50.444147052293047</v>
      </c>
    </row>
    <row r="18" spans="2:2" x14ac:dyDescent="0.2">
      <c r="B18" t="s">
        <v>141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6"/>
  <sheetViews>
    <sheetView zoomScale="108" workbookViewId="0">
      <selection activeCell="J14" sqref="J14"/>
    </sheetView>
  </sheetViews>
  <sheetFormatPr baseColWidth="10" defaultColWidth="8.83203125" defaultRowHeight="15" x14ac:dyDescent="0.2"/>
  <cols>
    <col min="2" max="2" width="34" customWidth="1"/>
    <col min="3" max="3" width="22" customWidth="1"/>
    <col min="4" max="8" width="14" customWidth="1"/>
  </cols>
  <sheetData>
    <row r="1" spans="1:8" ht="17" x14ac:dyDescent="0.2">
      <c r="A1" s="1" t="s">
        <v>166</v>
      </c>
    </row>
    <row r="3" spans="1:8" x14ac:dyDescent="0.2">
      <c r="A3" s="3" t="s">
        <v>37</v>
      </c>
      <c r="B3" s="3" t="s">
        <v>38</v>
      </c>
      <c r="C3" s="3" t="s">
        <v>39</v>
      </c>
      <c r="D3" s="3" t="s">
        <v>40</v>
      </c>
      <c r="E3" s="3" t="s">
        <v>41</v>
      </c>
      <c r="F3" s="3" t="s">
        <v>42</v>
      </c>
      <c r="G3" s="3" t="s">
        <v>43</v>
      </c>
      <c r="H3" s="3" t="s">
        <v>44</v>
      </c>
    </row>
    <row r="4" spans="1:8" x14ac:dyDescent="0.2">
      <c r="A4">
        <v>1</v>
      </c>
      <c r="B4" t="s">
        <v>45</v>
      </c>
      <c r="C4" t="s">
        <v>25</v>
      </c>
      <c r="D4" s="6">
        <v>32641993.475599609</v>
      </c>
      <c r="E4" s="6">
        <v>45170615.544219144</v>
      </c>
      <c r="F4" s="6">
        <v>53696560.514751107</v>
      </c>
      <c r="G4" s="6">
        <v>67116677.23612079</v>
      </c>
      <c r="H4" s="6">
        <v>93810194.22930935</v>
      </c>
    </row>
    <row r="5" spans="1:8" x14ac:dyDescent="0.2">
      <c r="A5">
        <v>2</v>
      </c>
      <c r="B5" t="s">
        <v>46</v>
      </c>
      <c r="C5" t="s">
        <v>27</v>
      </c>
      <c r="D5" s="6">
        <v>3542387.0604569279</v>
      </c>
      <c r="E5" s="6">
        <v>5871439.8132240484</v>
      </c>
      <c r="F5" s="6">
        <v>7524433.3238728317</v>
      </c>
      <c r="G5" s="6">
        <v>9330112.7325194664</v>
      </c>
      <c r="H5" s="6">
        <v>13765183.06992672</v>
      </c>
    </row>
    <row r="6" spans="1:8" x14ac:dyDescent="0.2">
      <c r="A6">
        <v>3</v>
      </c>
      <c r="B6" t="s">
        <v>47</v>
      </c>
      <c r="C6" t="s">
        <v>34</v>
      </c>
      <c r="D6" s="6">
        <v>3633332.5252556452</v>
      </c>
      <c r="E6" s="6">
        <v>4904715.9030179745</v>
      </c>
      <c r="F6" s="6">
        <v>6059712.8993074056</v>
      </c>
      <c r="G6" s="6">
        <v>7908310.7111706547</v>
      </c>
      <c r="H6" s="6">
        <v>14351425.96124832</v>
      </c>
    </row>
    <row r="7" spans="1:8" x14ac:dyDescent="0.2">
      <c r="A7">
        <v>4</v>
      </c>
      <c r="B7" t="s">
        <v>48</v>
      </c>
      <c r="C7" t="s">
        <v>34</v>
      </c>
      <c r="D7" s="6">
        <v>1217884.3999999999</v>
      </c>
      <c r="E7" s="6">
        <v>1217884.3999999999</v>
      </c>
      <c r="F7" s="6">
        <v>1217884.3999999999</v>
      </c>
      <c r="G7" s="6">
        <v>1217884.3999999999</v>
      </c>
      <c r="H7" s="6">
        <v>1217884.3999999999</v>
      </c>
    </row>
    <row r="8" spans="1:8" x14ac:dyDescent="0.2">
      <c r="A8">
        <v>5</v>
      </c>
      <c r="B8" t="s">
        <v>49</v>
      </c>
      <c r="C8" t="s">
        <v>28</v>
      </c>
      <c r="D8" s="6">
        <v>30356674.843749121</v>
      </c>
      <c r="E8" s="6">
        <v>38403977.982756481</v>
      </c>
      <c r="F8" s="6">
        <v>45213942.148905903</v>
      </c>
      <c r="G8" s="6">
        <v>54790109.846761063</v>
      </c>
      <c r="H8" s="6">
        <v>84710508.177827433</v>
      </c>
    </row>
    <row r="9" spans="1:8" x14ac:dyDescent="0.2">
      <c r="A9">
        <v>6</v>
      </c>
      <c r="B9" t="s">
        <v>50</v>
      </c>
      <c r="C9" t="s">
        <v>29</v>
      </c>
      <c r="D9" s="6">
        <v>1252789.880654854</v>
      </c>
      <c r="E9" s="6">
        <v>2148195.199005316</v>
      </c>
      <c r="F9" s="6">
        <v>3168320.341727565</v>
      </c>
      <c r="G9" s="6">
        <v>4405808.0639519086</v>
      </c>
      <c r="H9" s="6">
        <v>11026593.514660349</v>
      </c>
    </row>
    <row r="10" spans="1:8" x14ac:dyDescent="0.2">
      <c r="A10">
        <v>7</v>
      </c>
      <c r="B10" t="s">
        <v>51</v>
      </c>
      <c r="C10" t="s">
        <v>29</v>
      </c>
      <c r="D10" s="6">
        <v>1019923.642512484</v>
      </c>
      <c r="E10" s="6">
        <v>1645726.6143498369</v>
      </c>
      <c r="F10" s="6">
        <v>2068864.775495983</v>
      </c>
      <c r="G10" s="6">
        <v>2503676.9570959071</v>
      </c>
      <c r="H10" s="6">
        <v>3405850.0105457888</v>
      </c>
    </row>
    <row r="11" spans="1:8" x14ac:dyDescent="0.2">
      <c r="A11">
        <v>8</v>
      </c>
      <c r="B11" t="s">
        <v>52</v>
      </c>
      <c r="C11" t="s">
        <v>30</v>
      </c>
      <c r="D11" s="6">
        <v>638386.05122439377</v>
      </c>
      <c r="E11" s="6">
        <v>1090736.744289042</v>
      </c>
      <c r="F11" s="6">
        <v>1494511.2540669171</v>
      </c>
      <c r="G11" s="6">
        <v>2208574.386614765</v>
      </c>
      <c r="H11" s="6">
        <v>3977660.563804884</v>
      </c>
    </row>
    <row r="12" spans="1:8" x14ac:dyDescent="0.2">
      <c r="A12">
        <v>9</v>
      </c>
      <c r="B12" t="s">
        <v>53</v>
      </c>
      <c r="C12" t="s">
        <v>30</v>
      </c>
      <c r="D12" s="6">
        <v>1847185.02125754</v>
      </c>
      <c r="E12" s="6">
        <v>2912623.859278955</v>
      </c>
      <c r="F12" s="6">
        <v>3715988.0786655489</v>
      </c>
      <c r="G12" s="6">
        <v>4644999.2390734609</v>
      </c>
      <c r="H12" s="6">
        <v>7364926.8017244963</v>
      </c>
    </row>
    <row r="13" spans="1:8" x14ac:dyDescent="0.2">
      <c r="A13">
        <v>10</v>
      </c>
      <c r="B13" t="s">
        <v>54</v>
      </c>
      <c r="C13" t="s">
        <v>30</v>
      </c>
      <c r="D13" s="6">
        <v>806736.47063374112</v>
      </c>
      <c r="E13" s="6">
        <v>1292144.1194312731</v>
      </c>
      <c r="F13" s="6">
        <v>1630724.007109578</v>
      </c>
      <c r="G13" s="6">
        <v>2000969.6347545059</v>
      </c>
      <c r="H13" s="6">
        <v>3207371.7680708999</v>
      </c>
    </row>
    <row r="14" spans="1:8" x14ac:dyDescent="0.2">
      <c r="A14">
        <v>11</v>
      </c>
      <c r="B14" t="s">
        <v>55</v>
      </c>
      <c r="C14" t="s">
        <v>34</v>
      </c>
      <c r="D14" s="6">
        <v>540685.1613967556</v>
      </c>
      <c r="E14" s="6">
        <v>2047122.434973879</v>
      </c>
      <c r="F14" s="6">
        <v>57809.105306571299</v>
      </c>
      <c r="G14" s="6">
        <v>1049065.234533957</v>
      </c>
      <c r="H14" s="6">
        <v>2489192.0637888368</v>
      </c>
    </row>
    <row r="15" spans="1:8" x14ac:dyDescent="0.2">
      <c r="A15">
        <v>12</v>
      </c>
      <c r="B15" t="s">
        <v>56</v>
      </c>
      <c r="C15" t="s">
        <v>34</v>
      </c>
      <c r="D15" s="6">
        <v>1821298.28385737</v>
      </c>
      <c r="E15" s="6">
        <v>2696599.534633175</v>
      </c>
      <c r="F15" s="6">
        <v>3386074.4095694469</v>
      </c>
      <c r="G15" s="6">
        <v>3812580.3727529398</v>
      </c>
      <c r="H15" s="6">
        <v>5304197.3991870685</v>
      </c>
    </row>
    <row r="16" spans="1:8" x14ac:dyDescent="0.2">
      <c r="A16">
        <v>13</v>
      </c>
      <c r="B16" t="s">
        <v>57</v>
      </c>
      <c r="C16" t="s">
        <v>35</v>
      </c>
      <c r="D16" s="6">
        <v>2664242.488356208</v>
      </c>
      <c r="E16" s="6">
        <v>3944656.6818245151</v>
      </c>
      <c r="F16" s="6">
        <v>4953237.7406618409</v>
      </c>
      <c r="G16" s="6">
        <v>5577141.6770056142</v>
      </c>
      <c r="H16" s="6">
        <v>7759118.4121518219</v>
      </c>
    </row>
    <row r="17" spans="1:8" x14ac:dyDescent="0.2">
      <c r="A17">
        <v>14</v>
      </c>
      <c r="B17" t="s">
        <v>58</v>
      </c>
      <c r="C17" t="s">
        <v>31</v>
      </c>
      <c r="D17" s="6">
        <v>18631074.703820921</v>
      </c>
      <c r="E17" s="6">
        <v>23371832.573382702</v>
      </c>
      <c r="F17" s="6">
        <v>26412403.995438021</v>
      </c>
      <c r="G17" s="6">
        <v>33698512.287242576</v>
      </c>
      <c r="H17" s="6">
        <v>77126169.44011575</v>
      </c>
    </row>
    <row r="18" spans="1:8" x14ac:dyDescent="0.2">
      <c r="A18">
        <v>15</v>
      </c>
      <c r="B18" t="s">
        <v>59</v>
      </c>
      <c r="C18" t="s">
        <v>34</v>
      </c>
      <c r="D18" s="6">
        <v>3622214.987763559</v>
      </c>
      <c r="E18" s="6">
        <v>5297549.2293301234</v>
      </c>
      <c r="F18" s="6">
        <v>6903567.3280006172</v>
      </c>
      <c r="G18" s="6">
        <v>9543837.5986261591</v>
      </c>
      <c r="H18" s="6">
        <v>18397281.856279541</v>
      </c>
    </row>
    <row r="19" spans="1:8" x14ac:dyDescent="0.2">
      <c r="A19">
        <v>16</v>
      </c>
      <c r="B19" t="s">
        <v>60</v>
      </c>
      <c r="C19" t="s">
        <v>34</v>
      </c>
      <c r="D19" s="6">
        <v>3301865.5695934091</v>
      </c>
      <c r="E19" s="6">
        <v>4829032.5760716964</v>
      </c>
      <c r="F19" s="6">
        <v>6293014.4158123462</v>
      </c>
      <c r="G19" s="6">
        <v>8699778.5508032367</v>
      </c>
      <c r="H19" s="6">
        <v>16770221.887719311</v>
      </c>
    </row>
    <row r="20" spans="1:8" x14ac:dyDescent="0.2">
      <c r="A20">
        <v>17</v>
      </c>
      <c r="B20" t="s">
        <v>61</v>
      </c>
      <c r="C20" t="s">
        <v>34</v>
      </c>
      <c r="D20" s="6">
        <v>1144309.500887969</v>
      </c>
      <c r="E20" s="6">
        <v>1673571.4946691999</v>
      </c>
      <c r="F20" s="6">
        <v>2180935.415926544</v>
      </c>
      <c r="G20" s="6">
        <v>3015034.3504765122</v>
      </c>
      <c r="H20" s="6">
        <v>5811963.2380397776</v>
      </c>
    </row>
    <row r="21" spans="1:8" x14ac:dyDescent="0.2">
      <c r="A21">
        <v>18</v>
      </c>
      <c r="B21" t="s">
        <v>62</v>
      </c>
      <c r="C21" t="s">
        <v>34</v>
      </c>
      <c r="D21" s="6">
        <v>2650033.0453579719</v>
      </c>
      <c r="E21" s="6">
        <v>4020233.9262930579</v>
      </c>
      <c r="F21" s="6">
        <v>5541205.8625484342</v>
      </c>
      <c r="G21" s="6">
        <v>6753713.681009287</v>
      </c>
      <c r="H21" s="6">
        <v>12816661.484791251</v>
      </c>
    </row>
    <row r="22" spans="1:8" x14ac:dyDescent="0.2">
      <c r="A22">
        <v>19</v>
      </c>
      <c r="B22" t="s">
        <v>63</v>
      </c>
      <c r="C22" t="s">
        <v>34</v>
      </c>
      <c r="D22" s="6">
        <v>955941.76258713566</v>
      </c>
      <c r="E22" s="6">
        <v>1423184.482050742</v>
      </c>
      <c r="F22" s="6">
        <v>1850586.0703178721</v>
      </c>
      <c r="G22" s="6">
        <v>2420235.004663134</v>
      </c>
      <c r="H22" s="6">
        <v>4017546.680381116</v>
      </c>
    </row>
    <row r="23" spans="1:8" x14ac:dyDescent="0.2">
      <c r="A23">
        <v>20</v>
      </c>
      <c r="B23" t="s">
        <v>64</v>
      </c>
      <c r="C23" t="s">
        <v>34</v>
      </c>
      <c r="D23" s="6">
        <v>959078.0588291164</v>
      </c>
      <c r="E23" s="6">
        <v>1427845.5382689589</v>
      </c>
      <c r="F23" s="6">
        <v>1856646.466191812</v>
      </c>
      <c r="G23" s="6">
        <v>2428166.0497510219</v>
      </c>
      <c r="H23" s="6">
        <v>4030704.8869590908</v>
      </c>
    </row>
    <row r="24" spans="1:8" x14ac:dyDescent="0.2">
      <c r="A24">
        <v>21</v>
      </c>
      <c r="B24" t="s">
        <v>65</v>
      </c>
      <c r="C24" t="s">
        <v>34</v>
      </c>
      <c r="D24" s="6">
        <v>328327.99645704159</v>
      </c>
      <c r="E24" s="6">
        <v>849531.51886625332</v>
      </c>
      <c r="F24" s="6">
        <v>1289408.608680248</v>
      </c>
      <c r="G24" s="6">
        <v>5436232.4166519046</v>
      </c>
      <c r="H24" s="6">
        <v>6055247.4593445528</v>
      </c>
    </row>
    <row r="25" spans="1:8" x14ac:dyDescent="0.2">
      <c r="A25">
        <v>22</v>
      </c>
      <c r="B25" t="s">
        <v>66</v>
      </c>
      <c r="C25" t="s">
        <v>34</v>
      </c>
      <c r="D25" s="6">
        <v>1659979.0618393831</v>
      </c>
      <c r="E25" s="6">
        <v>2970300.6663910411</v>
      </c>
      <c r="F25" s="6">
        <v>3925489.9342810232</v>
      </c>
      <c r="G25" s="6">
        <v>5615260.3854873888</v>
      </c>
      <c r="H25" s="6">
        <v>11614861.95200116</v>
      </c>
    </row>
    <row r="26" spans="1:8" x14ac:dyDescent="0.2">
      <c r="A26">
        <v>23</v>
      </c>
      <c r="B26" t="s">
        <v>67</v>
      </c>
      <c r="C26" t="s">
        <v>34</v>
      </c>
      <c r="D26" s="6">
        <v>90833.348208268217</v>
      </c>
      <c r="E26" s="6">
        <v>234772.673444513</v>
      </c>
      <c r="F26" s="6">
        <v>356363.23334815091</v>
      </c>
      <c r="G26" s="6">
        <v>1502345.9626310279</v>
      </c>
      <c r="H26" s="6">
        <v>1673446.7823680399</v>
      </c>
    </row>
    <row r="27" spans="1:8" x14ac:dyDescent="0.2">
      <c r="A27">
        <v>24</v>
      </c>
      <c r="B27" t="s">
        <v>68</v>
      </c>
      <c r="C27" t="s">
        <v>34</v>
      </c>
      <c r="D27" s="6">
        <v>536568.98516806681</v>
      </c>
      <c r="E27" s="6">
        <v>1560987.226595755</v>
      </c>
      <c r="F27" s="6">
        <v>2338961.8758077342</v>
      </c>
      <c r="G27" s="6">
        <v>4418796.4343554666</v>
      </c>
      <c r="H27" s="6">
        <v>25870709.478072971</v>
      </c>
    </row>
    <row r="28" spans="1:8" x14ac:dyDescent="0.2">
      <c r="A28">
        <v>25</v>
      </c>
      <c r="B28" t="s">
        <v>69</v>
      </c>
      <c r="C28" t="s">
        <v>34</v>
      </c>
      <c r="D28" s="6">
        <v>15010.365485412891</v>
      </c>
      <c r="E28" s="6">
        <v>43654.879578045162</v>
      </c>
      <c r="F28" s="6">
        <v>65402.306757870443</v>
      </c>
      <c r="G28" s="6">
        <v>123539.46860062639</v>
      </c>
      <c r="H28" s="6">
        <v>723265.9795780452</v>
      </c>
    </row>
    <row r="29" spans="1:8" x14ac:dyDescent="0.2">
      <c r="A29">
        <v>26</v>
      </c>
      <c r="B29" t="s">
        <v>70</v>
      </c>
      <c r="C29" t="s">
        <v>34</v>
      </c>
      <c r="D29" s="6">
        <v>1298673.801488949</v>
      </c>
      <c r="E29" s="6">
        <v>1780024.442898026</v>
      </c>
      <c r="F29" s="6">
        <v>2198572.64837032</v>
      </c>
      <c r="G29" s="6">
        <v>3006400.9463344971</v>
      </c>
      <c r="H29" s="6">
        <v>6109703.1609082082</v>
      </c>
    </row>
    <row r="30" spans="1:8" x14ac:dyDescent="0.2">
      <c r="A30">
        <v>27</v>
      </c>
      <c r="B30" t="s">
        <v>71</v>
      </c>
      <c r="C30" t="s">
        <v>34</v>
      </c>
      <c r="D30" s="6">
        <v>534484.74707621988</v>
      </c>
      <c r="E30" s="6">
        <v>732590.48627574032</v>
      </c>
      <c r="F30" s="6">
        <v>904848.54873445281</v>
      </c>
      <c r="G30" s="6">
        <v>1237319.534664239</v>
      </c>
      <c r="H30" s="6">
        <v>2514520.6832493478</v>
      </c>
    </row>
    <row r="31" spans="1:8" x14ac:dyDescent="0.2">
      <c r="A31">
        <v>28</v>
      </c>
      <c r="B31" t="s">
        <v>72</v>
      </c>
      <c r="C31" t="s">
        <v>35</v>
      </c>
      <c r="D31" s="6">
        <v>265458.14287982852</v>
      </c>
      <c r="E31" s="6">
        <v>363849.271541283</v>
      </c>
      <c r="F31" s="6">
        <v>449403.23951768642</v>
      </c>
      <c r="G31" s="6">
        <v>614528.3850680691</v>
      </c>
      <c r="H31" s="6">
        <v>1248863.960993133</v>
      </c>
    </row>
    <row r="32" spans="1:8" x14ac:dyDescent="0.2">
      <c r="A32">
        <v>29</v>
      </c>
      <c r="B32" t="s">
        <v>73</v>
      </c>
      <c r="C32" t="s">
        <v>31</v>
      </c>
      <c r="D32" s="6">
        <v>8776156.4965341985</v>
      </c>
      <c r="E32" s="6">
        <v>11847656.967977799</v>
      </c>
      <c r="F32" s="6">
        <v>14638049.12805189</v>
      </c>
      <c r="G32" s="6">
        <v>19104636.207140941</v>
      </c>
      <c r="H32" s="6">
        <v>34686362.200295173</v>
      </c>
    </row>
    <row r="33" spans="1:8" x14ac:dyDescent="0.2">
      <c r="A33">
        <v>30</v>
      </c>
      <c r="B33" t="s">
        <v>74</v>
      </c>
      <c r="C33" t="s">
        <v>31</v>
      </c>
      <c r="D33" s="6">
        <v>1455992.1862379089</v>
      </c>
      <c r="E33" s="6">
        <v>1965427.3932595779</v>
      </c>
      <c r="F33" s="6">
        <v>2310528.5550773842</v>
      </c>
      <c r="G33" s="6">
        <v>2899684.4596602158</v>
      </c>
      <c r="H33" s="6">
        <v>4307688.4057649132</v>
      </c>
    </row>
    <row r="34" spans="1:8" x14ac:dyDescent="0.2">
      <c r="A34">
        <v>31</v>
      </c>
      <c r="B34" t="s">
        <v>75</v>
      </c>
      <c r="C34" t="s">
        <v>35</v>
      </c>
      <c r="D34" s="6">
        <v>1039633.532940779</v>
      </c>
      <c r="E34" s="6">
        <v>1399102.3109156841</v>
      </c>
      <c r="F34" s="6">
        <v>2312112.6442880509</v>
      </c>
      <c r="G34" s="6">
        <v>4390694.5081088692</v>
      </c>
      <c r="H34" s="6">
        <v>14583573.003746619</v>
      </c>
    </row>
    <row r="35" spans="1:8" x14ac:dyDescent="0.2">
      <c r="A35">
        <v>32</v>
      </c>
      <c r="B35" t="s">
        <v>76</v>
      </c>
      <c r="C35" t="s">
        <v>35</v>
      </c>
      <c r="D35" s="6">
        <v>2907530.8047028752</v>
      </c>
      <c r="E35" s="6">
        <v>7714447.0576469107</v>
      </c>
      <c r="F35" s="6">
        <v>16638362.63129534</v>
      </c>
      <c r="G35" s="6">
        <v>39734528.087341949</v>
      </c>
      <c r="H35" s="6">
        <v>309787929.4190129</v>
      </c>
    </row>
    <row r="36" spans="1:8" x14ac:dyDescent="0.2">
      <c r="A36">
        <v>33</v>
      </c>
      <c r="B36" t="s">
        <v>77</v>
      </c>
      <c r="C36" t="s">
        <v>35</v>
      </c>
      <c r="D36" s="6">
        <v>13033341.4922044</v>
      </c>
      <c r="E36" s="6">
        <v>18933226.0156064</v>
      </c>
      <c r="F36" s="6">
        <v>25816754.475030862</v>
      </c>
      <c r="G36" s="6">
        <v>34656257.760134518</v>
      </c>
      <c r="H36" s="6">
        <v>57846846.257023834</v>
      </c>
    </row>
    <row r="37" spans="1:8" x14ac:dyDescent="0.2">
      <c r="A37">
        <v>34</v>
      </c>
      <c r="B37" t="s">
        <v>78</v>
      </c>
      <c r="C37" t="s">
        <v>35</v>
      </c>
      <c r="D37" s="6">
        <v>2187118.986136036</v>
      </c>
      <c r="E37" s="6">
        <v>3177175.9481533999</v>
      </c>
      <c r="F37" s="6">
        <v>4332297.9181248331</v>
      </c>
      <c r="G37" s="6">
        <v>5815650.6635271125</v>
      </c>
      <c r="H37" s="6">
        <v>9707252.4840586204</v>
      </c>
    </row>
    <row r="38" spans="1:8" x14ac:dyDescent="0.2">
      <c r="A38">
        <v>35</v>
      </c>
      <c r="B38" t="s">
        <v>79</v>
      </c>
      <c r="C38" t="s">
        <v>35</v>
      </c>
      <c r="D38" s="6">
        <v>7482173.3138048453</v>
      </c>
      <c r="E38" s="6">
        <v>10840407.98852375</v>
      </c>
      <c r="F38" s="6">
        <v>13274754.602449721</v>
      </c>
      <c r="G38" s="6">
        <v>17334235.77259751</v>
      </c>
      <c r="H38" s="6">
        <v>35855132.322624177</v>
      </c>
    </row>
    <row r="39" spans="1:8" x14ac:dyDescent="0.2">
      <c r="A39">
        <v>36</v>
      </c>
      <c r="B39" t="s">
        <v>80</v>
      </c>
      <c r="C39" t="s">
        <v>35</v>
      </c>
      <c r="D39" s="6">
        <v>158685.6281692989</v>
      </c>
      <c r="E39" s="6">
        <v>258826.7491690171</v>
      </c>
      <c r="F39" s="6">
        <v>364752.3478752654</v>
      </c>
      <c r="G39" s="6">
        <v>528480.33493344614</v>
      </c>
      <c r="H39" s="6">
        <v>1041820.939852972</v>
      </c>
    </row>
    <row r="40" spans="1:8" x14ac:dyDescent="0.2">
      <c r="A40">
        <v>37</v>
      </c>
      <c r="B40" t="s">
        <v>81</v>
      </c>
      <c r="C40" t="s">
        <v>35</v>
      </c>
      <c r="D40" s="6">
        <v>127740.98842146729</v>
      </c>
      <c r="E40" s="6">
        <v>208353.95761029291</v>
      </c>
      <c r="F40" s="6">
        <v>293623.22517430398</v>
      </c>
      <c r="G40" s="6">
        <v>425423.33375324158</v>
      </c>
      <c r="H40" s="6">
        <v>838659.49504069414</v>
      </c>
    </row>
    <row r="41" spans="1:8" x14ac:dyDescent="0.2">
      <c r="A41">
        <v>38</v>
      </c>
      <c r="B41" t="s">
        <v>82</v>
      </c>
      <c r="C41" t="s">
        <v>35</v>
      </c>
      <c r="D41" s="6">
        <v>238861.6270654097</v>
      </c>
      <c r="E41" s="6">
        <v>389599.03109649278</v>
      </c>
      <c r="F41" s="6">
        <v>549043.20199812204</v>
      </c>
      <c r="G41" s="6">
        <v>795494.93821525027</v>
      </c>
      <c r="H41" s="6">
        <v>1568201.201624725</v>
      </c>
    </row>
    <row r="42" spans="1:8" x14ac:dyDescent="0.2">
      <c r="A42">
        <v>39</v>
      </c>
      <c r="B42" t="s">
        <v>83</v>
      </c>
      <c r="C42" t="s">
        <v>35</v>
      </c>
      <c r="D42" s="6">
        <v>5820410.1491838349</v>
      </c>
      <c r="E42" s="6">
        <v>9493462.5414661281</v>
      </c>
      <c r="F42" s="6">
        <v>13378675.201243989</v>
      </c>
      <c r="G42" s="6">
        <v>19384026.522803579</v>
      </c>
      <c r="H42" s="6">
        <v>38212735.585302457</v>
      </c>
    </row>
    <row r="43" spans="1:8" x14ac:dyDescent="0.2">
      <c r="A43">
        <v>40</v>
      </c>
      <c r="B43" t="s">
        <v>84</v>
      </c>
      <c r="C43" t="s">
        <v>35</v>
      </c>
      <c r="D43" s="6">
        <v>1699454.3010246831</v>
      </c>
      <c r="E43" s="6">
        <v>3657597.7289178218</v>
      </c>
      <c r="F43" s="6">
        <v>5509347.5545339109</v>
      </c>
      <c r="G43" s="6">
        <v>8115378.272271568</v>
      </c>
      <c r="H43" s="6">
        <v>16503622.143252021</v>
      </c>
    </row>
    <row r="44" spans="1:8" x14ac:dyDescent="0.2">
      <c r="A44">
        <v>41</v>
      </c>
      <c r="B44" t="s">
        <v>85</v>
      </c>
      <c r="C44" t="s">
        <v>35</v>
      </c>
      <c r="D44" s="6">
        <v>341879.04393748351</v>
      </c>
      <c r="E44" s="6">
        <v>735798.96866576956</v>
      </c>
      <c r="F44" s="6">
        <v>1108315.5520479099</v>
      </c>
      <c r="G44" s="6">
        <v>1632571.2172222361</v>
      </c>
      <c r="H44" s="6">
        <v>3320034.1285135662</v>
      </c>
    </row>
    <row r="45" spans="1:8" x14ac:dyDescent="0.2">
      <c r="A45">
        <v>42</v>
      </c>
      <c r="B45" t="s">
        <v>86</v>
      </c>
      <c r="C45" t="s">
        <v>35</v>
      </c>
      <c r="D45" s="6">
        <v>28858.354834404989</v>
      </c>
      <c r="E45" s="6">
        <v>62109.111030542314</v>
      </c>
      <c r="F45" s="6">
        <v>93553.005123912939</v>
      </c>
      <c r="G45" s="6">
        <v>137805.16287311981</v>
      </c>
      <c r="H45" s="6">
        <v>280243.36613801977</v>
      </c>
    </row>
    <row r="46" spans="1:8" x14ac:dyDescent="0.2">
      <c r="A46">
        <v>43</v>
      </c>
      <c r="B46" t="s">
        <v>87</v>
      </c>
      <c r="C46" t="s">
        <v>32</v>
      </c>
      <c r="D46" s="6">
        <v>24274321.007418729</v>
      </c>
      <c r="E46" s="6">
        <v>33466176.235897601</v>
      </c>
      <c r="F46" s="6">
        <v>41096103.665931322</v>
      </c>
      <c r="G46" s="6">
        <v>52240270.128817901</v>
      </c>
      <c r="H46" s="6">
        <v>123040060.9619344</v>
      </c>
    </row>
    <row r="47" spans="1:8" x14ac:dyDescent="0.2">
      <c r="A47">
        <v>44</v>
      </c>
      <c r="B47" t="s">
        <v>88</v>
      </c>
      <c r="C47" t="s">
        <v>35</v>
      </c>
      <c r="D47" s="6">
        <v>364012.43069063581</v>
      </c>
      <c r="E47" s="6">
        <v>625134.05782690516</v>
      </c>
      <c r="F47" s="6">
        <v>930519.19811494939</v>
      </c>
      <c r="G47" s="6">
        <v>1364458.626428111</v>
      </c>
      <c r="H47" s="6">
        <v>3137481.6869393992</v>
      </c>
    </row>
    <row r="48" spans="1:8" x14ac:dyDescent="0.2">
      <c r="A48">
        <v>45</v>
      </c>
      <c r="B48" t="s">
        <v>89</v>
      </c>
      <c r="C48" t="s">
        <v>35</v>
      </c>
      <c r="D48" s="6">
        <v>164158.7776962379</v>
      </c>
      <c r="E48" s="6">
        <v>281917.98129956238</v>
      </c>
      <c r="F48" s="6">
        <v>419637.82426176663</v>
      </c>
      <c r="G48" s="6">
        <v>615332.2752807861</v>
      </c>
      <c r="H48" s="6">
        <v>1414915.1414616471</v>
      </c>
    </row>
    <row r="49" spans="1:8" x14ac:dyDescent="0.2">
      <c r="A49">
        <v>46</v>
      </c>
      <c r="B49" t="s">
        <v>90</v>
      </c>
      <c r="C49" t="s">
        <v>35</v>
      </c>
      <c r="D49" s="6">
        <v>438145.79382699879</v>
      </c>
      <c r="E49" s="6">
        <v>752447.67714774783</v>
      </c>
      <c r="F49" s="6">
        <v>1120024.0962374341</v>
      </c>
      <c r="G49" s="6">
        <v>1642337.9653301251</v>
      </c>
      <c r="H49" s="6">
        <v>3776447.4674576949</v>
      </c>
    </row>
    <row r="50" spans="1:8" x14ac:dyDescent="0.2">
      <c r="A50">
        <v>47</v>
      </c>
      <c r="B50" t="s">
        <v>91</v>
      </c>
      <c r="C50" t="s">
        <v>35</v>
      </c>
      <c r="D50" s="6">
        <v>45715.978420580723</v>
      </c>
      <c r="E50" s="6">
        <v>78509.928229794736</v>
      </c>
      <c r="F50" s="6">
        <v>116862.8441082952</v>
      </c>
      <c r="G50" s="6">
        <v>171360.98825178909</v>
      </c>
      <c r="H50" s="6">
        <v>394033.26098954031</v>
      </c>
    </row>
    <row r="51" spans="1:8" x14ac:dyDescent="0.2">
      <c r="A51">
        <v>48</v>
      </c>
      <c r="B51" t="s">
        <v>92</v>
      </c>
      <c r="C51" t="s">
        <v>35</v>
      </c>
      <c r="D51" s="6">
        <v>321396.38447008783</v>
      </c>
      <c r="E51" s="6">
        <v>551948.50378304871</v>
      </c>
      <c r="F51" s="6">
        <v>821579.82474484493</v>
      </c>
      <c r="G51" s="6">
        <v>1204717.6772161431</v>
      </c>
      <c r="H51" s="6">
        <v>2770166.6097858748</v>
      </c>
    </row>
    <row r="52" spans="1:8" x14ac:dyDescent="0.2">
      <c r="A52">
        <v>49</v>
      </c>
      <c r="B52" t="s">
        <v>93</v>
      </c>
      <c r="C52" t="s">
        <v>35</v>
      </c>
      <c r="D52" s="6">
        <v>280380.81799639331</v>
      </c>
      <c r="E52" s="6">
        <v>481511.50540833262</v>
      </c>
      <c r="F52" s="6">
        <v>716733.62800561532</v>
      </c>
      <c r="G52" s="6">
        <v>1050977.1575585341</v>
      </c>
      <c r="H52" s="6">
        <v>2416651.8910311251</v>
      </c>
    </row>
    <row r="53" spans="1:8" x14ac:dyDescent="0.2">
      <c r="A53">
        <v>50</v>
      </c>
      <c r="B53" t="s">
        <v>94</v>
      </c>
      <c r="C53" t="s">
        <v>35</v>
      </c>
      <c r="D53" s="6">
        <v>5569.1428067702682</v>
      </c>
      <c r="E53" s="6">
        <v>9565.568302537713</v>
      </c>
      <c r="F53" s="6">
        <v>14238.83675064313</v>
      </c>
      <c r="G53" s="6">
        <v>20879.797176898199</v>
      </c>
      <c r="H53" s="6">
        <v>48012.761470489117</v>
      </c>
    </row>
    <row r="54" spans="1:8" x14ac:dyDescent="0.2">
      <c r="A54">
        <v>51</v>
      </c>
      <c r="B54" t="s">
        <v>95</v>
      </c>
      <c r="C54" t="s">
        <v>35</v>
      </c>
      <c r="D54" s="6">
        <v>116371.4901484889</v>
      </c>
      <c r="E54" s="6">
        <v>199850.37869880031</v>
      </c>
      <c r="F54" s="6">
        <v>297479.4711219258</v>
      </c>
      <c r="G54" s="6">
        <v>436207.01821336738</v>
      </c>
      <c r="H54" s="6">
        <v>1003028.641817418</v>
      </c>
    </row>
    <row r="55" spans="1:8" x14ac:dyDescent="0.2">
      <c r="A55">
        <v>52</v>
      </c>
      <c r="B55" t="s">
        <v>96</v>
      </c>
      <c r="C55" t="s">
        <v>35</v>
      </c>
      <c r="D55" s="6">
        <v>66322.350839980107</v>
      </c>
      <c r="E55" s="6">
        <v>113897.3962202262</v>
      </c>
      <c r="F55" s="6">
        <v>169538.06841204659</v>
      </c>
      <c r="G55" s="6">
        <v>248601.67905270579</v>
      </c>
      <c r="H55" s="6">
        <v>571642.50547504122</v>
      </c>
    </row>
    <row r="56" spans="1:8" x14ac:dyDescent="0.2">
      <c r="A56">
        <v>53</v>
      </c>
      <c r="B56" t="s">
        <v>97</v>
      </c>
      <c r="C56" t="s">
        <v>35</v>
      </c>
      <c r="D56" s="6">
        <v>791158.93036679586</v>
      </c>
      <c r="E56" s="6">
        <v>1358692.414713586</v>
      </c>
      <c r="F56" s="6">
        <v>2022425.5323286271</v>
      </c>
      <c r="G56" s="6">
        <v>2965566.6061092201</v>
      </c>
      <c r="H56" s="6">
        <v>6819121.5164817711</v>
      </c>
    </row>
    <row r="57" spans="1:8" x14ac:dyDescent="0.2">
      <c r="A57">
        <v>54</v>
      </c>
      <c r="B57" t="s">
        <v>98</v>
      </c>
      <c r="C57" t="s">
        <v>35</v>
      </c>
      <c r="D57" s="6">
        <v>110179.7935538688</v>
      </c>
      <c r="E57" s="6">
        <v>189217.73135328351</v>
      </c>
      <c r="F57" s="6">
        <v>281651.88643254712</v>
      </c>
      <c r="G57" s="6">
        <v>412998.01030654402</v>
      </c>
      <c r="H57" s="6">
        <v>949661.57835375669</v>
      </c>
    </row>
    <row r="58" spans="1:8" x14ac:dyDescent="0.2">
      <c r="A58">
        <v>55</v>
      </c>
      <c r="B58" t="s">
        <v>99</v>
      </c>
      <c r="C58" t="s">
        <v>35</v>
      </c>
      <c r="D58" s="6">
        <v>76841.480844108664</v>
      </c>
      <c r="E58" s="6">
        <v>131963.99881661721</v>
      </c>
      <c r="F58" s="6">
        <v>196428.8177581029</v>
      </c>
      <c r="G58" s="6">
        <v>288032.74597753648</v>
      </c>
      <c r="H58" s="6">
        <v>662311.95660363464</v>
      </c>
    </row>
    <row r="59" spans="1:8" x14ac:dyDescent="0.2">
      <c r="A59">
        <v>56</v>
      </c>
      <c r="B59" t="s">
        <v>100</v>
      </c>
      <c r="C59" t="s">
        <v>35</v>
      </c>
      <c r="D59" s="6">
        <v>441324.03447176318</v>
      </c>
      <c r="E59" s="6">
        <v>757899.58811685315</v>
      </c>
      <c r="F59" s="6">
        <v>1128137.022352366</v>
      </c>
      <c r="G59" s="6">
        <v>1654226.272995485</v>
      </c>
      <c r="H59" s="6">
        <v>3803776.082063532</v>
      </c>
    </row>
    <row r="60" spans="1:8" x14ac:dyDescent="0.2">
      <c r="A60">
        <v>57</v>
      </c>
      <c r="B60" t="s">
        <v>101</v>
      </c>
      <c r="C60" t="s">
        <v>33</v>
      </c>
      <c r="D60" s="6">
        <v>3049594.2107018712</v>
      </c>
      <c r="E60" s="6">
        <v>4689898.119464525</v>
      </c>
      <c r="F60" s="6">
        <v>5617396.7544407081</v>
      </c>
      <c r="G60" s="6">
        <v>9324198.7787628714</v>
      </c>
      <c r="H60" s="6">
        <v>26262918.136630021</v>
      </c>
    </row>
    <row r="61" spans="1:8" x14ac:dyDescent="0.2">
      <c r="A61">
        <v>58</v>
      </c>
      <c r="B61" t="s">
        <v>102</v>
      </c>
      <c r="C61" t="s">
        <v>33</v>
      </c>
      <c r="D61" s="6">
        <v>4040308.9476586538</v>
      </c>
      <c r="E61" s="6">
        <v>7986942.1210538177</v>
      </c>
      <c r="F61" s="6">
        <v>11430696.7217703</v>
      </c>
      <c r="G61" s="6">
        <v>14994028.90847647</v>
      </c>
      <c r="H61" s="6">
        <v>36922658.934075028</v>
      </c>
    </row>
    <row r="62" spans="1:8" x14ac:dyDescent="0.2">
      <c r="A62">
        <v>59</v>
      </c>
      <c r="B62" t="s">
        <v>103</v>
      </c>
      <c r="C62" t="s">
        <v>33</v>
      </c>
      <c r="D62" s="6">
        <v>8777472.6572384294</v>
      </c>
      <c r="E62" s="6">
        <v>12848017.03273108</v>
      </c>
      <c r="F62" s="6">
        <v>16423670.541651919</v>
      </c>
      <c r="G62" s="6">
        <v>27139814.879327551</v>
      </c>
      <c r="H62" s="6">
        <v>62325070.146961093</v>
      </c>
    </row>
    <row r="63" spans="1:8" x14ac:dyDescent="0.2">
      <c r="A63">
        <v>60</v>
      </c>
      <c r="B63" t="s">
        <v>104</v>
      </c>
      <c r="C63" t="s">
        <v>35</v>
      </c>
      <c r="D63" s="6">
        <v>7856.6306231460958</v>
      </c>
      <c r="E63" s="6">
        <v>11690.443860685809</v>
      </c>
      <c r="F63" s="6">
        <v>14698.70720733897</v>
      </c>
      <c r="G63" s="6">
        <v>19217.739496732451</v>
      </c>
      <c r="H63" s="6">
        <v>54580.47881209667</v>
      </c>
    </row>
    <row r="64" spans="1:8" x14ac:dyDescent="0.2">
      <c r="A64">
        <v>61</v>
      </c>
      <c r="B64" t="s">
        <v>105</v>
      </c>
      <c r="C64" t="s">
        <v>33</v>
      </c>
      <c r="D64" s="6">
        <v>244.71525042205971</v>
      </c>
      <c r="E64" s="6">
        <v>364.85968861376858</v>
      </c>
      <c r="F64" s="6">
        <v>458.44588257362591</v>
      </c>
      <c r="G64" s="6">
        <v>599.45751266178956</v>
      </c>
      <c r="H64" s="6">
        <v>1703.521665728756</v>
      </c>
    </row>
    <row r="65" spans="1:8" x14ac:dyDescent="0.2">
      <c r="A65">
        <v>62</v>
      </c>
      <c r="B65" t="s">
        <v>106</v>
      </c>
      <c r="C65" t="s">
        <v>35</v>
      </c>
      <c r="D65" s="6">
        <v>9653.7213490208014</v>
      </c>
      <c r="E65" s="6">
        <v>14364.272127759859</v>
      </c>
      <c r="F65" s="6">
        <v>18060.904032492301</v>
      </c>
      <c r="G65" s="6">
        <v>23613.43731757603</v>
      </c>
      <c r="H65" s="6">
        <v>67064.665173151006</v>
      </c>
    </row>
    <row r="66" spans="1:8" x14ac:dyDescent="0.2">
      <c r="A66">
        <v>63</v>
      </c>
      <c r="B66" t="s">
        <v>107</v>
      </c>
      <c r="C66" t="s">
        <v>35</v>
      </c>
      <c r="D66" s="6">
        <v>1527263.1279780311</v>
      </c>
      <c r="E66" s="6">
        <v>2272547.3523893808</v>
      </c>
      <c r="F66" s="6">
        <v>2857325.9363962221</v>
      </c>
      <c r="G66" s="6">
        <v>3735728.9574181051</v>
      </c>
      <c r="H66" s="6">
        <v>10609804.62581826</v>
      </c>
    </row>
    <row r="67" spans="1:8" x14ac:dyDescent="0.2">
      <c r="A67">
        <v>64</v>
      </c>
      <c r="B67" t="s">
        <v>108</v>
      </c>
      <c r="C67" t="s">
        <v>35</v>
      </c>
      <c r="D67" s="6">
        <v>926270.5738611765</v>
      </c>
      <c r="E67" s="6">
        <v>1378278.5245335081</v>
      </c>
      <c r="F67" s="6">
        <v>1732941.6703750589</v>
      </c>
      <c r="G67" s="6">
        <v>2265684.115114056</v>
      </c>
      <c r="H67" s="6">
        <v>6434747.4085799903</v>
      </c>
    </row>
    <row r="68" spans="1:8" x14ac:dyDescent="0.2">
      <c r="A68">
        <v>65</v>
      </c>
      <c r="B68" t="s">
        <v>109</v>
      </c>
      <c r="C68" t="s">
        <v>35</v>
      </c>
      <c r="D68" s="6">
        <v>681995.48428146401</v>
      </c>
      <c r="E68" s="6">
        <v>1014800.817990172</v>
      </c>
      <c r="F68" s="6">
        <v>1275932.290019016</v>
      </c>
      <c r="G68" s="6">
        <v>1668180.8575956591</v>
      </c>
      <c r="H68" s="6">
        <v>4737783.5501136901</v>
      </c>
    </row>
    <row r="69" spans="1:8" x14ac:dyDescent="0.2">
      <c r="A69">
        <v>66</v>
      </c>
      <c r="B69" t="s">
        <v>110</v>
      </c>
      <c r="C69" t="s">
        <v>35</v>
      </c>
      <c r="D69" s="6">
        <v>805579.93594107754</v>
      </c>
      <c r="E69" s="6">
        <v>1198692.411425974</v>
      </c>
      <c r="F69" s="6">
        <v>1507143.334660582</v>
      </c>
      <c r="G69" s="6">
        <v>1970471.2174269471</v>
      </c>
      <c r="H69" s="6">
        <v>5596315.0433869176</v>
      </c>
    </row>
    <row r="70" spans="1:8" x14ac:dyDescent="0.2">
      <c r="A70">
        <v>67</v>
      </c>
      <c r="B70" t="s">
        <v>111</v>
      </c>
      <c r="C70" t="s">
        <v>35</v>
      </c>
      <c r="D70" s="6">
        <v>125885.3063008421</v>
      </c>
      <c r="E70" s="6">
        <v>187311.72193758591</v>
      </c>
      <c r="F70" s="6">
        <v>235510.79543674321</v>
      </c>
      <c r="G70" s="6">
        <v>307910.31231427088</v>
      </c>
      <c r="H70" s="6">
        <v>874485.86401055788</v>
      </c>
    </row>
    <row r="72" spans="1:8" x14ac:dyDescent="0.2">
      <c r="B72" s="2" t="s">
        <v>112</v>
      </c>
      <c r="D72" s="6">
        <v>20328.917799999999</v>
      </c>
      <c r="E72" s="6">
        <v>20328.917799999999</v>
      </c>
      <c r="F72" s="6">
        <v>20328.917799999999</v>
      </c>
      <c r="G72" s="6">
        <v>20328.917799999999</v>
      </c>
      <c r="H72" s="6">
        <v>20328.917799999999</v>
      </c>
    </row>
    <row r="73" spans="1:8" x14ac:dyDescent="0.2">
      <c r="B73" s="2" t="s">
        <v>113</v>
      </c>
      <c r="D73" s="7">
        <f>SUM(D4:D70)</f>
        <v>210723234.01233104</v>
      </c>
      <c r="E73" s="7">
        <f>SUM(E4:E70)</f>
        <v>305210232.22971833</v>
      </c>
      <c r="F73" s="7">
        <f>SUM(F4:F70)</f>
        <v>387820239.80992258</v>
      </c>
      <c r="G73" s="7">
        <f>SUM(G4:G70)</f>
        <v>535799894.3987819</v>
      </c>
      <c r="H73" s="7">
        <f>SUM(H4:H70)</f>
        <v>1280405820.6923895</v>
      </c>
    </row>
    <row r="74" spans="1:8" x14ac:dyDescent="0.2">
      <c r="B74" s="2" t="s">
        <v>114</v>
      </c>
      <c r="D74" s="8">
        <f>D73/D72</f>
        <v>10365.688724085994</v>
      </c>
      <c r="E74" s="8">
        <f>E73/E72</f>
        <v>15013.599603896197</v>
      </c>
      <c r="F74" s="8">
        <f>F73/F72</f>
        <v>19077.269317795293</v>
      </c>
      <c r="G74" s="8">
        <f>G73/G72</f>
        <v>26356.537995287774</v>
      </c>
      <c r="H74" s="8">
        <f>H73/H72</f>
        <v>62984.4556060131</v>
      </c>
    </row>
    <row r="76" spans="1:8" x14ac:dyDescent="0.2">
      <c r="A76" t="s">
        <v>142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7"/>
  <sheetViews>
    <sheetView zoomScale="125" workbookViewId="0">
      <selection activeCell="C26" sqref="C26"/>
    </sheetView>
  </sheetViews>
  <sheetFormatPr baseColWidth="10" defaultColWidth="8.83203125" defaultRowHeight="15" x14ac:dyDescent="0.2"/>
  <cols>
    <col min="1" max="1" width="6.5" customWidth="1"/>
    <col min="2" max="2" width="46.33203125" customWidth="1"/>
    <col min="3" max="7" width="12" customWidth="1"/>
  </cols>
  <sheetData>
    <row r="1" spans="1:7" ht="17" x14ac:dyDescent="0.2">
      <c r="A1" s="1" t="s">
        <v>144</v>
      </c>
    </row>
    <row r="3" spans="1:7" x14ac:dyDescent="0.2">
      <c r="A3" s="2" t="s">
        <v>115</v>
      </c>
      <c r="B3" s="2" t="s">
        <v>145</v>
      </c>
    </row>
    <row r="4" spans="1:7" x14ac:dyDescent="0.2">
      <c r="C4" s="3" t="s">
        <v>40</v>
      </c>
      <c r="D4" s="3" t="s">
        <v>41</v>
      </c>
      <c r="E4" s="3" t="s">
        <v>42</v>
      </c>
      <c r="F4" s="3" t="s">
        <v>43</v>
      </c>
      <c r="G4" s="3" t="s">
        <v>44</v>
      </c>
    </row>
    <row r="5" spans="1:7" x14ac:dyDescent="0.2">
      <c r="B5" t="s">
        <v>116</v>
      </c>
      <c r="C5" s="8">
        <f>'2_Egypt_CQ Mapping'!D74</f>
        <v>10365.688724085994</v>
      </c>
      <c r="D5" s="8">
        <f>'2_Egypt_CQ Mapping'!E74</f>
        <v>15013.599603896197</v>
      </c>
      <c r="E5" s="8">
        <f>'2_Egypt_CQ Mapping'!F74</f>
        <v>19077.269317795293</v>
      </c>
      <c r="F5" s="8">
        <f>'2_Egypt_CQ Mapping'!G74</f>
        <v>26356.537995287774</v>
      </c>
      <c r="G5" s="8">
        <f>'2_Egypt_CQ Mapping'!H74</f>
        <v>62984.4556060131</v>
      </c>
    </row>
    <row r="6" spans="1:7" x14ac:dyDescent="0.2">
      <c r="B6" t="s">
        <v>146</v>
      </c>
      <c r="C6" s="9">
        <v>17</v>
      </c>
      <c r="D6" s="9">
        <v>17</v>
      </c>
      <c r="E6" s="9">
        <v>17</v>
      </c>
      <c r="F6" s="9">
        <v>17</v>
      </c>
      <c r="G6" s="9">
        <v>17</v>
      </c>
    </row>
    <row r="7" spans="1:7" x14ac:dyDescent="0.2">
      <c r="B7" t="s">
        <v>117</v>
      </c>
      <c r="C7" s="8">
        <f>C5/$C$6</f>
        <v>609.74639553447025</v>
      </c>
      <c r="D7" s="8">
        <f>D5/$C$6</f>
        <v>883.15291787624687</v>
      </c>
      <c r="E7" s="8">
        <f>E5/$C$6</f>
        <v>1122.1923128114879</v>
      </c>
      <c r="F7" s="8">
        <f>F5/$C$6</f>
        <v>1550.3845879581042</v>
      </c>
      <c r="G7" s="8">
        <f>G5/$C$6</f>
        <v>3704.9679768243</v>
      </c>
    </row>
    <row r="8" spans="1:7" x14ac:dyDescent="0.2">
      <c r="B8" t="s">
        <v>143</v>
      </c>
      <c r="C8" s="10">
        <f>-36*C7^(-0.36)</f>
        <v>-3.5780695144851618</v>
      </c>
      <c r="D8" s="10">
        <f>-36*D7^(-0.36)</f>
        <v>-3.1313352995789119</v>
      </c>
      <c r="E8" s="10">
        <f>-36*E7^(-0.36)</f>
        <v>-2.8726206399720597</v>
      </c>
      <c r="F8" s="10">
        <f>-36*F7^(-0.36)</f>
        <v>-2.5570799177350656</v>
      </c>
      <c r="G8" s="10">
        <f>-36*G7^(-0.36)</f>
        <v>-1.8687021947973772</v>
      </c>
    </row>
    <row r="9" spans="1:7" x14ac:dyDescent="0.2">
      <c r="B9" s="2" t="s">
        <v>147</v>
      </c>
      <c r="C9" s="11">
        <f>1+1/C8</f>
        <v>0.72051968360265706</v>
      </c>
      <c r="D9" s="11">
        <f>1+1/D8</f>
        <v>0.68064742216061136</v>
      </c>
      <c r="E9" s="11">
        <f>1+1/E8</f>
        <v>0.65188581252771116</v>
      </c>
      <c r="F9" s="11">
        <f>1+1/F8</f>
        <v>0.60892892198467141</v>
      </c>
      <c r="G9" s="11">
        <f>1+1/G8</f>
        <v>0.46486925376120203</v>
      </c>
    </row>
    <row r="12" spans="1:7" x14ac:dyDescent="0.2">
      <c r="A12" s="2" t="s">
        <v>118</v>
      </c>
      <c r="B12" s="2" t="s">
        <v>119</v>
      </c>
    </row>
    <row r="13" spans="1:7" x14ac:dyDescent="0.2">
      <c r="C13" s="3" t="s">
        <v>40</v>
      </c>
      <c r="D13" s="3" t="s">
        <v>41</v>
      </c>
      <c r="E13" s="3" t="s">
        <v>42</v>
      </c>
      <c r="F13" s="3" t="s">
        <v>43</v>
      </c>
      <c r="G13" s="3" t="s">
        <v>44</v>
      </c>
    </row>
    <row r="14" spans="1:7" x14ac:dyDescent="0.2">
      <c r="B14" t="s">
        <v>25</v>
      </c>
      <c r="C14" s="12">
        <f>('1_Rwanda_LES_Step4'!C4*'1_Rwanda_LES_Step4'!C5+'1_Rwanda_LES_Step4'!H4*'1_Rwanda_LES_Step4'!H5+'1_Rwanda_LES_Step4'!M4*'1_Rwanda_LES_Step4'!M5)/('1_Rwanda_LES_Step4'!C4+'1_Rwanda_LES_Step4'!H4+'1_Rwanda_LES_Step4'!M4)</f>
        <v>90.944310987806773</v>
      </c>
      <c r="D14" s="12">
        <f>('1_Rwanda_LES_Step4'!D4*'1_Rwanda_LES_Step4'!D5+'1_Rwanda_LES_Step4'!I4*'1_Rwanda_LES_Step4'!I5+'1_Rwanda_LES_Step4'!N4*'1_Rwanda_LES_Step4'!N5)/('1_Rwanda_LES_Step4'!D4+'1_Rwanda_LES_Step4'!I4+'1_Rwanda_LES_Step4'!N4)</f>
        <v>89.600909903755195</v>
      </c>
      <c r="E14" s="12">
        <f>('1_Rwanda_LES_Step4'!E4*'1_Rwanda_LES_Step4'!E5+'1_Rwanda_LES_Step4'!J4*'1_Rwanda_LES_Step4'!J5+'1_Rwanda_LES_Step4'!O4*'1_Rwanda_LES_Step4'!O5)/('1_Rwanda_LES_Step4'!E4+'1_Rwanda_LES_Step4'!J4+'1_Rwanda_LES_Step4'!O4)</f>
        <v>88.44069825135341</v>
      </c>
      <c r="F14" s="12">
        <f>('1_Rwanda_LES_Step4'!F4*'1_Rwanda_LES_Step4'!F5+'1_Rwanda_LES_Step4'!K4*'1_Rwanda_LES_Step4'!K5+'1_Rwanda_LES_Step4'!P4*'1_Rwanda_LES_Step4'!P5)/('1_Rwanda_LES_Step4'!F4+'1_Rwanda_LES_Step4'!K4+'1_Rwanda_LES_Step4'!P4)</f>
        <v>86.782958929817354</v>
      </c>
      <c r="G14" s="12">
        <f>('1_Rwanda_LES_Step4'!G4*'1_Rwanda_LES_Step4'!G5+'1_Rwanda_LES_Step4'!L4*'1_Rwanda_LES_Step4'!L5+'1_Rwanda_LES_Step4'!Q4*'1_Rwanda_LES_Step4'!Q5)/('1_Rwanda_LES_Step4'!G4+'1_Rwanda_LES_Step4'!L4+'1_Rwanda_LES_Step4'!Q4)</f>
        <v>77.744120361915932</v>
      </c>
    </row>
    <row r="15" spans="1:7" x14ac:dyDescent="0.2">
      <c r="B15" t="s">
        <v>26</v>
      </c>
      <c r="C15" s="12">
        <f>('1_Rwanda_LES_Step4'!C4*'1_Rwanda_LES_Step4'!C6+'1_Rwanda_LES_Step4'!H4*'1_Rwanda_LES_Step4'!H6+'1_Rwanda_LES_Step4'!M4*'1_Rwanda_LES_Step4'!M6)/('1_Rwanda_LES_Step4'!C4+'1_Rwanda_LES_Step4'!H4+'1_Rwanda_LES_Step4'!M4)</f>
        <v>85.510897580490877</v>
      </c>
      <c r="D15" s="12">
        <f>('1_Rwanda_LES_Step4'!D4*'1_Rwanda_LES_Step4'!D6+'1_Rwanda_LES_Step4'!I4*'1_Rwanda_LES_Step4'!I6+'1_Rwanda_LES_Step4'!N4*'1_Rwanda_LES_Step4'!N6)/('1_Rwanda_LES_Step4'!D4+'1_Rwanda_LES_Step4'!I4+'1_Rwanda_LES_Step4'!N4)</f>
        <v>83.361455846008297</v>
      </c>
      <c r="E15" s="12">
        <f>('1_Rwanda_LES_Step4'!E4*'1_Rwanda_LES_Step4'!E6+'1_Rwanda_LES_Step4'!J4*'1_Rwanda_LES_Step4'!J6+'1_Rwanda_LES_Step4'!O4*'1_Rwanda_LES_Step4'!O6)/('1_Rwanda_LES_Step4'!E4+'1_Rwanda_LES_Step4'!J4+'1_Rwanda_LES_Step4'!O4)</f>
        <v>81.505117202165465</v>
      </c>
      <c r="F15" s="12">
        <f>('1_Rwanda_LES_Step4'!F4*'1_Rwanda_LES_Step4'!F6+'1_Rwanda_LES_Step4'!K4*'1_Rwanda_LES_Step4'!K6+'1_Rwanda_LES_Step4'!P4*'1_Rwanda_LES_Step4'!P6)/('1_Rwanda_LES_Step4'!F4+'1_Rwanda_LES_Step4'!K4+'1_Rwanda_LES_Step4'!P4)</f>
        <v>78.852734287707761</v>
      </c>
      <c r="G15" s="12">
        <f>('1_Rwanda_LES_Step4'!G4*'1_Rwanda_LES_Step4'!G6+'1_Rwanda_LES_Step4'!L4*'1_Rwanda_LES_Step4'!L6+'1_Rwanda_LES_Step4'!Q4*'1_Rwanda_LES_Step4'!Q6)/('1_Rwanda_LES_Step4'!G4+'1_Rwanda_LES_Step4'!L4+'1_Rwanda_LES_Step4'!Q4)</f>
        <v>64.390592579065498</v>
      </c>
    </row>
    <row r="16" spans="1:7" x14ac:dyDescent="0.2">
      <c r="B16" t="s">
        <v>27</v>
      </c>
      <c r="C16" s="12">
        <f>('1_Rwanda_LES_Step4'!C4*'1_Rwanda_LES_Step4'!C7+'1_Rwanda_LES_Step4'!H4*'1_Rwanda_LES_Step4'!H7+'1_Rwanda_LES_Step4'!M4*'1_Rwanda_LES_Step4'!M7)/('1_Rwanda_LES_Step4'!C4+'1_Rwanda_LES_Step4'!H4+'1_Rwanda_LES_Step4'!M4)</f>
        <v>83.699759778052226</v>
      </c>
      <c r="D16" s="12">
        <f>('1_Rwanda_LES_Step4'!D4*'1_Rwanda_LES_Step4'!D7+'1_Rwanda_LES_Step4'!I4*'1_Rwanda_LES_Step4'!I7+'1_Rwanda_LES_Step4'!N4*'1_Rwanda_LES_Step4'!N7)/('1_Rwanda_LES_Step4'!D4+'1_Rwanda_LES_Step4'!I4+'1_Rwanda_LES_Step4'!N4)</f>
        <v>81.281637826759336</v>
      </c>
      <c r="E16" s="12">
        <f>('1_Rwanda_LES_Step4'!E4*'1_Rwanda_LES_Step4'!E7+'1_Rwanda_LES_Step4'!J4*'1_Rwanda_LES_Step4'!J7+'1_Rwanda_LES_Step4'!O4*'1_Rwanda_LES_Step4'!O7)/('1_Rwanda_LES_Step4'!E4+'1_Rwanda_LES_Step4'!J4+'1_Rwanda_LES_Step4'!O4)</f>
        <v>79.193256852436164</v>
      </c>
      <c r="F16" s="12">
        <f>('1_Rwanda_LES_Step4'!F4*'1_Rwanda_LES_Step4'!F7+'1_Rwanda_LES_Step4'!K4*'1_Rwanda_LES_Step4'!K7+'1_Rwanda_LES_Step4'!P4*'1_Rwanda_LES_Step4'!P7)/('1_Rwanda_LES_Step4'!F4+'1_Rwanda_LES_Step4'!K4+'1_Rwanda_LES_Step4'!P4)</f>
        <v>76.209326073671249</v>
      </c>
      <c r="G16" s="12">
        <f>('1_Rwanda_LES_Step4'!G4*'1_Rwanda_LES_Step4'!G7+'1_Rwanda_LES_Step4'!L4*'1_Rwanda_LES_Step4'!L7+'1_Rwanda_LES_Step4'!Q4*'1_Rwanda_LES_Step4'!Q7)/('1_Rwanda_LES_Step4'!G4+'1_Rwanda_LES_Step4'!L4+'1_Rwanda_LES_Step4'!Q4)</f>
        <v>59.939416651448695</v>
      </c>
    </row>
    <row r="17" spans="1:7" x14ac:dyDescent="0.2">
      <c r="B17" t="s">
        <v>28</v>
      </c>
      <c r="C17" s="12">
        <f>('1_Rwanda_LES_Step4'!C4*'1_Rwanda_LES_Step4'!C8+'1_Rwanda_LES_Step4'!H4*'1_Rwanda_LES_Step4'!H8+'1_Rwanda_LES_Step4'!M4*'1_Rwanda_LES_Step4'!M8)/('1_Rwanda_LES_Step4'!C4+'1_Rwanda_LES_Step4'!H4+'1_Rwanda_LES_Step4'!M4)</f>
        <v>85.510897580490877</v>
      </c>
      <c r="D17" s="12">
        <f>('1_Rwanda_LES_Step4'!D4*'1_Rwanda_LES_Step4'!D8+'1_Rwanda_LES_Step4'!I4*'1_Rwanda_LES_Step4'!I8+'1_Rwanda_LES_Step4'!N4*'1_Rwanda_LES_Step4'!N8)/('1_Rwanda_LES_Step4'!D4+'1_Rwanda_LES_Step4'!I4+'1_Rwanda_LES_Step4'!N4)</f>
        <v>83.361455846008297</v>
      </c>
      <c r="E17" s="12">
        <f>('1_Rwanda_LES_Step4'!E4*'1_Rwanda_LES_Step4'!E8+'1_Rwanda_LES_Step4'!J4*'1_Rwanda_LES_Step4'!J8+'1_Rwanda_LES_Step4'!O4*'1_Rwanda_LES_Step4'!O8)/('1_Rwanda_LES_Step4'!E4+'1_Rwanda_LES_Step4'!J4+'1_Rwanda_LES_Step4'!O4)</f>
        <v>81.505117202165465</v>
      </c>
      <c r="F17" s="12">
        <f>('1_Rwanda_LES_Step4'!F4*'1_Rwanda_LES_Step4'!F8+'1_Rwanda_LES_Step4'!K4*'1_Rwanda_LES_Step4'!K8+'1_Rwanda_LES_Step4'!P4*'1_Rwanda_LES_Step4'!P8)/('1_Rwanda_LES_Step4'!F4+'1_Rwanda_LES_Step4'!K4+'1_Rwanda_LES_Step4'!P4)</f>
        <v>78.852734287707761</v>
      </c>
      <c r="G17" s="12">
        <f>('1_Rwanda_LES_Step4'!G4*'1_Rwanda_LES_Step4'!G8+'1_Rwanda_LES_Step4'!L4*'1_Rwanda_LES_Step4'!L8+'1_Rwanda_LES_Step4'!Q4*'1_Rwanda_LES_Step4'!Q8)/('1_Rwanda_LES_Step4'!G4+'1_Rwanda_LES_Step4'!L4+'1_Rwanda_LES_Step4'!Q4)</f>
        <v>64.390592579065498</v>
      </c>
    </row>
    <row r="18" spans="1:7" x14ac:dyDescent="0.2">
      <c r="B18" t="s">
        <v>29</v>
      </c>
      <c r="C18" s="12">
        <f>('1_Rwanda_LES_Step4'!C4*'1_Rwanda_LES_Step4'!C9+'1_Rwanda_LES_Step4'!H4*'1_Rwanda_LES_Step4'!H9+'1_Rwanda_LES_Step4'!M4*'1_Rwanda_LES_Step4'!M9)/('1_Rwanda_LES_Step4'!C4+'1_Rwanda_LES_Step4'!H4+'1_Rwanda_LES_Step4'!M4)</f>
        <v>72.832932963420348</v>
      </c>
      <c r="D18" s="12">
        <f>('1_Rwanda_LES_Step4'!D4*'1_Rwanda_LES_Step4'!D9+'1_Rwanda_LES_Step4'!I4*'1_Rwanda_LES_Step4'!I9+'1_Rwanda_LES_Step4'!N4*'1_Rwanda_LES_Step4'!N9)/('1_Rwanda_LES_Step4'!D4+'1_Rwanda_LES_Step4'!I4+'1_Rwanda_LES_Step4'!N4)</f>
        <v>68.80272971126557</v>
      </c>
      <c r="E18" s="12">
        <f>('1_Rwanda_LES_Step4'!E4*'1_Rwanda_LES_Step4'!E9+'1_Rwanda_LES_Step4'!J4*'1_Rwanda_LES_Step4'!J9+'1_Rwanda_LES_Step4'!O4*'1_Rwanda_LES_Step4'!O9)/('1_Rwanda_LES_Step4'!E4+'1_Rwanda_LES_Step4'!J4+'1_Rwanda_LES_Step4'!O4)</f>
        <v>65.322094754060259</v>
      </c>
      <c r="F18" s="12">
        <f>('1_Rwanda_LES_Step4'!F4*'1_Rwanda_LES_Step4'!F9+'1_Rwanda_LES_Step4'!K4*'1_Rwanda_LES_Step4'!K9+'1_Rwanda_LES_Step4'!P4*'1_Rwanda_LES_Step4'!P9)/('1_Rwanda_LES_Step4'!F4+'1_Rwanda_LES_Step4'!K4+'1_Rwanda_LES_Step4'!P4)</f>
        <v>60.348876789452078</v>
      </c>
      <c r="G18" s="12">
        <f>('1_Rwanda_LES_Step4'!G4*'1_Rwanda_LES_Step4'!G9+'1_Rwanda_LES_Step4'!L4*'1_Rwanda_LES_Step4'!L9+'1_Rwanda_LES_Step4'!Q4*'1_Rwanda_LES_Step4'!Q9)/('1_Rwanda_LES_Step4'!G4+'1_Rwanda_LES_Step4'!L4+'1_Rwanda_LES_Step4'!Q4)</f>
        <v>33.232361085747804</v>
      </c>
    </row>
    <row r="19" spans="1:7" x14ac:dyDescent="0.2">
      <c r="B19" t="s">
        <v>30</v>
      </c>
      <c r="C19" s="12">
        <f>('1_Rwanda_LES_Step4'!C4*'1_Rwanda_LES_Step4'!C10+'1_Rwanda_LES_Step4'!H4*'1_Rwanda_LES_Step4'!H10+'1_Rwanda_LES_Step4'!M4*'1_Rwanda_LES_Step4'!M10)/('1_Rwanda_LES_Step4'!C4+'1_Rwanda_LES_Step4'!H4+'1_Rwanda_LES_Step4'!M4)</f>
        <v>81.888621975613574</v>
      </c>
      <c r="D19" s="12">
        <f>('1_Rwanda_LES_Step4'!D4*'1_Rwanda_LES_Step4'!D10+'1_Rwanda_LES_Step4'!I4*'1_Rwanda_LES_Step4'!I10+'1_Rwanda_LES_Step4'!N4*'1_Rwanda_LES_Step4'!N10)/('1_Rwanda_LES_Step4'!D4+'1_Rwanda_LES_Step4'!I4+'1_Rwanda_LES_Step4'!N4)</f>
        <v>79.201819807510375</v>
      </c>
      <c r="E19" s="12">
        <f>('1_Rwanda_LES_Step4'!E4*'1_Rwanda_LES_Step4'!E10+'1_Rwanda_LES_Step4'!J4*'1_Rwanda_LES_Step4'!J10+'1_Rwanda_LES_Step4'!O4*'1_Rwanda_LES_Step4'!O10)/('1_Rwanda_LES_Step4'!E4+'1_Rwanda_LES_Step4'!J4+'1_Rwanda_LES_Step4'!O4)</f>
        <v>76.881396502706821</v>
      </c>
      <c r="F19" s="12">
        <f>('1_Rwanda_LES_Step4'!F4*'1_Rwanda_LES_Step4'!F10+'1_Rwanda_LES_Step4'!K4*'1_Rwanda_LES_Step4'!K10+'1_Rwanda_LES_Step4'!P4*'1_Rwanda_LES_Step4'!P10)/('1_Rwanda_LES_Step4'!F4+'1_Rwanda_LES_Step4'!K4+'1_Rwanda_LES_Step4'!P4)</f>
        <v>73.565917859634723</v>
      </c>
      <c r="G19" s="12">
        <f>('1_Rwanda_LES_Step4'!G4*'1_Rwanda_LES_Step4'!G10+'1_Rwanda_LES_Step4'!L4*'1_Rwanda_LES_Step4'!L10+'1_Rwanda_LES_Step4'!Q4*'1_Rwanda_LES_Step4'!Q10)/('1_Rwanda_LES_Step4'!G4+'1_Rwanda_LES_Step4'!L4+'1_Rwanda_LES_Step4'!Q4)</f>
        <v>55.488240723831872</v>
      </c>
    </row>
    <row r="20" spans="1:7" x14ac:dyDescent="0.2">
      <c r="B20" t="s">
        <v>31</v>
      </c>
      <c r="C20" s="12">
        <f>('1_Rwanda_LES_Step4'!C4*'1_Rwanda_LES_Step4'!C11+'1_Rwanda_LES_Step4'!H4*'1_Rwanda_LES_Step4'!H11+'1_Rwanda_LES_Step4'!M4*'1_Rwanda_LES_Step4'!M11)/('1_Rwanda_LES_Step4'!C4+'1_Rwanda_LES_Step4'!H4+'1_Rwanda_LES_Step4'!M4)</f>
        <v>81.888621975613574</v>
      </c>
      <c r="D20" s="12">
        <f>('1_Rwanda_LES_Step4'!D4*'1_Rwanda_LES_Step4'!D11+'1_Rwanda_LES_Step4'!I4*'1_Rwanda_LES_Step4'!I11+'1_Rwanda_LES_Step4'!N4*'1_Rwanda_LES_Step4'!N11)/('1_Rwanda_LES_Step4'!D4+'1_Rwanda_LES_Step4'!I4+'1_Rwanda_LES_Step4'!N4)</f>
        <v>79.201819807510375</v>
      </c>
      <c r="E20" s="12">
        <f>('1_Rwanda_LES_Step4'!E4*'1_Rwanda_LES_Step4'!E11+'1_Rwanda_LES_Step4'!J4*'1_Rwanda_LES_Step4'!J11+'1_Rwanda_LES_Step4'!O4*'1_Rwanda_LES_Step4'!O11)/('1_Rwanda_LES_Step4'!E4+'1_Rwanda_LES_Step4'!J4+'1_Rwanda_LES_Step4'!O4)</f>
        <v>76.881396502706835</v>
      </c>
      <c r="F20" s="12">
        <f>('1_Rwanda_LES_Step4'!F4*'1_Rwanda_LES_Step4'!F11+'1_Rwanda_LES_Step4'!K4*'1_Rwanda_LES_Step4'!K11+'1_Rwanda_LES_Step4'!P4*'1_Rwanda_LES_Step4'!P11)/('1_Rwanda_LES_Step4'!F4+'1_Rwanda_LES_Step4'!K4+'1_Rwanda_LES_Step4'!P4)</f>
        <v>73.565917859634723</v>
      </c>
      <c r="G20" s="12">
        <f>('1_Rwanda_LES_Step4'!G4*'1_Rwanda_LES_Step4'!G11+'1_Rwanda_LES_Step4'!L4*'1_Rwanda_LES_Step4'!L11+'1_Rwanda_LES_Step4'!Q4*'1_Rwanda_LES_Step4'!Q11)/('1_Rwanda_LES_Step4'!G4+'1_Rwanda_LES_Step4'!L4+'1_Rwanda_LES_Step4'!Q4)</f>
        <v>55.488240723831872</v>
      </c>
    </row>
    <row r="21" spans="1:7" x14ac:dyDescent="0.2">
      <c r="B21" t="s">
        <v>32</v>
      </c>
      <c r="C21" s="12">
        <f>('1_Rwanda_LES_Step4'!C4*'1_Rwanda_LES_Step4'!C12+'1_Rwanda_LES_Step4'!H4*'1_Rwanda_LES_Step4'!H12+'1_Rwanda_LES_Step4'!M4*'1_Rwanda_LES_Step4'!M12)/('1_Rwanda_LES_Step4'!C4+'1_Rwanda_LES_Step4'!H4+'1_Rwanda_LES_Step4'!M4)</f>
        <v>85.510897580490862</v>
      </c>
      <c r="D21" s="12">
        <f>('1_Rwanda_LES_Step4'!D4*'1_Rwanda_LES_Step4'!D12+'1_Rwanda_LES_Step4'!I4*'1_Rwanda_LES_Step4'!I12+'1_Rwanda_LES_Step4'!N4*'1_Rwanda_LES_Step4'!N12)/('1_Rwanda_LES_Step4'!D4+'1_Rwanda_LES_Step4'!I4+'1_Rwanda_LES_Step4'!N4)</f>
        <v>83.361455846008297</v>
      </c>
      <c r="E21" s="12">
        <f>('1_Rwanda_LES_Step4'!E4*'1_Rwanda_LES_Step4'!E12+'1_Rwanda_LES_Step4'!J4*'1_Rwanda_LES_Step4'!J12+'1_Rwanda_LES_Step4'!O4*'1_Rwanda_LES_Step4'!O12)/('1_Rwanda_LES_Step4'!E4+'1_Rwanda_LES_Step4'!J4+'1_Rwanda_LES_Step4'!O4)</f>
        <v>81.505117202165451</v>
      </c>
      <c r="F21" s="12">
        <f>('1_Rwanda_LES_Step4'!F4*'1_Rwanda_LES_Step4'!F12+'1_Rwanda_LES_Step4'!K4*'1_Rwanda_LES_Step4'!K12+'1_Rwanda_LES_Step4'!P4*'1_Rwanda_LES_Step4'!P12)/('1_Rwanda_LES_Step4'!F4+'1_Rwanda_LES_Step4'!K4+'1_Rwanda_LES_Step4'!P4)</f>
        <v>78.852734287707761</v>
      </c>
      <c r="G21" s="12">
        <f>('1_Rwanda_LES_Step4'!G4*'1_Rwanda_LES_Step4'!G12+'1_Rwanda_LES_Step4'!L4*'1_Rwanda_LES_Step4'!L12+'1_Rwanda_LES_Step4'!Q4*'1_Rwanda_LES_Step4'!Q12)/('1_Rwanda_LES_Step4'!G4+'1_Rwanda_LES_Step4'!L4+'1_Rwanda_LES_Step4'!Q4)</f>
        <v>64.390592579065512</v>
      </c>
    </row>
    <row r="22" spans="1:7" x14ac:dyDescent="0.2">
      <c r="B22" t="s">
        <v>33</v>
      </c>
      <c r="C22" s="12">
        <f>('1_Rwanda_LES_Step4'!C4*'1_Rwanda_LES_Step4'!C13+'1_Rwanda_LES_Step4'!H4*'1_Rwanda_LES_Step4'!H13+'1_Rwanda_LES_Step4'!M4*'1_Rwanda_LES_Step4'!M13)/('1_Rwanda_LES_Step4'!C4+'1_Rwanda_LES_Step4'!H4+'1_Rwanda_LES_Step4'!M4)</f>
        <v>81.888621975613574</v>
      </c>
      <c r="D22" s="12">
        <f>('1_Rwanda_LES_Step4'!D4*'1_Rwanda_LES_Step4'!D13+'1_Rwanda_LES_Step4'!I4*'1_Rwanda_LES_Step4'!I13+'1_Rwanda_LES_Step4'!N4*'1_Rwanda_LES_Step4'!N13)/('1_Rwanda_LES_Step4'!D4+'1_Rwanda_LES_Step4'!I4+'1_Rwanda_LES_Step4'!N4)</f>
        <v>79.201819807510375</v>
      </c>
      <c r="E22" s="12">
        <f>('1_Rwanda_LES_Step4'!E4*'1_Rwanda_LES_Step4'!E13+'1_Rwanda_LES_Step4'!J4*'1_Rwanda_LES_Step4'!J13+'1_Rwanda_LES_Step4'!O4*'1_Rwanda_LES_Step4'!O13)/('1_Rwanda_LES_Step4'!E4+'1_Rwanda_LES_Step4'!J4+'1_Rwanda_LES_Step4'!O4)</f>
        <v>76.881396502706821</v>
      </c>
      <c r="F22" s="12">
        <f>('1_Rwanda_LES_Step4'!F4*'1_Rwanda_LES_Step4'!F13+'1_Rwanda_LES_Step4'!K4*'1_Rwanda_LES_Step4'!K13+'1_Rwanda_LES_Step4'!P4*'1_Rwanda_LES_Step4'!P13)/('1_Rwanda_LES_Step4'!F4+'1_Rwanda_LES_Step4'!K4+'1_Rwanda_LES_Step4'!P4)</f>
        <v>73.565917859634723</v>
      </c>
      <c r="G22" s="12">
        <f>('1_Rwanda_LES_Step4'!G4*'1_Rwanda_LES_Step4'!G13+'1_Rwanda_LES_Step4'!L4*'1_Rwanda_LES_Step4'!L13+'1_Rwanda_LES_Step4'!Q4*'1_Rwanda_LES_Step4'!Q13)/('1_Rwanda_LES_Step4'!G4+'1_Rwanda_LES_Step4'!L4+'1_Rwanda_LES_Step4'!Q4)</f>
        <v>55.488240723831872</v>
      </c>
    </row>
    <row r="23" spans="1:7" x14ac:dyDescent="0.2">
      <c r="B23" t="s">
        <v>34</v>
      </c>
      <c r="C23" s="12">
        <f>('1_Rwanda_LES_Step4'!C4*'1_Rwanda_LES_Step4'!C14+'1_Rwanda_LES_Step4'!H4*'1_Rwanda_LES_Step4'!H14+'1_Rwanda_LES_Step4'!M4*'1_Rwanda_LES_Step4'!M14)/('1_Rwanda_LES_Step4'!C4+'1_Rwanda_LES_Step4'!H4+'1_Rwanda_LES_Step4'!M4)</f>
        <v>77.900210903003526</v>
      </c>
      <c r="D23" s="12">
        <f>('1_Rwanda_LES_Step4'!D4*'1_Rwanda_LES_Step4'!D14+'1_Rwanda_LES_Step4'!I4*'1_Rwanda_LES_Step4'!I14+'1_Rwanda_LES_Step4'!N4*'1_Rwanda_LES_Step4'!N14)/('1_Rwanda_LES_Step4'!D4+'1_Rwanda_LES_Step4'!I4+'1_Rwanda_LES_Step4'!N4)</f>
        <v>74.806241472655131</v>
      </c>
      <c r="E23" s="12">
        <f>('1_Rwanda_LES_Step4'!E4*'1_Rwanda_LES_Step4'!E14+'1_Rwanda_LES_Step4'!J4*'1_Rwanda_LES_Step4'!J14+'1_Rwanda_LES_Step4'!O4*'1_Rwanda_LES_Step4'!O14)/('1_Rwanda_LES_Step4'!E4+'1_Rwanda_LES_Step4'!J4+'1_Rwanda_LES_Step4'!O4)</f>
        <v>72.919850367004898</v>
      </c>
      <c r="F23" s="12">
        <f>('1_Rwanda_LES_Step4'!F4*'1_Rwanda_LES_Step4'!F14+'1_Rwanda_LES_Step4'!K4*'1_Rwanda_LES_Step4'!K14+'1_Rwanda_LES_Step4'!P4*'1_Rwanda_LES_Step4'!P14)/('1_Rwanda_LES_Step4'!F4+'1_Rwanda_LES_Step4'!K4+'1_Rwanda_LES_Step4'!P4)</f>
        <v>70.524239939621523</v>
      </c>
      <c r="G23" s="12">
        <f>('1_Rwanda_LES_Step4'!G4*'1_Rwanda_LES_Step4'!G14+'1_Rwanda_LES_Step4'!L4*'1_Rwanda_LES_Step4'!L14+'1_Rwanda_LES_Step4'!Q4*'1_Rwanda_LES_Step4'!Q14)/('1_Rwanda_LES_Step4'!G4+'1_Rwanda_LES_Step4'!L4+'1_Rwanda_LES_Step4'!Q4)</f>
        <v>54.832228927393679</v>
      </c>
    </row>
    <row r="24" spans="1:7" x14ac:dyDescent="0.2">
      <c r="B24" t="s">
        <v>35</v>
      </c>
      <c r="C24" s="12">
        <f>('1_Rwanda_LES_Step4'!C4*'1_Rwanda_LES_Step4'!C15+'1_Rwanda_LES_Step4'!H4*'1_Rwanda_LES_Step4'!H15+'1_Rwanda_LES_Step4'!M4*'1_Rwanda_LES_Step4'!M15)/('1_Rwanda_LES_Step4'!C4+'1_Rwanda_LES_Step4'!H4+'1_Rwanda_LES_Step4'!M4)</f>
        <v>77.900210903003526</v>
      </c>
      <c r="D24" s="12">
        <f>('1_Rwanda_LES_Step4'!D4*'1_Rwanda_LES_Step4'!D15+'1_Rwanda_LES_Step4'!I4*'1_Rwanda_LES_Step4'!I15+'1_Rwanda_LES_Step4'!N4*'1_Rwanda_LES_Step4'!N15)/('1_Rwanda_LES_Step4'!D4+'1_Rwanda_LES_Step4'!I4+'1_Rwanda_LES_Step4'!N4)</f>
        <v>74.806241472655131</v>
      </c>
      <c r="E24" s="12">
        <f>('1_Rwanda_LES_Step4'!E4*'1_Rwanda_LES_Step4'!E15+'1_Rwanda_LES_Step4'!J4*'1_Rwanda_LES_Step4'!J15+'1_Rwanda_LES_Step4'!O4*'1_Rwanda_LES_Step4'!O15)/('1_Rwanda_LES_Step4'!E4+'1_Rwanda_LES_Step4'!J4+'1_Rwanda_LES_Step4'!O4)</f>
        <v>72.919850367004898</v>
      </c>
      <c r="F24" s="12">
        <f>('1_Rwanda_LES_Step4'!F4*'1_Rwanda_LES_Step4'!F15+'1_Rwanda_LES_Step4'!K4*'1_Rwanda_LES_Step4'!K15+'1_Rwanda_LES_Step4'!P4*'1_Rwanda_LES_Step4'!P15)/('1_Rwanda_LES_Step4'!F4+'1_Rwanda_LES_Step4'!K4+'1_Rwanda_LES_Step4'!P4)</f>
        <v>70.524239939621523</v>
      </c>
      <c r="G24" s="12">
        <f>('1_Rwanda_LES_Step4'!G4*'1_Rwanda_LES_Step4'!G15+'1_Rwanda_LES_Step4'!L4*'1_Rwanda_LES_Step4'!L15+'1_Rwanda_LES_Step4'!Q4*'1_Rwanda_LES_Step4'!Q15)/('1_Rwanda_LES_Step4'!G4+'1_Rwanda_LES_Step4'!L4+'1_Rwanda_LES_Step4'!Q4)</f>
        <v>54.832228927393686</v>
      </c>
    </row>
    <row r="25" spans="1:7" x14ac:dyDescent="0.2">
      <c r="B25" s="2" t="s">
        <v>120</v>
      </c>
      <c r="C25" s="13">
        <f>('1_Rwanda_LES_Step4'!C4*'1_Rwanda_LES_Step4'!C16+'1_Rwanda_LES_Step4'!H4*'1_Rwanda_LES_Step4'!H16+'1_Rwanda_LES_Step4'!M4*'1_Rwanda_LES_Step4'!M16)/('1_Rwanda_LES_Step4'!C4+'1_Rwanda_LES_Step4'!H4+'1_Rwanda_LES_Step4'!M4)</f>
        <v>81.888621975613603</v>
      </c>
      <c r="D25" s="13">
        <f>('1_Rwanda_LES_Step4'!D4*'1_Rwanda_LES_Step4'!D16+'1_Rwanda_LES_Step4'!I4*'1_Rwanda_LES_Step4'!I16+'1_Rwanda_LES_Step4'!N4*'1_Rwanda_LES_Step4'!N16)/('1_Rwanda_LES_Step4'!D4+'1_Rwanda_LES_Step4'!I4+'1_Rwanda_LES_Step4'!N4)</f>
        <v>79.201819807510375</v>
      </c>
      <c r="E25" s="13">
        <f>('1_Rwanda_LES_Step4'!E4*'1_Rwanda_LES_Step4'!E16+'1_Rwanda_LES_Step4'!J4*'1_Rwanda_LES_Step4'!J16+'1_Rwanda_LES_Step4'!O4*'1_Rwanda_LES_Step4'!O16)/('1_Rwanda_LES_Step4'!E4+'1_Rwanda_LES_Step4'!J4+'1_Rwanda_LES_Step4'!O4)</f>
        <v>76.881396502706835</v>
      </c>
      <c r="F25" s="13">
        <f>('1_Rwanda_LES_Step4'!F4*'1_Rwanda_LES_Step4'!F16+'1_Rwanda_LES_Step4'!K4*'1_Rwanda_LES_Step4'!K16+'1_Rwanda_LES_Step4'!P4*'1_Rwanda_LES_Step4'!P16)/('1_Rwanda_LES_Step4'!F4+'1_Rwanda_LES_Step4'!K4+'1_Rwanda_LES_Step4'!P4)</f>
        <v>73.565917859634723</v>
      </c>
      <c r="G25" s="13">
        <f>('1_Rwanda_LES_Step4'!G4*'1_Rwanda_LES_Step4'!G16+'1_Rwanda_LES_Step4'!L4*'1_Rwanda_LES_Step4'!L16+'1_Rwanda_LES_Step4'!Q4*'1_Rwanda_LES_Step4'!Q16)/('1_Rwanda_LES_Step4'!G4+'1_Rwanda_LES_Step4'!L4+'1_Rwanda_LES_Step4'!Q4)</f>
        <v>55.488240723831872</v>
      </c>
    </row>
    <row r="28" spans="1:7" x14ac:dyDescent="0.2">
      <c r="A28" s="2" t="s">
        <v>121</v>
      </c>
      <c r="B28" s="2" t="s">
        <v>148</v>
      </c>
    </row>
    <row r="29" spans="1:7" x14ac:dyDescent="0.2">
      <c r="C29" s="3" t="s">
        <v>40</v>
      </c>
      <c r="D29" s="3" t="s">
        <v>41</v>
      </c>
      <c r="E29" s="3" t="s">
        <v>42</v>
      </c>
      <c r="F29" s="3" t="s">
        <v>43</v>
      </c>
      <c r="G29" s="3" t="s">
        <v>44</v>
      </c>
    </row>
    <row r="30" spans="1:7" x14ac:dyDescent="0.2">
      <c r="B30" t="s">
        <v>25</v>
      </c>
      <c r="C30" s="10">
        <f t="shared" ref="C30:G40" si="0">C14/C$25</f>
        <v>1.1105854365810424</v>
      </c>
      <c r="D30" s="10">
        <f t="shared" si="0"/>
        <v>1.1312986257325708</v>
      </c>
      <c r="E30" s="10">
        <f t="shared" si="0"/>
        <v>1.1503523904933177</v>
      </c>
      <c r="F30" s="10">
        <f t="shared" si="0"/>
        <v>1.1796625591676979</v>
      </c>
      <c r="G30" s="10">
        <f t="shared" si="0"/>
        <v>1.4010918232000333</v>
      </c>
    </row>
    <row r="31" spans="1:7" x14ac:dyDescent="0.2">
      <c r="B31" t="s">
        <v>26</v>
      </c>
      <c r="C31" s="10">
        <f t="shared" si="0"/>
        <v>1.0442341746324171</v>
      </c>
      <c r="D31" s="10">
        <f t="shared" si="0"/>
        <v>1.0525194502930282</v>
      </c>
      <c r="E31" s="10">
        <f t="shared" si="0"/>
        <v>1.0601409561973272</v>
      </c>
      <c r="F31" s="10">
        <f t="shared" si="0"/>
        <v>1.071865023667079</v>
      </c>
      <c r="G31" s="10">
        <f t="shared" si="0"/>
        <v>1.1604367292800133</v>
      </c>
    </row>
    <row r="32" spans="1:7" x14ac:dyDescent="0.2">
      <c r="B32" t="s">
        <v>27</v>
      </c>
      <c r="C32" s="10">
        <f t="shared" si="0"/>
        <v>1.0221170873162084</v>
      </c>
      <c r="D32" s="10">
        <f t="shared" si="0"/>
        <v>1.0262597251465142</v>
      </c>
      <c r="E32" s="10">
        <f t="shared" si="0"/>
        <v>1.0300704780986638</v>
      </c>
      <c r="F32" s="10">
        <f t="shared" si="0"/>
        <v>1.0359325118335396</v>
      </c>
      <c r="G32" s="10">
        <f t="shared" si="0"/>
        <v>1.0802183646400068</v>
      </c>
    </row>
    <row r="33" spans="1:7" x14ac:dyDescent="0.2">
      <c r="B33" t="s">
        <v>28</v>
      </c>
      <c r="C33" s="10">
        <f t="shared" si="0"/>
        <v>1.0442341746324171</v>
      </c>
      <c r="D33" s="10">
        <f t="shared" si="0"/>
        <v>1.0525194502930282</v>
      </c>
      <c r="E33" s="10">
        <f t="shared" si="0"/>
        <v>1.0601409561973272</v>
      </c>
      <c r="F33" s="10">
        <f t="shared" si="0"/>
        <v>1.071865023667079</v>
      </c>
      <c r="G33" s="10">
        <f t="shared" si="0"/>
        <v>1.1604367292800133</v>
      </c>
    </row>
    <row r="34" spans="1:7" x14ac:dyDescent="0.2">
      <c r="B34" t="s">
        <v>29</v>
      </c>
      <c r="C34" s="10">
        <f t="shared" si="0"/>
        <v>0.88941456341895664</v>
      </c>
      <c r="D34" s="10">
        <f t="shared" si="0"/>
        <v>0.86870137426742933</v>
      </c>
      <c r="E34" s="10">
        <f t="shared" si="0"/>
        <v>0.84964760950668217</v>
      </c>
      <c r="F34" s="10">
        <f t="shared" si="0"/>
        <v>0.82033744083230187</v>
      </c>
      <c r="G34" s="10">
        <f t="shared" si="0"/>
        <v>0.59890817679996655</v>
      </c>
    </row>
    <row r="35" spans="1:7" x14ac:dyDescent="0.2">
      <c r="B35" t="s">
        <v>30</v>
      </c>
      <c r="C35" s="10">
        <f t="shared" si="0"/>
        <v>0.99999999999999967</v>
      </c>
      <c r="D35" s="10">
        <f t="shared" si="0"/>
        <v>1</v>
      </c>
      <c r="E35" s="10">
        <f t="shared" si="0"/>
        <v>0.99999999999999978</v>
      </c>
      <c r="F35" s="10">
        <f t="shared" si="0"/>
        <v>1</v>
      </c>
      <c r="G35" s="10">
        <f t="shared" si="0"/>
        <v>1</v>
      </c>
    </row>
    <row r="36" spans="1:7" x14ac:dyDescent="0.2">
      <c r="B36" t="s">
        <v>31</v>
      </c>
      <c r="C36" s="10">
        <f t="shared" si="0"/>
        <v>0.99999999999999967</v>
      </c>
      <c r="D36" s="10">
        <f t="shared" si="0"/>
        <v>1</v>
      </c>
      <c r="E36" s="10">
        <f t="shared" si="0"/>
        <v>1</v>
      </c>
      <c r="F36" s="10">
        <f t="shared" si="0"/>
        <v>1</v>
      </c>
      <c r="G36" s="10">
        <f t="shared" si="0"/>
        <v>1</v>
      </c>
    </row>
    <row r="37" spans="1:7" x14ac:dyDescent="0.2">
      <c r="B37" t="s">
        <v>32</v>
      </c>
      <c r="C37" s="10">
        <f t="shared" si="0"/>
        <v>1.0442341746324169</v>
      </c>
      <c r="D37" s="10">
        <f t="shared" si="0"/>
        <v>1.0525194502930282</v>
      </c>
      <c r="E37" s="10">
        <f t="shared" si="0"/>
        <v>1.060140956197327</v>
      </c>
      <c r="F37" s="10">
        <f t="shared" si="0"/>
        <v>1.071865023667079</v>
      </c>
      <c r="G37" s="10">
        <f t="shared" si="0"/>
        <v>1.1604367292800135</v>
      </c>
    </row>
    <row r="38" spans="1:7" x14ac:dyDescent="0.2">
      <c r="B38" t="s">
        <v>33</v>
      </c>
      <c r="C38" s="10">
        <f t="shared" si="0"/>
        <v>0.99999999999999967</v>
      </c>
      <c r="D38" s="10">
        <f t="shared" si="0"/>
        <v>1</v>
      </c>
      <c r="E38" s="10">
        <f t="shared" si="0"/>
        <v>0.99999999999999978</v>
      </c>
      <c r="F38" s="10">
        <f t="shared" si="0"/>
        <v>1</v>
      </c>
      <c r="G38" s="10">
        <f t="shared" si="0"/>
        <v>1</v>
      </c>
    </row>
    <row r="39" spans="1:7" x14ac:dyDescent="0.2">
      <c r="B39" t="s">
        <v>34</v>
      </c>
      <c r="C39" s="10">
        <f t="shared" si="0"/>
        <v>0.95129468567931419</v>
      </c>
      <c r="D39" s="10">
        <f t="shared" si="0"/>
        <v>0.94450154875812042</v>
      </c>
      <c r="E39" s="10">
        <f t="shared" si="0"/>
        <v>0.94847198001193356</v>
      </c>
      <c r="F39" s="10">
        <f t="shared" si="0"/>
        <v>0.95865370801439898</v>
      </c>
      <c r="G39" s="10">
        <f t="shared" si="0"/>
        <v>0.9881774626861356</v>
      </c>
    </row>
    <row r="40" spans="1:7" x14ac:dyDescent="0.2">
      <c r="B40" t="s">
        <v>35</v>
      </c>
      <c r="C40" s="10">
        <f t="shared" si="0"/>
        <v>0.95129468567931419</v>
      </c>
      <c r="D40" s="10">
        <f t="shared" si="0"/>
        <v>0.94450154875812042</v>
      </c>
      <c r="E40" s="10">
        <f t="shared" si="0"/>
        <v>0.94847198001193356</v>
      </c>
      <c r="F40" s="10">
        <f t="shared" si="0"/>
        <v>0.95865370801439898</v>
      </c>
      <c r="G40" s="10">
        <f t="shared" si="0"/>
        <v>0.98817746268613571</v>
      </c>
    </row>
    <row r="43" spans="1:7" x14ac:dyDescent="0.2">
      <c r="A43" s="2" t="s">
        <v>151</v>
      </c>
      <c r="B43" s="18" t="s">
        <v>150</v>
      </c>
    </row>
    <row r="44" spans="1:7" x14ac:dyDescent="0.2">
      <c r="C44" s="3" t="s">
        <v>40</v>
      </c>
      <c r="D44" s="3" t="s">
        <v>41</v>
      </c>
      <c r="E44" s="3" t="s">
        <v>42</v>
      </c>
      <c r="F44" s="3" t="s">
        <v>43</v>
      </c>
      <c r="G44" s="3" t="s">
        <v>44</v>
      </c>
    </row>
    <row r="45" spans="1:7" x14ac:dyDescent="0.2">
      <c r="C45" s="19">
        <f>SUMPRODUCT('2_Egypt_CQ Mapping'!D4:D70,'4_Egypt_Subsistence'!D4:D70)/SUM('2_Egypt_CQ Mapping'!D4:D70)</f>
        <v>1.0116875123257982</v>
      </c>
      <c r="D45" s="19">
        <f>SUMPRODUCT('2_Egypt_CQ Mapping'!E4:E70,'4_Egypt_Subsistence'!E4:E70)/SUM('2_Egypt_CQ Mapping'!E4:E70)</f>
        <v>1.0105795050103752</v>
      </c>
      <c r="E45" s="19">
        <f>SUMPRODUCT('2_Egypt_CQ Mapping'!F4:F70,'4_Egypt_Subsistence'!F4:F70)/SUM('2_Egypt_CQ Mapping'!F4:F70)</f>
        <v>1.0126420105615368</v>
      </c>
      <c r="F45" s="19">
        <f>SUMPRODUCT('2_Egypt_CQ Mapping'!G4:G70,'4_Egypt_Subsistence'!G4:G70)/SUM('2_Egypt_CQ Mapping'!G4:G70)</f>
        <v>1.0174678065813405</v>
      </c>
      <c r="G45" s="19">
        <f>SUMPRODUCT('2_Egypt_CQ Mapping'!H4:H70,'4_Egypt_Subsistence'!H4:H70)/SUM('2_Egypt_CQ Mapping'!H4:H70)</f>
        <v>1.0453469290000019</v>
      </c>
    </row>
    <row r="47" spans="1:7" ht="96" x14ac:dyDescent="0.2">
      <c r="B47" s="17" t="s">
        <v>149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3"/>
  <sheetViews>
    <sheetView tabSelected="1" zoomScale="110" zoomScaleNormal="110" workbookViewId="0">
      <selection activeCell="U11" sqref="U11"/>
    </sheetView>
  </sheetViews>
  <sheetFormatPr baseColWidth="10" defaultColWidth="8.83203125" defaultRowHeight="15" x14ac:dyDescent="0.2"/>
  <cols>
    <col min="2" max="2" width="32" customWidth="1"/>
    <col min="3" max="3" width="22" customWidth="1"/>
    <col min="4" max="14" width="11" customWidth="1"/>
    <col min="15" max="15" width="10.1640625" customWidth="1"/>
    <col min="16" max="16" width="11.33203125" customWidth="1"/>
    <col min="17" max="17" width="9.6640625" customWidth="1"/>
    <col min="18" max="18" width="10.1640625" customWidth="1"/>
  </cols>
  <sheetData>
    <row r="1" spans="1:18" ht="17" x14ac:dyDescent="0.2">
      <c r="A1" s="1" t="s">
        <v>158</v>
      </c>
    </row>
    <row r="3" spans="1:18" x14ac:dyDescent="0.2">
      <c r="A3" s="3"/>
      <c r="B3" s="3" t="s">
        <v>38</v>
      </c>
      <c r="C3" s="3" t="s">
        <v>39</v>
      </c>
      <c r="D3" s="3" t="s">
        <v>153</v>
      </c>
      <c r="E3" s="3" t="s">
        <v>154</v>
      </c>
      <c r="F3" s="3" t="s">
        <v>155</v>
      </c>
      <c r="G3" s="3" t="s">
        <v>156</v>
      </c>
      <c r="H3" s="3" t="s">
        <v>157</v>
      </c>
      <c r="I3" s="3" t="s">
        <v>122</v>
      </c>
      <c r="J3" s="3" t="s">
        <v>123</v>
      </c>
      <c r="K3" s="3" t="s">
        <v>124</v>
      </c>
      <c r="L3" s="3" t="s">
        <v>125</v>
      </c>
      <c r="M3" s="3" t="s">
        <v>126</v>
      </c>
      <c r="N3" s="3" t="s">
        <v>178</v>
      </c>
      <c r="O3" s="3" t="s">
        <v>179</v>
      </c>
      <c r="P3" s="3" t="s">
        <v>180</v>
      </c>
      <c r="Q3" s="3" t="s">
        <v>181</v>
      </c>
      <c r="R3" s="3" t="s">
        <v>182</v>
      </c>
    </row>
    <row r="4" spans="1:18" x14ac:dyDescent="0.2">
      <c r="A4">
        <v>1</v>
      </c>
      <c r="B4" t="s">
        <v>45</v>
      </c>
      <c r="C4" t="s">
        <v>25</v>
      </c>
      <c r="D4" s="10">
        <f>INDEX('3_Calculations'!C$30:C$40,MATCH($C4,'3_Calculations'!$B$30:$B$40,0))</f>
        <v>1.1105854365810424</v>
      </c>
      <c r="E4" s="10">
        <f>INDEX('3_Calculations'!D$30:D$40,MATCH($C4,'3_Calculations'!$B$30:$B$40,0))</f>
        <v>1.1312986257325708</v>
      </c>
      <c r="F4" s="10">
        <f>INDEX('3_Calculations'!E$30:E$40,MATCH($C4,'3_Calculations'!$B$30:$B$40,0))</f>
        <v>1.1503523904933177</v>
      </c>
      <c r="G4" s="10">
        <f>INDEX('3_Calculations'!F$30:F$40,MATCH($C4,'3_Calculations'!$B$30:$B$40,0))</f>
        <v>1.1796625591676979</v>
      </c>
      <c r="H4" s="10">
        <f>INDEX('3_Calculations'!G$30:G$40,MATCH($C4,'3_Calculations'!$B$30:$B$40,0))</f>
        <v>1.4010918232000333</v>
      </c>
      <c r="I4" s="14">
        <f>'3_Calculations'!C$9*D4/'3_Calculations'!C$45</f>
        <v>0.79095437833317828</v>
      </c>
      <c r="J4" s="14">
        <f>'3_Calculations'!D$9*E4/'3_Calculations'!D$45</f>
        <v>0.76195439298050194</v>
      </c>
      <c r="K4" s="14">
        <f>'3_Calculations'!E$9*F4/'3_Calculations'!E$45</f>
        <v>0.74053653210979542</v>
      </c>
      <c r="L4" s="14">
        <f>'3_Calculations'!F$9*G4/'3_Calculations'!F$45</f>
        <v>0.7059984068422106</v>
      </c>
      <c r="M4" s="14">
        <f>'3_Calculations'!G$9*H4/'3_Calculations'!G$45</f>
        <v>0.62307019060647217</v>
      </c>
      <c r="N4" s="22">
        <f>INDEX('3_Calculations'!C$14:C$24,MATCH($C4,'3_Calculations'!$B$14:$B$24,0))/100</f>
        <v>0.90944310987806776</v>
      </c>
      <c r="O4" s="22">
        <f>INDEX('3_Calculations'!D$14:D$24,MATCH($C4,'3_Calculations'!$B$14:$B$24,0))/100</f>
        <v>0.89600909903755199</v>
      </c>
      <c r="P4" s="22">
        <f>INDEX('3_Calculations'!E$14:E$24,MATCH($C4,'3_Calculations'!$B$14:$B$24,0))/100</f>
        <v>0.88440698251353411</v>
      </c>
      <c r="Q4" s="22">
        <f>INDEX('3_Calculations'!F$14:F$24,MATCH($C4,'3_Calculations'!$B$14:$B$24,0))/100</f>
        <v>0.86782958929817355</v>
      </c>
      <c r="R4" s="22">
        <f>INDEX('3_Calculations'!G$14:G$24,MATCH($C4,'3_Calculations'!$B$14:$B$24,0))/100</f>
        <v>0.77744120361915936</v>
      </c>
    </row>
    <row r="5" spans="1:18" x14ac:dyDescent="0.2">
      <c r="A5">
        <v>2</v>
      </c>
      <c r="B5" t="s">
        <v>46</v>
      </c>
      <c r="C5" t="s">
        <v>27</v>
      </c>
      <c r="D5" s="10">
        <f>INDEX('3_Calculations'!C$30:C$40,MATCH($C5,'3_Calculations'!$B$30:$B$40,0))</f>
        <v>1.0221170873162084</v>
      </c>
      <c r="E5" s="10">
        <f>INDEX('3_Calculations'!D$30:D$40,MATCH($C5,'3_Calculations'!$B$30:$B$40,0))</f>
        <v>1.0262597251465142</v>
      </c>
      <c r="F5" s="10">
        <f>INDEX('3_Calculations'!E$30:E$40,MATCH($C5,'3_Calculations'!$B$30:$B$40,0))</f>
        <v>1.0300704780986638</v>
      </c>
      <c r="G5" s="10">
        <f>INDEX('3_Calculations'!F$30:F$40,MATCH($C5,'3_Calculations'!$B$30:$B$40,0))</f>
        <v>1.0359325118335396</v>
      </c>
      <c r="H5" s="10">
        <f>INDEX('3_Calculations'!G$30:G$40,MATCH($C5,'3_Calculations'!$B$30:$B$40,0))</f>
        <v>1.0802183646400068</v>
      </c>
      <c r="I5" s="14">
        <f>'3_Calculations'!C$9*D5/'3_Calculations'!C$45</f>
        <v>0.72794758399743886</v>
      </c>
      <c r="J5" s="14">
        <f>'3_Calculations'!D$9*E5/'3_Calculations'!D$45</f>
        <v>0.69120839372362008</v>
      </c>
      <c r="K5" s="14">
        <f>'3_Calculations'!E$9*F5/'3_Calculations'!E$45</f>
        <v>0.6631053457912508</v>
      </c>
      <c r="L5" s="14">
        <f>'3_Calculations'!F$9*G5/'3_Calculations'!F$45</f>
        <v>0.61997958421816735</v>
      </c>
      <c r="M5" s="14">
        <f>'3_Calculations'!G$9*H5/'3_Calculations'!G$45</f>
        <v>0.48037669709301362</v>
      </c>
      <c r="N5" s="22">
        <f>INDEX('3_Calculations'!C$14:C$24,MATCH($C5,'3_Calculations'!$B$14:$B$24,0))/100</f>
        <v>0.8369975977805223</v>
      </c>
      <c r="O5" s="22">
        <f>INDEX('3_Calculations'!D$14:D$24,MATCH($C5,'3_Calculations'!$B$14:$B$24,0))/100</f>
        <v>0.81281637826759334</v>
      </c>
      <c r="P5" s="22">
        <f>INDEX('3_Calculations'!E$14:E$24,MATCH($C5,'3_Calculations'!$B$14:$B$24,0))/100</f>
        <v>0.79193256852436167</v>
      </c>
      <c r="Q5" s="22">
        <f>INDEX('3_Calculations'!F$14:F$24,MATCH($C5,'3_Calculations'!$B$14:$B$24,0))/100</f>
        <v>0.76209326073671246</v>
      </c>
      <c r="R5" s="22">
        <f>INDEX('3_Calculations'!G$14:G$24,MATCH($C5,'3_Calculations'!$B$14:$B$24,0))/100</f>
        <v>0.59939416651448696</v>
      </c>
    </row>
    <row r="6" spans="1:18" x14ac:dyDescent="0.2">
      <c r="A6">
        <v>3</v>
      </c>
      <c r="B6" t="s">
        <v>47</v>
      </c>
      <c r="C6" t="s">
        <v>34</v>
      </c>
      <c r="D6" s="10">
        <f>INDEX('3_Calculations'!C$30:C$40,MATCH($C6,'3_Calculations'!$B$30:$B$40,0))</f>
        <v>0.95129468567931419</v>
      </c>
      <c r="E6" s="10">
        <f>INDEX('3_Calculations'!D$30:D$40,MATCH($C6,'3_Calculations'!$B$30:$B$40,0))</f>
        <v>0.94450154875812042</v>
      </c>
      <c r="F6" s="10">
        <f>INDEX('3_Calculations'!E$30:E$40,MATCH($C6,'3_Calculations'!$B$30:$B$40,0))</f>
        <v>0.94847198001193356</v>
      </c>
      <c r="G6" s="10">
        <f>INDEX('3_Calculations'!F$30:F$40,MATCH($C6,'3_Calculations'!$B$30:$B$40,0))</f>
        <v>0.95865370801439898</v>
      </c>
      <c r="H6" s="10">
        <f>INDEX('3_Calculations'!G$30:G$40,MATCH($C6,'3_Calculations'!$B$30:$B$40,0))</f>
        <v>0.9881774626861356</v>
      </c>
      <c r="I6" s="14">
        <f>'3_Calculations'!C$9*D6/'3_Calculations'!C$45</f>
        <v>0.6775081609565401</v>
      </c>
      <c r="J6" s="14">
        <f>'3_Calculations'!D$9*E6/'3_Calculations'!D$45</f>
        <v>0.63614247191993023</v>
      </c>
      <c r="K6" s="14">
        <f>'3_Calculations'!E$9*F6/'3_Calculations'!E$45</f>
        <v>0.6105765126285696</v>
      </c>
      <c r="L6" s="14">
        <f>'3_Calculations'!F$9*G6/'3_Calculations'!F$45</f>
        <v>0.57373016148707834</v>
      </c>
      <c r="M6" s="14">
        <f>'3_Calculations'!G$9*H6/'3_Calculations'!G$45</f>
        <v>0.43944580207643302</v>
      </c>
      <c r="N6" s="22">
        <f>INDEX('3_Calculations'!C$14:C$24,MATCH($C6,'3_Calculations'!$B$14:$B$24,0))/100</f>
        <v>0.77900210903003531</v>
      </c>
      <c r="O6" s="22">
        <f>INDEX('3_Calculations'!D$14:D$24,MATCH($C6,'3_Calculations'!$B$14:$B$24,0))/100</f>
        <v>0.74806241472655133</v>
      </c>
      <c r="P6" s="22">
        <f>INDEX('3_Calculations'!E$14:E$24,MATCH($C6,'3_Calculations'!$B$14:$B$24,0))/100</f>
        <v>0.72919850367004901</v>
      </c>
      <c r="Q6" s="22">
        <f>INDEX('3_Calculations'!F$14:F$24,MATCH($C6,'3_Calculations'!$B$14:$B$24,0))/100</f>
        <v>0.70524239939621525</v>
      </c>
      <c r="R6" s="22">
        <f>INDEX('3_Calculations'!G$14:G$24,MATCH($C6,'3_Calculations'!$B$14:$B$24,0))/100</f>
        <v>0.54832228927393678</v>
      </c>
    </row>
    <row r="7" spans="1:18" x14ac:dyDescent="0.2">
      <c r="A7">
        <v>4</v>
      </c>
      <c r="B7" t="s">
        <v>48</v>
      </c>
      <c r="C7" t="s">
        <v>34</v>
      </c>
      <c r="D7" s="10">
        <f>INDEX('3_Calculations'!C$30:C$40,MATCH($C7,'3_Calculations'!$B$30:$B$40,0))</f>
        <v>0.95129468567931419</v>
      </c>
      <c r="E7" s="10">
        <f>INDEX('3_Calculations'!D$30:D$40,MATCH($C7,'3_Calculations'!$B$30:$B$40,0))</f>
        <v>0.94450154875812042</v>
      </c>
      <c r="F7" s="10">
        <f>INDEX('3_Calculations'!E$30:E$40,MATCH($C7,'3_Calculations'!$B$30:$B$40,0))</f>
        <v>0.94847198001193356</v>
      </c>
      <c r="G7" s="10">
        <f>INDEX('3_Calculations'!F$30:F$40,MATCH($C7,'3_Calculations'!$B$30:$B$40,0))</f>
        <v>0.95865370801439898</v>
      </c>
      <c r="H7" s="10">
        <f>INDEX('3_Calculations'!G$30:G$40,MATCH($C7,'3_Calculations'!$B$30:$B$40,0))</f>
        <v>0.9881774626861356</v>
      </c>
      <c r="I7" s="14">
        <f>'3_Calculations'!C$9*D7/'3_Calculations'!C$45</f>
        <v>0.6775081609565401</v>
      </c>
      <c r="J7" s="14">
        <f>'3_Calculations'!D$9*E7/'3_Calculations'!D$45</f>
        <v>0.63614247191993023</v>
      </c>
      <c r="K7" s="14">
        <f>'3_Calculations'!E$9*F7/'3_Calculations'!E$45</f>
        <v>0.6105765126285696</v>
      </c>
      <c r="L7" s="14">
        <f>'3_Calculations'!F$9*G7/'3_Calculations'!F$45</f>
        <v>0.57373016148707834</v>
      </c>
      <c r="M7" s="14">
        <f>'3_Calculations'!G$9*H7/'3_Calculations'!G$45</f>
        <v>0.43944580207643302</v>
      </c>
      <c r="N7" s="22">
        <f>INDEX('3_Calculations'!C$14:C$24,MATCH($C7,'3_Calculations'!$B$14:$B$24,0))/100</f>
        <v>0.77900210903003531</v>
      </c>
      <c r="O7" s="22">
        <f>INDEX('3_Calculations'!D$14:D$24,MATCH($C7,'3_Calculations'!$B$14:$B$24,0))/100</f>
        <v>0.74806241472655133</v>
      </c>
      <c r="P7" s="22">
        <f>INDEX('3_Calculations'!E$14:E$24,MATCH($C7,'3_Calculations'!$B$14:$B$24,0))/100</f>
        <v>0.72919850367004901</v>
      </c>
      <c r="Q7" s="22">
        <f>INDEX('3_Calculations'!F$14:F$24,MATCH($C7,'3_Calculations'!$B$14:$B$24,0))/100</f>
        <v>0.70524239939621525</v>
      </c>
      <c r="R7" s="22">
        <f>INDEX('3_Calculations'!G$14:G$24,MATCH($C7,'3_Calculations'!$B$14:$B$24,0))/100</f>
        <v>0.54832228927393678</v>
      </c>
    </row>
    <row r="8" spans="1:18" x14ac:dyDescent="0.2">
      <c r="A8">
        <v>5</v>
      </c>
      <c r="B8" t="s">
        <v>49</v>
      </c>
      <c r="C8" t="s">
        <v>28</v>
      </c>
      <c r="D8" s="10">
        <f>INDEX('3_Calculations'!C$30:C$40,MATCH($C8,'3_Calculations'!$B$30:$B$40,0))</f>
        <v>1.0442341746324171</v>
      </c>
      <c r="E8" s="10">
        <f>INDEX('3_Calculations'!D$30:D$40,MATCH($C8,'3_Calculations'!$B$30:$B$40,0))</f>
        <v>1.0525194502930282</v>
      </c>
      <c r="F8" s="10">
        <f>INDEX('3_Calculations'!E$30:E$40,MATCH($C8,'3_Calculations'!$B$30:$B$40,0))</f>
        <v>1.0601409561973272</v>
      </c>
      <c r="G8" s="10">
        <f>INDEX('3_Calculations'!F$30:F$40,MATCH($C8,'3_Calculations'!$B$30:$B$40,0))</f>
        <v>1.071865023667079</v>
      </c>
      <c r="H8" s="10">
        <f>INDEX('3_Calculations'!G$30:G$40,MATCH($C8,'3_Calculations'!$B$30:$B$40,0))</f>
        <v>1.1604367292800133</v>
      </c>
      <c r="I8" s="14">
        <f>'3_Calculations'!C$9*D8/'3_Calculations'!C$45</f>
        <v>0.74369928258137374</v>
      </c>
      <c r="J8" s="14">
        <f>'3_Calculations'!D$9*E8/'3_Calculations'!D$45</f>
        <v>0.70889489353784041</v>
      </c>
      <c r="K8" s="14">
        <f>'3_Calculations'!E$9*F8/'3_Calculations'!E$45</f>
        <v>0.6824631423708869</v>
      </c>
      <c r="L8" s="14">
        <f>'3_Calculations'!F$9*G8/'3_Calculations'!F$45</f>
        <v>0.64148428987417805</v>
      </c>
      <c r="M8" s="14">
        <f>'3_Calculations'!G$9*H8/'3_Calculations'!G$45</f>
        <v>0.51605007047137819</v>
      </c>
      <c r="N8" s="22">
        <f>INDEX('3_Calculations'!C$14:C$24,MATCH($C8,'3_Calculations'!$B$14:$B$24,0))/100</f>
        <v>0.85510897580490874</v>
      </c>
      <c r="O8" s="22">
        <f>INDEX('3_Calculations'!D$14:D$24,MATCH($C8,'3_Calculations'!$B$14:$B$24,0))/100</f>
        <v>0.83361455846008292</v>
      </c>
      <c r="P8" s="22">
        <f>INDEX('3_Calculations'!E$14:E$24,MATCH($C8,'3_Calculations'!$B$14:$B$24,0))/100</f>
        <v>0.81505117202165467</v>
      </c>
      <c r="Q8" s="22">
        <f>INDEX('3_Calculations'!F$14:F$24,MATCH($C8,'3_Calculations'!$B$14:$B$24,0))/100</f>
        <v>0.7885273428770776</v>
      </c>
      <c r="R8" s="22">
        <f>INDEX('3_Calculations'!G$14:G$24,MATCH($C8,'3_Calculations'!$B$14:$B$24,0))/100</f>
        <v>0.64390592579065498</v>
      </c>
    </row>
    <row r="9" spans="1:18" x14ac:dyDescent="0.2">
      <c r="A9">
        <v>6</v>
      </c>
      <c r="B9" t="s">
        <v>50</v>
      </c>
      <c r="C9" t="s">
        <v>29</v>
      </c>
      <c r="D9" s="10">
        <f>INDEX('3_Calculations'!C$30:C$40,MATCH($C9,'3_Calculations'!$B$30:$B$40,0))</f>
        <v>0.88941456341895664</v>
      </c>
      <c r="E9" s="10">
        <f>INDEX('3_Calculations'!D$30:D$40,MATCH($C9,'3_Calculations'!$B$30:$B$40,0))</f>
        <v>0.86870137426742933</v>
      </c>
      <c r="F9" s="10">
        <f>INDEX('3_Calculations'!E$30:E$40,MATCH($C9,'3_Calculations'!$B$30:$B$40,0))</f>
        <v>0.84964760950668217</v>
      </c>
      <c r="G9" s="10">
        <f>INDEX('3_Calculations'!F$30:F$40,MATCH($C9,'3_Calculations'!$B$30:$B$40,0))</f>
        <v>0.82033744083230187</v>
      </c>
      <c r="H9" s="10">
        <f>INDEX('3_Calculations'!G$30:G$40,MATCH($C9,'3_Calculations'!$B$30:$B$40,0))</f>
        <v>0.59890817679996655</v>
      </c>
      <c r="I9" s="14">
        <f>'3_Calculations'!C$9*D9/'3_Calculations'!C$45</f>
        <v>0.63343739249382891</v>
      </c>
      <c r="J9" s="14">
        <f>'3_Calculations'!D$9*E9/'3_Calculations'!D$45</f>
        <v>0.58508939483829703</v>
      </c>
      <c r="K9" s="14">
        <f>'3_Calculations'!E$9*F9/'3_Calculations'!E$45</f>
        <v>0.54695856631343354</v>
      </c>
      <c r="L9" s="14">
        <f>'3_Calculations'!F$9*G9/'3_Calculations'!F$45</f>
        <v>0.49095135028210202</v>
      </c>
      <c r="M9" s="14">
        <f>'3_Calculations'!G$9*H9/'3_Calculations'!G$45</f>
        <v>0.26633645682282575</v>
      </c>
      <c r="N9" s="22">
        <f>INDEX('3_Calculations'!C$14:C$24,MATCH($C9,'3_Calculations'!$B$14:$B$24,0))/100</f>
        <v>0.72832932963420349</v>
      </c>
      <c r="O9" s="22">
        <f>INDEX('3_Calculations'!D$14:D$24,MATCH($C9,'3_Calculations'!$B$14:$B$24,0))/100</f>
        <v>0.68802729711265576</v>
      </c>
      <c r="P9" s="22">
        <f>INDEX('3_Calculations'!E$14:E$24,MATCH($C9,'3_Calculations'!$B$14:$B$24,0))/100</f>
        <v>0.65322094754060256</v>
      </c>
      <c r="Q9" s="22">
        <f>INDEX('3_Calculations'!F$14:F$24,MATCH($C9,'3_Calculations'!$B$14:$B$24,0))/100</f>
        <v>0.60348876789452077</v>
      </c>
      <c r="R9" s="22">
        <f>INDEX('3_Calculations'!G$14:G$24,MATCH($C9,'3_Calculations'!$B$14:$B$24,0))/100</f>
        <v>0.33232361085747802</v>
      </c>
    </row>
    <row r="10" spans="1:18" x14ac:dyDescent="0.2">
      <c r="A10">
        <v>7</v>
      </c>
      <c r="B10" t="s">
        <v>51</v>
      </c>
      <c r="C10" t="s">
        <v>29</v>
      </c>
      <c r="D10" s="10">
        <f>INDEX('3_Calculations'!C$30:C$40,MATCH($C10,'3_Calculations'!$B$30:$B$40,0))</f>
        <v>0.88941456341895664</v>
      </c>
      <c r="E10" s="10">
        <f>INDEX('3_Calculations'!D$30:D$40,MATCH($C10,'3_Calculations'!$B$30:$B$40,0))</f>
        <v>0.86870137426742933</v>
      </c>
      <c r="F10" s="10">
        <f>INDEX('3_Calculations'!E$30:E$40,MATCH($C10,'3_Calculations'!$B$30:$B$40,0))</f>
        <v>0.84964760950668217</v>
      </c>
      <c r="G10" s="10">
        <f>INDEX('3_Calculations'!F$30:F$40,MATCH($C10,'3_Calculations'!$B$30:$B$40,0))</f>
        <v>0.82033744083230187</v>
      </c>
      <c r="H10" s="10">
        <f>INDEX('3_Calculations'!G$30:G$40,MATCH($C10,'3_Calculations'!$B$30:$B$40,0))</f>
        <v>0.59890817679996655</v>
      </c>
      <c r="I10" s="14">
        <f>'3_Calculations'!C$9*D10/'3_Calculations'!C$45</f>
        <v>0.63343739249382891</v>
      </c>
      <c r="J10" s="14">
        <f>'3_Calculations'!D$9*E10/'3_Calculations'!D$45</f>
        <v>0.58508939483829703</v>
      </c>
      <c r="K10" s="14">
        <f>'3_Calculations'!E$9*F10/'3_Calculations'!E$45</f>
        <v>0.54695856631343354</v>
      </c>
      <c r="L10" s="14">
        <f>'3_Calculations'!F$9*G10/'3_Calculations'!F$45</f>
        <v>0.49095135028210202</v>
      </c>
      <c r="M10" s="14">
        <f>'3_Calculations'!G$9*H10/'3_Calculations'!G$45</f>
        <v>0.26633645682282575</v>
      </c>
      <c r="N10" s="22">
        <f>INDEX('3_Calculations'!C$14:C$24,MATCH($C10,'3_Calculations'!$B$14:$B$24,0))/100</f>
        <v>0.72832932963420349</v>
      </c>
      <c r="O10" s="22">
        <f>INDEX('3_Calculations'!D$14:D$24,MATCH($C10,'3_Calculations'!$B$14:$B$24,0))/100</f>
        <v>0.68802729711265576</v>
      </c>
      <c r="P10" s="22">
        <f>INDEX('3_Calculations'!E$14:E$24,MATCH($C10,'3_Calculations'!$B$14:$B$24,0))/100</f>
        <v>0.65322094754060256</v>
      </c>
      <c r="Q10" s="22">
        <f>INDEX('3_Calculations'!F$14:F$24,MATCH($C10,'3_Calculations'!$B$14:$B$24,0))/100</f>
        <v>0.60348876789452077</v>
      </c>
      <c r="R10" s="22">
        <f>INDEX('3_Calculations'!G$14:G$24,MATCH($C10,'3_Calculations'!$B$14:$B$24,0))/100</f>
        <v>0.33232361085747802</v>
      </c>
    </row>
    <row r="11" spans="1:18" x14ac:dyDescent="0.2">
      <c r="A11">
        <v>8</v>
      </c>
      <c r="B11" t="s">
        <v>52</v>
      </c>
      <c r="C11" t="s">
        <v>30</v>
      </c>
      <c r="D11" s="10">
        <f>INDEX('3_Calculations'!C$30:C$40,MATCH($C11,'3_Calculations'!$B$30:$B$40,0))</f>
        <v>0.99999999999999967</v>
      </c>
      <c r="E11" s="10">
        <f>INDEX('3_Calculations'!D$30:D$40,MATCH($C11,'3_Calculations'!$B$30:$B$40,0))</f>
        <v>1</v>
      </c>
      <c r="F11" s="10">
        <f>INDEX('3_Calculations'!E$30:E$40,MATCH($C11,'3_Calculations'!$B$30:$B$40,0))</f>
        <v>0.99999999999999978</v>
      </c>
      <c r="G11" s="10">
        <f>INDEX('3_Calculations'!F$30:F$40,MATCH($C11,'3_Calculations'!$B$30:$B$40,0))</f>
        <v>1</v>
      </c>
      <c r="H11" s="10">
        <f>INDEX('3_Calculations'!G$30:G$40,MATCH($C11,'3_Calculations'!$B$30:$B$40,0))</f>
        <v>1</v>
      </c>
      <c r="I11" s="14">
        <f>'3_Calculations'!C$9*D11/'3_Calculations'!C$45</f>
        <v>0.71219588541350376</v>
      </c>
      <c r="J11" s="14">
        <f>'3_Calculations'!D$9*E11/'3_Calculations'!D$45</f>
        <v>0.67352189390939943</v>
      </c>
      <c r="K11" s="14">
        <f>'3_Calculations'!E$9*F11/'3_Calculations'!E$45</f>
        <v>0.64374754921161437</v>
      </c>
      <c r="L11" s="14">
        <f>'3_Calculations'!F$9*G11/'3_Calculations'!F$45</f>
        <v>0.59847487856215642</v>
      </c>
      <c r="M11" s="14">
        <f>'3_Calculations'!G$9*H11/'3_Calculations'!G$45</f>
        <v>0.44470332371464899</v>
      </c>
      <c r="N11" s="22">
        <f>INDEX('3_Calculations'!C$14:C$24,MATCH($C11,'3_Calculations'!$B$14:$B$24,0))/100</f>
        <v>0.81888621975613574</v>
      </c>
      <c r="O11" s="22">
        <f>INDEX('3_Calculations'!D$14:D$24,MATCH($C11,'3_Calculations'!$B$14:$B$24,0))/100</f>
        <v>0.79201819807510376</v>
      </c>
      <c r="P11" s="22">
        <f>INDEX('3_Calculations'!E$14:E$24,MATCH($C11,'3_Calculations'!$B$14:$B$24,0))/100</f>
        <v>0.76881396502706822</v>
      </c>
      <c r="Q11" s="22">
        <f>INDEX('3_Calculations'!F$14:F$24,MATCH($C11,'3_Calculations'!$B$14:$B$24,0))/100</f>
        <v>0.73565917859634722</v>
      </c>
      <c r="R11" s="22">
        <f>INDEX('3_Calculations'!G$14:G$24,MATCH($C11,'3_Calculations'!$B$14:$B$24,0))/100</f>
        <v>0.55488240723831872</v>
      </c>
    </row>
    <row r="12" spans="1:18" x14ac:dyDescent="0.2">
      <c r="A12">
        <v>9</v>
      </c>
      <c r="B12" t="s">
        <v>53</v>
      </c>
      <c r="C12" t="s">
        <v>30</v>
      </c>
      <c r="D12" s="10">
        <f>INDEX('3_Calculations'!C$30:C$40,MATCH($C12,'3_Calculations'!$B$30:$B$40,0))</f>
        <v>0.99999999999999967</v>
      </c>
      <c r="E12" s="10">
        <f>INDEX('3_Calculations'!D$30:D$40,MATCH($C12,'3_Calculations'!$B$30:$B$40,0))</f>
        <v>1</v>
      </c>
      <c r="F12" s="10">
        <f>INDEX('3_Calculations'!E$30:E$40,MATCH($C12,'3_Calculations'!$B$30:$B$40,0))</f>
        <v>0.99999999999999978</v>
      </c>
      <c r="G12" s="10">
        <f>INDEX('3_Calculations'!F$30:F$40,MATCH($C12,'3_Calculations'!$B$30:$B$40,0))</f>
        <v>1</v>
      </c>
      <c r="H12" s="10">
        <f>INDEX('3_Calculations'!G$30:G$40,MATCH($C12,'3_Calculations'!$B$30:$B$40,0))</f>
        <v>1</v>
      </c>
      <c r="I12" s="14">
        <f>'3_Calculations'!C$9*D12/'3_Calculations'!C$45</f>
        <v>0.71219588541350376</v>
      </c>
      <c r="J12" s="14">
        <f>'3_Calculations'!D$9*E12/'3_Calculations'!D$45</f>
        <v>0.67352189390939943</v>
      </c>
      <c r="K12" s="14">
        <f>'3_Calculations'!E$9*F12/'3_Calculations'!E$45</f>
        <v>0.64374754921161437</v>
      </c>
      <c r="L12" s="14">
        <f>'3_Calculations'!F$9*G12/'3_Calculations'!F$45</f>
        <v>0.59847487856215642</v>
      </c>
      <c r="M12" s="14">
        <f>'3_Calculations'!G$9*H12/'3_Calculations'!G$45</f>
        <v>0.44470332371464899</v>
      </c>
      <c r="N12" s="22">
        <f>INDEX('3_Calculations'!C$14:C$24,MATCH($C12,'3_Calculations'!$B$14:$B$24,0))/100</f>
        <v>0.81888621975613574</v>
      </c>
      <c r="O12" s="22">
        <f>INDEX('3_Calculations'!D$14:D$24,MATCH($C12,'3_Calculations'!$B$14:$B$24,0))/100</f>
        <v>0.79201819807510376</v>
      </c>
      <c r="P12" s="22">
        <f>INDEX('3_Calculations'!E$14:E$24,MATCH($C12,'3_Calculations'!$B$14:$B$24,0))/100</f>
        <v>0.76881396502706822</v>
      </c>
      <c r="Q12" s="22">
        <f>INDEX('3_Calculations'!F$14:F$24,MATCH($C12,'3_Calculations'!$B$14:$B$24,0))/100</f>
        <v>0.73565917859634722</v>
      </c>
      <c r="R12" s="22">
        <f>INDEX('3_Calculations'!G$14:G$24,MATCH($C12,'3_Calculations'!$B$14:$B$24,0))/100</f>
        <v>0.55488240723831872</v>
      </c>
    </row>
    <row r="13" spans="1:18" x14ac:dyDescent="0.2">
      <c r="A13">
        <v>10</v>
      </c>
      <c r="B13" t="s">
        <v>54</v>
      </c>
      <c r="C13" t="s">
        <v>30</v>
      </c>
      <c r="D13" s="10">
        <f>INDEX('3_Calculations'!C$30:C$40,MATCH($C13,'3_Calculations'!$B$30:$B$40,0))</f>
        <v>0.99999999999999967</v>
      </c>
      <c r="E13" s="10">
        <f>INDEX('3_Calculations'!D$30:D$40,MATCH($C13,'3_Calculations'!$B$30:$B$40,0))</f>
        <v>1</v>
      </c>
      <c r="F13" s="10">
        <f>INDEX('3_Calculations'!E$30:E$40,MATCH($C13,'3_Calculations'!$B$30:$B$40,0))</f>
        <v>0.99999999999999978</v>
      </c>
      <c r="G13" s="10">
        <f>INDEX('3_Calculations'!F$30:F$40,MATCH($C13,'3_Calculations'!$B$30:$B$40,0))</f>
        <v>1</v>
      </c>
      <c r="H13" s="10">
        <f>INDEX('3_Calculations'!G$30:G$40,MATCH($C13,'3_Calculations'!$B$30:$B$40,0))</f>
        <v>1</v>
      </c>
      <c r="I13" s="14">
        <f>'3_Calculations'!C$9*D13/'3_Calculations'!C$45</f>
        <v>0.71219588541350376</v>
      </c>
      <c r="J13" s="14">
        <f>'3_Calculations'!D$9*E13/'3_Calculations'!D$45</f>
        <v>0.67352189390939943</v>
      </c>
      <c r="K13" s="14">
        <f>'3_Calculations'!E$9*F13/'3_Calculations'!E$45</f>
        <v>0.64374754921161437</v>
      </c>
      <c r="L13" s="14">
        <f>'3_Calculations'!F$9*G13/'3_Calculations'!F$45</f>
        <v>0.59847487856215642</v>
      </c>
      <c r="M13" s="14">
        <f>'3_Calculations'!G$9*H13/'3_Calculations'!G$45</f>
        <v>0.44470332371464899</v>
      </c>
      <c r="N13" s="22">
        <f>INDEX('3_Calculations'!C$14:C$24,MATCH($C13,'3_Calculations'!$B$14:$B$24,0))/100</f>
        <v>0.81888621975613574</v>
      </c>
      <c r="O13" s="22">
        <f>INDEX('3_Calculations'!D$14:D$24,MATCH($C13,'3_Calculations'!$B$14:$B$24,0))/100</f>
        <v>0.79201819807510376</v>
      </c>
      <c r="P13" s="22">
        <f>INDEX('3_Calculations'!E$14:E$24,MATCH($C13,'3_Calculations'!$B$14:$B$24,0))/100</f>
        <v>0.76881396502706822</v>
      </c>
      <c r="Q13" s="22">
        <f>INDEX('3_Calculations'!F$14:F$24,MATCH($C13,'3_Calculations'!$B$14:$B$24,0))/100</f>
        <v>0.73565917859634722</v>
      </c>
      <c r="R13" s="22">
        <f>INDEX('3_Calculations'!G$14:G$24,MATCH($C13,'3_Calculations'!$B$14:$B$24,0))/100</f>
        <v>0.55488240723831872</v>
      </c>
    </row>
    <row r="14" spans="1:18" x14ac:dyDescent="0.2">
      <c r="A14">
        <v>11</v>
      </c>
      <c r="B14" t="s">
        <v>55</v>
      </c>
      <c r="C14" t="s">
        <v>34</v>
      </c>
      <c r="D14" s="10">
        <f>INDEX('3_Calculations'!C$30:C$40,MATCH($C14,'3_Calculations'!$B$30:$B$40,0))</f>
        <v>0.95129468567931419</v>
      </c>
      <c r="E14" s="10">
        <f>INDEX('3_Calculations'!D$30:D$40,MATCH($C14,'3_Calculations'!$B$30:$B$40,0))</f>
        <v>0.94450154875812042</v>
      </c>
      <c r="F14" s="10">
        <f>INDEX('3_Calculations'!E$30:E$40,MATCH($C14,'3_Calculations'!$B$30:$B$40,0))</f>
        <v>0.94847198001193356</v>
      </c>
      <c r="G14" s="10">
        <f>INDEX('3_Calculations'!F$30:F$40,MATCH($C14,'3_Calculations'!$B$30:$B$40,0))</f>
        <v>0.95865370801439898</v>
      </c>
      <c r="H14" s="10">
        <f>INDEX('3_Calculations'!G$30:G$40,MATCH($C14,'3_Calculations'!$B$30:$B$40,0))</f>
        <v>0.9881774626861356</v>
      </c>
      <c r="I14" s="14">
        <f>'3_Calculations'!C$9*D14/'3_Calculations'!C$45</f>
        <v>0.6775081609565401</v>
      </c>
      <c r="J14" s="14">
        <f>'3_Calculations'!D$9*E14/'3_Calculations'!D$45</f>
        <v>0.63614247191993023</v>
      </c>
      <c r="K14" s="14">
        <f>'3_Calculations'!E$9*F14/'3_Calculations'!E$45</f>
        <v>0.6105765126285696</v>
      </c>
      <c r="L14" s="14">
        <f>'3_Calculations'!F$9*G14/'3_Calculations'!F$45</f>
        <v>0.57373016148707834</v>
      </c>
      <c r="M14" s="14">
        <f>'3_Calculations'!G$9*H14/'3_Calculations'!G$45</f>
        <v>0.43944580207643302</v>
      </c>
      <c r="N14" s="22">
        <f>INDEX('3_Calculations'!C$14:C$24,MATCH($C14,'3_Calculations'!$B$14:$B$24,0))/100</f>
        <v>0.77900210903003531</v>
      </c>
      <c r="O14" s="22">
        <f>INDEX('3_Calculations'!D$14:D$24,MATCH($C14,'3_Calculations'!$B$14:$B$24,0))/100</f>
        <v>0.74806241472655133</v>
      </c>
      <c r="P14" s="22">
        <f>INDEX('3_Calculations'!E$14:E$24,MATCH($C14,'3_Calculations'!$B$14:$B$24,0))/100</f>
        <v>0.72919850367004901</v>
      </c>
      <c r="Q14" s="22">
        <f>INDEX('3_Calculations'!F$14:F$24,MATCH($C14,'3_Calculations'!$B$14:$B$24,0))/100</f>
        <v>0.70524239939621525</v>
      </c>
      <c r="R14" s="22">
        <f>INDEX('3_Calculations'!G$14:G$24,MATCH($C14,'3_Calculations'!$B$14:$B$24,0))/100</f>
        <v>0.54832228927393678</v>
      </c>
    </row>
    <row r="15" spans="1:18" x14ac:dyDescent="0.2">
      <c r="A15">
        <v>12</v>
      </c>
      <c r="B15" t="s">
        <v>56</v>
      </c>
      <c r="C15" t="s">
        <v>34</v>
      </c>
      <c r="D15" s="10">
        <f>INDEX('3_Calculations'!C$30:C$40,MATCH($C15,'3_Calculations'!$B$30:$B$40,0))</f>
        <v>0.95129468567931419</v>
      </c>
      <c r="E15" s="10">
        <f>INDEX('3_Calculations'!D$30:D$40,MATCH($C15,'3_Calculations'!$B$30:$B$40,0))</f>
        <v>0.94450154875812042</v>
      </c>
      <c r="F15" s="10">
        <f>INDEX('3_Calculations'!E$30:E$40,MATCH($C15,'3_Calculations'!$B$30:$B$40,0))</f>
        <v>0.94847198001193356</v>
      </c>
      <c r="G15" s="10">
        <f>INDEX('3_Calculations'!F$30:F$40,MATCH($C15,'3_Calculations'!$B$30:$B$40,0))</f>
        <v>0.95865370801439898</v>
      </c>
      <c r="H15" s="10">
        <f>INDEX('3_Calculations'!G$30:G$40,MATCH($C15,'3_Calculations'!$B$30:$B$40,0))</f>
        <v>0.9881774626861356</v>
      </c>
      <c r="I15" s="14">
        <f>'3_Calculations'!C$9*D15/'3_Calculations'!C$45</f>
        <v>0.6775081609565401</v>
      </c>
      <c r="J15" s="14">
        <f>'3_Calculations'!D$9*E15/'3_Calculations'!D$45</f>
        <v>0.63614247191993023</v>
      </c>
      <c r="K15" s="14">
        <f>'3_Calculations'!E$9*F15/'3_Calculations'!E$45</f>
        <v>0.6105765126285696</v>
      </c>
      <c r="L15" s="14">
        <f>'3_Calculations'!F$9*G15/'3_Calculations'!F$45</f>
        <v>0.57373016148707834</v>
      </c>
      <c r="M15" s="14">
        <f>'3_Calculations'!G$9*H15/'3_Calculations'!G$45</f>
        <v>0.43944580207643302</v>
      </c>
      <c r="N15" s="22">
        <f>INDEX('3_Calculations'!C$14:C$24,MATCH($C15,'3_Calculations'!$B$14:$B$24,0))/100</f>
        <v>0.77900210903003531</v>
      </c>
      <c r="O15" s="22">
        <f>INDEX('3_Calculations'!D$14:D$24,MATCH($C15,'3_Calculations'!$B$14:$B$24,0))/100</f>
        <v>0.74806241472655133</v>
      </c>
      <c r="P15" s="22">
        <f>INDEX('3_Calculations'!E$14:E$24,MATCH($C15,'3_Calculations'!$B$14:$B$24,0))/100</f>
        <v>0.72919850367004901</v>
      </c>
      <c r="Q15" s="22">
        <f>INDEX('3_Calculations'!F$14:F$24,MATCH($C15,'3_Calculations'!$B$14:$B$24,0))/100</f>
        <v>0.70524239939621525</v>
      </c>
      <c r="R15" s="22">
        <f>INDEX('3_Calculations'!G$14:G$24,MATCH($C15,'3_Calculations'!$B$14:$B$24,0))/100</f>
        <v>0.54832228927393678</v>
      </c>
    </row>
    <row r="16" spans="1:18" x14ac:dyDescent="0.2">
      <c r="A16">
        <v>13</v>
      </c>
      <c r="B16" t="s">
        <v>57</v>
      </c>
      <c r="C16" t="s">
        <v>35</v>
      </c>
      <c r="D16" s="10">
        <f>INDEX('3_Calculations'!C$30:C$40,MATCH($C16,'3_Calculations'!$B$30:$B$40,0))</f>
        <v>0.95129468567931419</v>
      </c>
      <c r="E16" s="10">
        <f>INDEX('3_Calculations'!D$30:D$40,MATCH($C16,'3_Calculations'!$B$30:$B$40,0))</f>
        <v>0.94450154875812042</v>
      </c>
      <c r="F16" s="10">
        <f>INDEX('3_Calculations'!E$30:E$40,MATCH($C16,'3_Calculations'!$B$30:$B$40,0))</f>
        <v>0.94847198001193356</v>
      </c>
      <c r="G16" s="10">
        <f>INDEX('3_Calculations'!F$30:F$40,MATCH($C16,'3_Calculations'!$B$30:$B$40,0))</f>
        <v>0.95865370801439898</v>
      </c>
      <c r="H16" s="10">
        <f>INDEX('3_Calculations'!G$30:G$40,MATCH($C16,'3_Calculations'!$B$30:$B$40,0))</f>
        <v>0.98817746268613571</v>
      </c>
      <c r="I16" s="14">
        <f>'3_Calculations'!C$9*D16/'3_Calculations'!C$45</f>
        <v>0.6775081609565401</v>
      </c>
      <c r="J16" s="14">
        <f>'3_Calculations'!D$9*E16/'3_Calculations'!D$45</f>
        <v>0.63614247191993023</v>
      </c>
      <c r="K16" s="14">
        <f>'3_Calculations'!E$9*F16/'3_Calculations'!E$45</f>
        <v>0.6105765126285696</v>
      </c>
      <c r="L16" s="14">
        <f>'3_Calculations'!F$9*G16/'3_Calculations'!F$45</f>
        <v>0.57373016148707834</v>
      </c>
      <c r="M16" s="14">
        <f>'3_Calculations'!G$9*H16/'3_Calculations'!G$45</f>
        <v>0.43944580207643308</v>
      </c>
      <c r="N16" s="22">
        <f>INDEX('3_Calculations'!C$14:C$24,MATCH($C16,'3_Calculations'!$B$14:$B$24,0))/100</f>
        <v>0.77900210903003531</v>
      </c>
      <c r="O16" s="22">
        <f>INDEX('3_Calculations'!D$14:D$24,MATCH($C16,'3_Calculations'!$B$14:$B$24,0))/100</f>
        <v>0.74806241472655133</v>
      </c>
      <c r="P16" s="22">
        <f>INDEX('3_Calculations'!E$14:E$24,MATCH($C16,'3_Calculations'!$B$14:$B$24,0))/100</f>
        <v>0.72919850367004901</v>
      </c>
      <c r="Q16" s="22">
        <f>INDEX('3_Calculations'!F$14:F$24,MATCH($C16,'3_Calculations'!$B$14:$B$24,0))/100</f>
        <v>0.70524239939621525</v>
      </c>
      <c r="R16" s="22">
        <f>INDEX('3_Calculations'!G$14:G$24,MATCH($C16,'3_Calculations'!$B$14:$B$24,0))/100</f>
        <v>0.54832228927393689</v>
      </c>
    </row>
    <row r="17" spans="1:18" x14ac:dyDescent="0.2">
      <c r="A17">
        <v>14</v>
      </c>
      <c r="B17" t="s">
        <v>58</v>
      </c>
      <c r="C17" t="s">
        <v>31</v>
      </c>
      <c r="D17" s="10">
        <f>INDEX('3_Calculations'!C$30:C$40,MATCH($C17,'3_Calculations'!$B$30:$B$40,0))</f>
        <v>0.99999999999999967</v>
      </c>
      <c r="E17" s="10">
        <f>INDEX('3_Calculations'!D$30:D$40,MATCH($C17,'3_Calculations'!$B$30:$B$40,0))</f>
        <v>1</v>
      </c>
      <c r="F17" s="10">
        <f>INDEX('3_Calculations'!E$30:E$40,MATCH($C17,'3_Calculations'!$B$30:$B$40,0))</f>
        <v>1</v>
      </c>
      <c r="G17" s="10">
        <f>INDEX('3_Calculations'!F$30:F$40,MATCH($C17,'3_Calculations'!$B$30:$B$40,0))</f>
        <v>1</v>
      </c>
      <c r="H17" s="10">
        <f>INDEX('3_Calculations'!G$30:G$40,MATCH($C17,'3_Calculations'!$B$30:$B$40,0))</f>
        <v>1</v>
      </c>
      <c r="I17" s="14">
        <f>'3_Calculations'!C$9*D17/'3_Calculations'!C$45</f>
        <v>0.71219588541350376</v>
      </c>
      <c r="J17" s="14">
        <f>'3_Calculations'!D$9*E17/'3_Calculations'!D$45</f>
        <v>0.67352189390939943</v>
      </c>
      <c r="K17" s="14">
        <f>'3_Calculations'!E$9*F17/'3_Calculations'!E$45</f>
        <v>0.64374754921161448</v>
      </c>
      <c r="L17" s="14">
        <f>'3_Calculations'!F$9*G17/'3_Calculations'!F$45</f>
        <v>0.59847487856215642</v>
      </c>
      <c r="M17" s="14">
        <f>'3_Calculations'!G$9*H17/'3_Calculations'!G$45</f>
        <v>0.44470332371464899</v>
      </c>
      <c r="N17" s="22">
        <f>INDEX('3_Calculations'!C$14:C$24,MATCH($C17,'3_Calculations'!$B$14:$B$24,0))/100</f>
        <v>0.81888621975613574</v>
      </c>
      <c r="O17" s="22">
        <f>INDEX('3_Calculations'!D$14:D$24,MATCH($C17,'3_Calculations'!$B$14:$B$24,0))/100</f>
        <v>0.79201819807510376</v>
      </c>
      <c r="P17" s="22">
        <f>INDEX('3_Calculations'!E$14:E$24,MATCH($C17,'3_Calculations'!$B$14:$B$24,0))/100</f>
        <v>0.76881396502706834</v>
      </c>
      <c r="Q17" s="22">
        <f>INDEX('3_Calculations'!F$14:F$24,MATCH($C17,'3_Calculations'!$B$14:$B$24,0))/100</f>
        <v>0.73565917859634722</v>
      </c>
      <c r="R17" s="22">
        <f>INDEX('3_Calculations'!G$14:G$24,MATCH($C17,'3_Calculations'!$B$14:$B$24,0))/100</f>
        <v>0.55488240723831872</v>
      </c>
    </row>
    <row r="18" spans="1:18" x14ac:dyDescent="0.2">
      <c r="A18">
        <v>15</v>
      </c>
      <c r="B18" t="s">
        <v>59</v>
      </c>
      <c r="C18" t="s">
        <v>34</v>
      </c>
      <c r="D18" s="10">
        <f>INDEX('3_Calculations'!C$30:C$40,MATCH($C18,'3_Calculations'!$B$30:$B$40,0))</f>
        <v>0.95129468567931419</v>
      </c>
      <c r="E18" s="10">
        <f>INDEX('3_Calculations'!D$30:D$40,MATCH($C18,'3_Calculations'!$B$30:$B$40,0))</f>
        <v>0.94450154875812042</v>
      </c>
      <c r="F18" s="10">
        <f>INDEX('3_Calculations'!E$30:E$40,MATCH($C18,'3_Calculations'!$B$30:$B$40,0))</f>
        <v>0.94847198001193356</v>
      </c>
      <c r="G18" s="10">
        <f>INDEX('3_Calculations'!F$30:F$40,MATCH($C18,'3_Calculations'!$B$30:$B$40,0))</f>
        <v>0.95865370801439898</v>
      </c>
      <c r="H18" s="10">
        <f>INDEX('3_Calculations'!G$30:G$40,MATCH($C18,'3_Calculations'!$B$30:$B$40,0))</f>
        <v>0.9881774626861356</v>
      </c>
      <c r="I18" s="14">
        <f>'3_Calculations'!C$9*D18/'3_Calculations'!C$45</f>
        <v>0.6775081609565401</v>
      </c>
      <c r="J18" s="14">
        <f>'3_Calculations'!D$9*E18/'3_Calculations'!D$45</f>
        <v>0.63614247191993023</v>
      </c>
      <c r="K18" s="14">
        <f>'3_Calculations'!E$9*F18/'3_Calculations'!E$45</f>
        <v>0.6105765126285696</v>
      </c>
      <c r="L18" s="14">
        <f>'3_Calculations'!F$9*G18/'3_Calculations'!F$45</f>
        <v>0.57373016148707834</v>
      </c>
      <c r="M18" s="14">
        <f>'3_Calculations'!G$9*H18/'3_Calculations'!G$45</f>
        <v>0.43944580207643302</v>
      </c>
      <c r="N18" s="22">
        <f>INDEX('3_Calculations'!C$14:C$24,MATCH($C18,'3_Calculations'!$B$14:$B$24,0))/100</f>
        <v>0.77900210903003531</v>
      </c>
      <c r="O18" s="22">
        <f>INDEX('3_Calculations'!D$14:D$24,MATCH($C18,'3_Calculations'!$B$14:$B$24,0))/100</f>
        <v>0.74806241472655133</v>
      </c>
      <c r="P18" s="22">
        <f>INDEX('3_Calculations'!E$14:E$24,MATCH($C18,'3_Calculations'!$B$14:$B$24,0))/100</f>
        <v>0.72919850367004901</v>
      </c>
      <c r="Q18" s="22">
        <f>INDEX('3_Calculations'!F$14:F$24,MATCH($C18,'3_Calculations'!$B$14:$B$24,0))/100</f>
        <v>0.70524239939621525</v>
      </c>
      <c r="R18" s="22">
        <f>INDEX('3_Calculations'!G$14:G$24,MATCH($C18,'3_Calculations'!$B$14:$B$24,0))/100</f>
        <v>0.54832228927393678</v>
      </c>
    </row>
    <row r="19" spans="1:18" x14ac:dyDescent="0.2">
      <c r="A19">
        <v>16</v>
      </c>
      <c r="B19" t="s">
        <v>60</v>
      </c>
      <c r="C19" t="s">
        <v>34</v>
      </c>
      <c r="D19" s="10">
        <f>INDEX('3_Calculations'!C$30:C$40,MATCH($C19,'3_Calculations'!$B$30:$B$40,0))</f>
        <v>0.95129468567931419</v>
      </c>
      <c r="E19" s="10">
        <f>INDEX('3_Calculations'!D$30:D$40,MATCH($C19,'3_Calculations'!$B$30:$B$40,0))</f>
        <v>0.94450154875812042</v>
      </c>
      <c r="F19" s="10">
        <f>INDEX('3_Calculations'!E$30:E$40,MATCH($C19,'3_Calculations'!$B$30:$B$40,0))</f>
        <v>0.94847198001193356</v>
      </c>
      <c r="G19" s="10">
        <f>INDEX('3_Calculations'!F$30:F$40,MATCH($C19,'3_Calculations'!$B$30:$B$40,0))</f>
        <v>0.95865370801439898</v>
      </c>
      <c r="H19" s="10">
        <f>INDEX('3_Calculations'!G$30:G$40,MATCH($C19,'3_Calculations'!$B$30:$B$40,0))</f>
        <v>0.9881774626861356</v>
      </c>
      <c r="I19" s="14">
        <f>'3_Calculations'!C$9*D19/'3_Calculations'!C$45</f>
        <v>0.6775081609565401</v>
      </c>
      <c r="J19" s="14">
        <f>'3_Calculations'!D$9*E19/'3_Calculations'!D$45</f>
        <v>0.63614247191993023</v>
      </c>
      <c r="K19" s="14">
        <f>'3_Calculations'!E$9*F19/'3_Calculations'!E$45</f>
        <v>0.6105765126285696</v>
      </c>
      <c r="L19" s="14">
        <f>'3_Calculations'!F$9*G19/'3_Calculations'!F$45</f>
        <v>0.57373016148707834</v>
      </c>
      <c r="M19" s="14">
        <f>'3_Calculations'!G$9*H19/'3_Calculations'!G$45</f>
        <v>0.43944580207643302</v>
      </c>
      <c r="N19" s="22">
        <f>INDEX('3_Calculations'!C$14:C$24,MATCH($C19,'3_Calculations'!$B$14:$B$24,0))/100</f>
        <v>0.77900210903003531</v>
      </c>
      <c r="O19" s="22">
        <f>INDEX('3_Calculations'!D$14:D$24,MATCH($C19,'3_Calculations'!$B$14:$B$24,0))/100</f>
        <v>0.74806241472655133</v>
      </c>
      <c r="P19" s="22">
        <f>INDEX('3_Calculations'!E$14:E$24,MATCH($C19,'3_Calculations'!$B$14:$B$24,0))/100</f>
        <v>0.72919850367004901</v>
      </c>
      <c r="Q19" s="22">
        <f>INDEX('3_Calculations'!F$14:F$24,MATCH($C19,'3_Calculations'!$B$14:$B$24,0))/100</f>
        <v>0.70524239939621525</v>
      </c>
      <c r="R19" s="22">
        <f>INDEX('3_Calculations'!G$14:G$24,MATCH($C19,'3_Calculations'!$B$14:$B$24,0))/100</f>
        <v>0.54832228927393678</v>
      </c>
    </row>
    <row r="20" spans="1:18" x14ac:dyDescent="0.2">
      <c r="A20">
        <v>17</v>
      </c>
      <c r="B20" t="s">
        <v>61</v>
      </c>
      <c r="C20" t="s">
        <v>34</v>
      </c>
      <c r="D20" s="10">
        <f>INDEX('3_Calculations'!C$30:C$40,MATCH($C20,'3_Calculations'!$B$30:$B$40,0))</f>
        <v>0.95129468567931419</v>
      </c>
      <c r="E20" s="10">
        <f>INDEX('3_Calculations'!D$30:D$40,MATCH($C20,'3_Calculations'!$B$30:$B$40,0))</f>
        <v>0.94450154875812042</v>
      </c>
      <c r="F20" s="10">
        <f>INDEX('3_Calculations'!E$30:E$40,MATCH($C20,'3_Calculations'!$B$30:$B$40,0))</f>
        <v>0.94847198001193356</v>
      </c>
      <c r="G20" s="10">
        <f>INDEX('3_Calculations'!F$30:F$40,MATCH($C20,'3_Calculations'!$B$30:$B$40,0))</f>
        <v>0.95865370801439898</v>
      </c>
      <c r="H20" s="10">
        <f>INDEX('3_Calculations'!G$30:G$40,MATCH($C20,'3_Calculations'!$B$30:$B$40,0))</f>
        <v>0.9881774626861356</v>
      </c>
      <c r="I20" s="14">
        <f>'3_Calculations'!C$9*D20/'3_Calculations'!C$45</f>
        <v>0.6775081609565401</v>
      </c>
      <c r="J20" s="14">
        <f>'3_Calculations'!D$9*E20/'3_Calculations'!D$45</f>
        <v>0.63614247191993023</v>
      </c>
      <c r="K20" s="14">
        <f>'3_Calculations'!E$9*F20/'3_Calculations'!E$45</f>
        <v>0.6105765126285696</v>
      </c>
      <c r="L20" s="14">
        <f>'3_Calculations'!F$9*G20/'3_Calculations'!F$45</f>
        <v>0.57373016148707834</v>
      </c>
      <c r="M20" s="14">
        <f>'3_Calculations'!G$9*H20/'3_Calculations'!G$45</f>
        <v>0.43944580207643302</v>
      </c>
      <c r="N20" s="22">
        <f>INDEX('3_Calculations'!C$14:C$24,MATCH($C20,'3_Calculations'!$B$14:$B$24,0))/100</f>
        <v>0.77900210903003531</v>
      </c>
      <c r="O20" s="22">
        <f>INDEX('3_Calculations'!D$14:D$24,MATCH($C20,'3_Calculations'!$B$14:$B$24,0))/100</f>
        <v>0.74806241472655133</v>
      </c>
      <c r="P20" s="22">
        <f>INDEX('3_Calculations'!E$14:E$24,MATCH($C20,'3_Calculations'!$B$14:$B$24,0))/100</f>
        <v>0.72919850367004901</v>
      </c>
      <c r="Q20" s="22">
        <f>INDEX('3_Calculations'!F$14:F$24,MATCH($C20,'3_Calculations'!$B$14:$B$24,0))/100</f>
        <v>0.70524239939621525</v>
      </c>
      <c r="R20" s="22">
        <f>INDEX('3_Calculations'!G$14:G$24,MATCH($C20,'3_Calculations'!$B$14:$B$24,0))/100</f>
        <v>0.54832228927393678</v>
      </c>
    </row>
    <row r="21" spans="1:18" x14ac:dyDescent="0.2">
      <c r="A21">
        <v>18</v>
      </c>
      <c r="B21" t="s">
        <v>62</v>
      </c>
      <c r="C21" t="s">
        <v>34</v>
      </c>
      <c r="D21" s="10">
        <f>INDEX('3_Calculations'!C$30:C$40,MATCH($C21,'3_Calculations'!$B$30:$B$40,0))</f>
        <v>0.95129468567931419</v>
      </c>
      <c r="E21" s="10">
        <f>INDEX('3_Calculations'!D$30:D$40,MATCH($C21,'3_Calculations'!$B$30:$B$40,0))</f>
        <v>0.94450154875812042</v>
      </c>
      <c r="F21" s="10">
        <f>INDEX('3_Calculations'!E$30:E$40,MATCH($C21,'3_Calculations'!$B$30:$B$40,0))</f>
        <v>0.94847198001193356</v>
      </c>
      <c r="G21" s="10">
        <f>INDEX('3_Calculations'!F$30:F$40,MATCH($C21,'3_Calculations'!$B$30:$B$40,0))</f>
        <v>0.95865370801439898</v>
      </c>
      <c r="H21" s="10">
        <f>INDEX('3_Calculations'!G$30:G$40,MATCH($C21,'3_Calculations'!$B$30:$B$40,0))</f>
        <v>0.9881774626861356</v>
      </c>
      <c r="I21" s="14">
        <f>'3_Calculations'!C$9*D21/'3_Calculations'!C$45</f>
        <v>0.6775081609565401</v>
      </c>
      <c r="J21" s="14">
        <f>'3_Calculations'!D$9*E21/'3_Calculations'!D$45</f>
        <v>0.63614247191993023</v>
      </c>
      <c r="K21" s="14">
        <f>'3_Calculations'!E$9*F21/'3_Calculations'!E$45</f>
        <v>0.6105765126285696</v>
      </c>
      <c r="L21" s="14">
        <f>'3_Calculations'!F$9*G21/'3_Calculations'!F$45</f>
        <v>0.57373016148707834</v>
      </c>
      <c r="M21" s="14">
        <f>'3_Calculations'!G$9*H21/'3_Calculations'!G$45</f>
        <v>0.43944580207643302</v>
      </c>
      <c r="N21" s="22">
        <f>INDEX('3_Calculations'!C$14:C$24,MATCH($C21,'3_Calculations'!$B$14:$B$24,0))/100</f>
        <v>0.77900210903003531</v>
      </c>
      <c r="O21" s="22">
        <f>INDEX('3_Calculations'!D$14:D$24,MATCH($C21,'3_Calculations'!$B$14:$B$24,0))/100</f>
        <v>0.74806241472655133</v>
      </c>
      <c r="P21" s="22">
        <f>INDEX('3_Calculations'!E$14:E$24,MATCH($C21,'3_Calculations'!$B$14:$B$24,0))/100</f>
        <v>0.72919850367004901</v>
      </c>
      <c r="Q21" s="22">
        <f>INDEX('3_Calculations'!F$14:F$24,MATCH($C21,'3_Calculations'!$B$14:$B$24,0))/100</f>
        <v>0.70524239939621525</v>
      </c>
      <c r="R21" s="22">
        <f>INDEX('3_Calculations'!G$14:G$24,MATCH($C21,'3_Calculations'!$B$14:$B$24,0))/100</f>
        <v>0.54832228927393678</v>
      </c>
    </row>
    <row r="22" spans="1:18" x14ac:dyDescent="0.2">
      <c r="A22">
        <v>19</v>
      </c>
      <c r="B22" t="s">
        <v>63</v>
      </c>
      <c r="C22" t="s">
        <v>34</v>
      </c>
      <c r="D22" s="10">
        <f>INDEX('3_Calculations'!C$30:C$40,MATCH($C22,'3_Calculations'!$B$30:$B$40,0))</f>
        <v>0.95129468567931419</v>
      </c>
      <c r="E22" s="10">
        <f>INDEX('3_Calculations'!D$30:D$40,MATCH($C22,'3_Calculations'!$B$30:$B$40,0))</f>
        <v>0.94450154875812042</v>
      </c>
      <c r="F22" s="10">
        <f>INDEX('3_Calculations'!E$30:E$40,MATCH($C22,'3_Calculations'!$B$30:$B$40,0))</f>
        <v>0.94847198001193356</v>
      </c>
      <c r="G22" s="10">
        <f>INDEX('3_Calculations'!F$30:F$40,MATCH($C22,'3_Calculations'!$B$30:$B$40,0))</f>
        <v>0.95865370801439898</v>
      </c>
      <c r="H22" s="10">
        <f>INDEX('3_Calculations'!G$30:G$40,MATCH($C22,'3_Calculations'!$B$30:$B$40,0))</f>
        <v>0.9881774626861356</v>
      </c>
      <c r="I22" s="14">
        <f>'3_Calculations'!C$9*D22/'3_Calculations'!C$45</f>
        <v>0.6775081609565401</v>
      </c>
      <c r="J22" s="14">
        <f>'3_Calculations'!D$9*E22/'3_Calculations'!D$45</f>
        <v>0.63614247191993023</v>
      </c>
      <c r="K22" s="14">
        <f>'3_Calculations'!E$9*F22/'3_Calculations'!E$45</f>
        <v>0.6105765126285696</v>
      </c>
      <c r="L22" s="14">
        <f>'3_Calculations'!F$9*G22/'3_Calculations'!F$45</f>
        <v>0.57373016148707834</v>
      </c>
      <c r="M22" s="14">
        <f>'3_Calculations'!G$9*H22/'3_Calculations'!G$45</f>
        <v>0.43944580207643302</v>
      </c>
      <c r="N22" s="22">
        <f>INDEX('3_Calculations'!C$14:C$24,MATCH($C22,'3_Calculations'!$B$14:$B$24,0))/100</f>
        <v>0.77900210903003531</v>
      </c>
      <c r="O22" s="22">
        <f>INDEX('3_Calculations'!D$14:D$24,MATCH($C22,'3_Calculations'!$B$14:$B$24,0))/100</f>
        <v>0.74806241472655133</v>
      </c>
      <c r="P22" s="22">
        <f>INDEX('3_Calculations'!E$14:E$24,MATCH($C22,'3_Calculations'!$B$14:$B$24,0))/100</f>
        <v>0.72919850367004901</v>
      </c>
      <c r="Q22" s="22">
        <f>INDEX('3_Calculations'!F$14:F$24,MATCH($C22,'3_Calculations'!$B$14:$B$24,0))/100</f>
        <v>0.70524239939621525</v>
      </c>
      <c r="R22" s="22">
        <f>INDEX('3_Calculations'!G$14:G$24,MATCH($C22,'3_Calculations'!$B$14:$B$24,0))/100</f>
        <v>0.54832228927393678</v>
      </c>
    </row>
    <row r="23" spans="1:18" x14ac:dyDescent="0.2">
      <c r="A23">
        <v>20</v>
      </c>
      <c r="B23" t="s">
        <v>64</v>
      </c>
      <c r="C23" t="s">
        <v>34</v>
      </c>
      <c r="D23" s="10">
        <f>INDEX('3_Calculations'!C$30:C$40,MATCH($C23,'3_Calculations'!$B$30:$B$40,0))</f>
        <v>0.95129468567931419</v>
      </c>
      <c r="E23" s="10">
        <f>INDEX('3_Calculations'!D$30:D$40,MATCH($C23,'3_Calculations'!$B$30:$B$40,0))</f>
        <v>0.94450154875812042</v>
      </c>
      <c r="F23" s="10">
        <f>INDEX('3_Calculations'!E$30:E$40,MATCH($C23,'3_Calculations'!$B$30:$B$40,0))</f>
        <v>0.94847198001193356</v>
      </c>
      <c r="G23" s="10">
        <f>INDEX('3_Calculations'!F$30:F$40,MATCH($C23,'3_Calculations'!$B$30:$B$40,0))</f>
        <v>0.95865370801439898</v>
      </c>
      <c r="H23" s="10">
        <f>INDEX('3_Calculations'!G$30:G$40,MATCH($C23,'3_Calculations'!$B$30:$B$40,0))</f>
        <v>0.9881774626861356</v>
      </c>
      <c r="I23" s="14">
        <f>'3_Calculations'!C$9*D23/'3_Calculations'!C$45</f>
        <v>0.6775081609565401</v>
      </c>
      <c r="J23" s="14">
        <f>'3_Calculations'!D$9*E23/'3_Calculations'!D$45</f>
        <v>0.63614247191993023</v>
      </c>
      <c r="K23" s="14">
        <f>'3_Calculations'!E$9*F23/'3_Calculations'!E$45</f>
        <v>0.6105765126285696</v>
      </c>
      <c r="L23" s="14">
        <f>'3_Calculations'!F$9*G23/'3_Calculations'!F$45</f>
        <v>0.57373016148707834</v>
      </c>
      <c r="M23" s="14">
        <f>'3_Calculations'!G$9*H23/'3_Calculations'!G$45</f>
        <v>0.43944580207643302</v>
      </c>
      <c r="N23" s="22">
        <f>INDEX('3_Calculations'!C$14:C$24,MATCH($C23,'3_Calculations'!$B$14:$B$24,0))/100</f>
        <v>0.77900210903003531</v>
      </c>
      <c r="O23" s="22">
        <f>INDEX('3_Calculations'!D$14:D$24,MATCH($C23,'3_Calculations'!$B$14:$B$24,0))/100</f>
        <v>0.74806241472655133</v>
      </c>
      <c r="P23" s="22">
        <f>INDEX('3_Calculations'!E$14:E$24,MATCH($C23,'3_Calculations'!$B$14:$B$24,0))/100</f>
        <v>0.72919850367004901</v>
      </c>
      <c r="Q23" s="22">
        <f>INDEX('3_Calculations'!F$14:F$24,MATCH($C23,'3_Calculations'!$B$14:$B$24,0))/100</f>
        <v>0.70524239939621525</v>
      </c>
      <c r="R23" s="22">
        <f>INDEX('3_Calculations'!G$14:G$24,MATCH($C23,'3_Calculations'!$B$14:$B$24,0))/100</f>
        <v>0.54832228927393678</v>
      </c>
    </row>
    <row r="24" spans="1:18" x14ac:dyDescent="0.2">
      <c r="A24">
        <v>21</v>
      </c>
      <c r="B24" t="s">
        <v>65</v>
      </c>
      <c r="C24" t="s">
        <v>34</v>
      </c>
      <c r="D24" s="10">
        <f>INDEX('3_Calculations'!C$30:C$40,MATCH($C24,'3_Calculations'!$B$30:$B$40,0))</f>
        <v>0.95129468567931419</v>
      </c>
      <c r="E24" s="10">
        <f>INDEX('3_Calculations'!D$30:D$40,MATCH($C24,'3_Calculations'!$B$30:$B$40,0))</f>
        <v>0.94450154875812042</v>
      </c>
      <c r="F24" s="10">
        <f>INDEX('3_Calculations'!E$30:E$40,MATCH($C24,'3_Calculations'!$B$30:$B$40,0))</f>
        <v>0.94847198001193356</v>
      </c>
      <c r="G24" s="10">
        <f>INDEX('3_Calculations'!F$30:F$40,MATCH($C24,'3_Calculations'!$B$30:$B$40,0))</f>
        <v>0.95865370801439898</v>
      </c>
      <c r="H24" s="10">
        <f>INDEX('3_Calculations'!G$30:G$40,MATCH($C24,'3_Calculations'!$B$30:$B$40,0))</f>
        <v>0.9881774626861356</v>
      </c>
      <c r="I24" s="14">
        <f>'3_Calculations'!C$9*D24/'3_Calculations'!C$45</f>
        <v>0.6775081609565401</v>
      </c>
      <c r="J24" s="14">
        <f>'3_Calculations'!D$9*E24/'3_Calculations'!D$45</f>
        <v>0.63614247191993023</v>
      </c>
      <c r="K24" s="14">
        <f>'3_Calculations'!E$9*F24/'3_Calculations'!E$45</f>
        <v>0.6105765126285696</v>
      </c>
      <c r="L24" s="14">
        <f>'3_Calculations'!F$9*G24/'3_Calculations'!F$45</f>
        <v>0.57373016148707834</v>
      </c>
      <c r="M24" s="14">
        <f>'3_Calculations'!G$9*H24/'3_Calculations'!G$45</f>
        <v>0.43944580207643302</v>
      </c>
      <c r="N24" s="22">
        <f>INDEX('3_Calculations'!C$14:C$24,MATCH($C24,'3_Calculations'!$B$14:$B$24,0))/100</f>
        <v>0.77900210903003531</v>
      </c>
      <c r="O24" s="22">
        <f>INDEX('3_Calculations'!D$14:D$24,MATCH($C24,'3_Calculations'!$B$14:$B$24,0))/100</f>
        <v>0.74806241472655133</v>
      </c>
      <c r="P24" s="22">
        <f>INDEX('3_Calculations'!E$14:E$24,MATCH($C24,'3_Calculations'!$B$14:$B$24,0))/100</f>
        <v>0.72919850367004901</v>
      </c>
      <c r="Q24" s="22">
        <f>INDEX('3_Calculations'!F$14:F$24,MATCH($C24,'3_Calculations'!$B$14:$B$24,0))/100</f>
        <v>0.70524239939621525</v>
      </c>
      <c r="R24" s="22">
        <f>INDEX('3_Calculations'!G$14:G$24,MATCH($C24,'3_Calculations'!$B$14:$B$24,0))/100</f>
        <v>0.54832228927393678</v>
      </c>
    </row>
    <row r="25" spans="1:18" x14ac:dyDescent="0.2">
      <c r="A25">
        <v>22</v>
      </c>
      <c r="B25" t="s">
        <v>66</v>
      </c>
      <c r="C25" t="s">
        <v>34</v>
      </c>
      <c r="D25" s="10">
        <f>INDEX('3_Calculations'!C$30:C$40,MATCH($C25,'3_Calculations'!$B$30:$B$40,0))</f>
        <v>0.95129468567931419</v>
      </c>
      <c r="E25" s="10">
        <f>INDEX('3_Calculations'!D$30:D$40,MATCH($C25,'3_Calculations'!$B$30:$B$40,0))</f>
        <v>0.94450154875812042</v>
      </c>
      <c r="F25" s="10">
        <f>INDEX('3_Calculations'!E$30:E$40,MATCH($C25,'3_Calculations'!$B$30:$B$40,0))</f>
        <v>0.94847198001193356</v>
      </c>
      <c r="G25" s="10">
        <f>INDEX('3_Calculations'!F$30:F$40,MATCH($C25,'3_Calculations'!$B$30:$B$40,0))</f>
        <v>0.95865370801439898</v>
      </c>
      <c r="H25" s="10">
        <f>INDEX('3_Calculations'!G$30:G$40,MATCH($C25,'3_Calculations'!$B$30:$B$40,0))</f>
        <v>0.9881774626861356</v>
      </c>
      <c r="I25" s="14">
        <f>'3_Calculations'!C$9*D25/'3_Calculations'!C$45</f>
        <v>0.6775081609565401</v>
      </c>
      <c r="J25" s="14">
        <f>'3_Calculations'!D$9*E25/'3_Calculations'!D$45</f>
        <v>0.63614247191993023</v>
      </c>
      <c r="K25" s="14">
        <f>'3_Calculations'!E$9*F25/'3_Calculations'!E$45</f>
        <v>0.6105765126285696</v>
      </c>
      <c r="L25" s="14">
        <f>'3_Calculations'!F$9*G25/'3_Calculations'!F$45</f>
        <v>0.57373016148707834</v>
      </c>
      <c r="M25" s="14">
        <f>'3_Calculations'!G$9*H25/'3_Calculations'!G$45</f>
        <v>0.43944580207643302</v>
      </c>
      <c r="N25" s="22">
        <f>INDEX('3_Calculations'!C$14:C$24,MATCH($C25,'3_Calculations'!$B$14:$B$24,0))/100</f>
        <v>0.77900210903003531</v>
      </c>
      <c r="O25" s="22">
        <f>INDEX('3_Calculations'!D$14:D$24,MATCH($C25,'3_Calculations'!$B$14:$B$24,0))/100</f>
        <v>0.74806241472655133</v>
      </c>
      <c r="P25" s="22">
        <f>INDEX('3_Calculations'!E$14:E$24,MATCH($C25,'3_Calculations'!$B$14:$B$24,0))/100</f>
        <v>0.72919850367004901</v>
      </c>
      <c r="Q25" s="22">
        <f>INDEX('3_Calculations'!F$14:F$24,MATCH($C25,'3_Calculations'!$B$14:$B$24,0))/100</f>
        <v>0.70524239939621525</v>
      </c>
      <c r="R25" s="22">
        <f>INDEX('3_Calculations'!G$14:G$24,MATCH($C25,'3_Calculations'!$B$14:$B$24,0))/100</f>
        <v>0.54832228927393678</v>
      </c>
    </row>
    <row r="26" spans="1:18" x14ac:dyDescent="0.2">
      <c r="A26">
        <v>23</v>
      </c>
      <c r="B26" t="s">
        <v>67</v>
      </c>
      <c r="C26" t="s">
        <v>34</v>
      </c>
      <c r="D26" s="10">
        <f>INDEX('3_Calculations'!C$30:C$40,MATCH($C26,'3_Calculations'!$B$30:$B$40,0))</f>
        <v>0.95129468567931419</v>
      </c>
      <c r="E26" s="10">
        <f>INDEX('3_Calculations'!D$30:D$40,MATCH($C26,'3_Calculations'!$B$30:$B$40,0))</f>
        <v>0.94450154875812042</v>
      </c>
      <c r="F26" s="10">
        <f>INDEX('3_Calculations'!E$30:E$40,MATCH($C26,'3_Calculations'!$B$30:$B$40,0))</f>
        <v>0.94847198001193356</v>
      </c>
      <c r="G26" s="10">
        <f>INDEX('3_Calculations'!F$30:F$40,MATCH($C26,'3_Calculations'!$B$30:$B$40,0))</f>
        <v>0.95865370801439898</v>
      </c>
      <c r="H26" s="10">
        <f>INDEX('3_Calculations'!G$30:G$40,MATCH($C26,'3_Calculations'!$B$30:$B$40,0))</f>
        <v>0.9881774626861356</v>
      </c>
      <c r="I26" s="14">
        <f>'3_Calculations'!C$9*D26/'3_Calculations'!C$45</f>
        <v>0.6775081609565401</v>
      </c>
      <c r="J26" s="14">
        <f>'3_Calculations'!D$9*E26/'3_Calculations'!D$45</f>
        <v>0.63614247191993023</v>
      </c>
      <c r="K26" s="14">
        <f>'3_Calculations'!E$9*F26/'3_Calculations'!E$45</f>
        <v>0.6105765126285696</v>
      </c>
      <c r="L26" s="14">
        <f>'3_Calculations'!F$9*G26/'3_Calculations'!F$45</f>
        <v>0.57373016148707834</v>
      </c>
      <c r="M26" s="14">
        <f>'3_Calculations'!G$9*H26/'3_Calculations'!G$45</f>
        <v>0.43944580207643302</v>
      </c>
      <c r="N26" s="22">
        <f>INDEX('3_Calculations'!C$14:C$24,MATCH($C26,'3_Calculations'!$B$14:$B$24,0))/100</f>
        <v>0.77900210903003531</v>
      </c>
      <c r="O26" s="22">
        <f>INDEX('3_Calculations'!D$14:D$24,MATCH($C26,'3_Calculations'!$B$14:$B$24,0))/100</f>
        <v>0.74806241472655133</v>
      </c>
      <c r="P26" s="22">
        <f>INDEX('3_Calculations'!E$14:E$24,MATCH($C26,'3_Calculations'!$B$14:$B$24,0))/100</f>
        <v>0.72919850367004901</v>
      </c>
      <c r="Q26" s="22">
        <f>INDEX('3_Calculations'!F$14:F$24,MATCH($C26,'3_Calculations'!$B$14:$B$24,0))/100</f>
        <v>0.70524239939621525</v>
      </c>
      <c r="R26" s="22">
        <f>INDEX('3_Calculations'!G$14:G$24,MATCH($C26,'3_Calculations'!$B$14:$B$24,0))/100</f>
        <v>0.54832228927393678</v>
      </c>
    </row>
    <row r="27" spans="1:18" x14ac:dyDescent="0.2">
      <c r="A27">
        <v>24</v>
      </c>
      <c r="B27" t="s">
        <v>68</v>
      </c>
      <c r="C27" t="s">
        <v>34</v>
      </c>
      <c r="D27" s="10">
        <f>INDEX('3_Calculations'!C$30:C$40,MATCH($C27,'3_Calculations'!$B$30:$B$40,0))</f>
        <v>0.95129468567931419</v>
      </c>
      <c r="E27" s="10">
        <f>INDEX('3_Calculations'!D$30:D$40,MATCH($C27,'3_Calculations'!$B$30:$B$40,0))</f>
        <v>0.94450154875812042</v>
      </c>
      <c r="F27" s="10">
        <f>INDEX('3_Calculations'!E$30:E$40,MATCH($C27,'3_Calculations'!$B$30:$B$40,0))</f>
        <v>0.94847198001193356</v>
      </c>
      <c r="G27" s="10">
        <f>INDEX('3_Calculations'!F$30:F$40,MATCH($C27,'3_Calculations'!$B$30:$B$40,0))</f>
        <v>0.95865370801439898</v>
      </c>
      <c r="H27" s="10">
        <f>INDEX('3_Calculations'!G$30:G$40,MATCH($C27,'3_Calculations'!$B$30:$B$40,0))</f>
        <v>0.9881774626861356</v>
      </c>
      <c r="I27" s="14">
        <f>'3_Calculations'!C$9*D27/'3_Calculations'!C$45</f>
        <v>0.6775081609565401</v>
      </c>
      <c r="J27" s="14">
        <f>'3_Calculations'!D$9*E27/'3_Calculations'!D$45</f>
        <v>0.63614247191993023</v>
      </c>
      <c r="K27" s="14">
        <f>'3_Calculations'!E$9*F27/'3_Calculations'!E$45</f>
        <v>0.6105765126285696</v>
      </c>
      <c r="L27" s="14">
        <f>'3_Calculations'!F$9*G27/'3_Calculations'!F$45</f>
        <v>0.57373016148707834</v>
      </c>
      <c r="M27" s="14">
        <f>'3_Calculations'!G$9*H27/'3_Calculations'!G$45</f>
        <v>0.43944580207643302</v>
      </c>
      <c r="N27" s="22">
        <f>INDEX('3_Calculations'!C$14:C$24,MATCH($C27,'3_Calculations'!$B$14:$B$24,0))/100</f>
        <v>0.77900210903003531</v>
      </c>
      <c r="O27" s="22">
        <f>INDEX('3_Calculations'!D$14:D$24,MATCH($C27,'3_Calculations'!$B$14:$B$24,0))/100</f>
        <v>0.74806241472655133</v>
      </c>
      <c r="P27" s="22">
        <f>INDEX('3_Calculations'!E$14:E$24,MATCH($C27,'3_Calculations'!$B$14:$B$24,0))/100</f>
        <v>0.72919850367004901</v>
      </c>
      <c r="Q27" s="22">
        <f>INDEX('3_Calculations'!F$14:F$24,MATCH($C27,'3_Calculations'!$B$14:$B$24,0))/100</f>
        <v>0.70524239939621525</v>
      </c>
      <c r="R27" s="22">
        <f>INDEX('3_Calculations'!G$14:G$24,MATCH($C27,'3_Calculations'!$B$14:$B$24,0))/100</f>
        <v>0.54832228927393678</v>
      </c>
    </row>
    <row r="28" spans="1:18" x14ac:dyDescent="0.2">
      <c r="A28">
        <v>25</v>
      </c>
      <c r="B28" t="s">
        <v>69</v>
      </c>
      <c r="C28" t="s">
        <v>34</v>
      </c>
      <c r="D28" s="10">
        <f>INDEX('3_Calculations'!C$30:C$40,MATCH($C28,'3_Calculations'!$B$30:$B$40,0))</f>
        <v>0.95129468567931419</v>
      </c>
      <c r="E28" s="10">
        <f>INDEX('3_Calculations'!D$30:D$40,MATCH($C28,'3_Calculations'!$B$30:$B$40,0))</f>
        <v>0.94450154875812042</v>
      </c>
      <c r="F28" s="10">
        <f>INDEX('3_Calculations'!E$30:E$40,MATCH($C28,'3_Calculations'!$B$30:$B$40,0))</f>
        <v>0.94847198001193356</v>
      </c>
      <c r="G28" s="10">
        <f>INDEX('3_Calculations'!F$30:F$40,MATCH($C28,'3_Calculations'!$B$30:$B$40,0))</f>
        <v>0.95865370801439898</v>
      </c>
      <c r="H28" s="10">
        <f>INDEX('3_Calculations'!G$30:G$40,MATCH($C28,'3_Calculations'!$B$30:$B$40,0))</f>
        <v>0.9881774626861356</v>
      </c>
      <c r="I28" s="14">
        <f>'3_Calculations'!C$9*D28/'3_Calculations'!C$45</f>
        <v>0.6775081609565401</v>
      </c>
      <c r="J28" s="14">
        <f>'3_Calculations'!D$9*E28/'3_Calculations'!D$45</f>
        <v>0.63614247191993023</v>
      </c>
      <c r="K28" s="14">
        <f>'3_Calculations'!E$9*F28/'3_Calculations'!E$45</f>
        <v>0.6105765126285696</v>
      </c>
      <c r="L28" s="14">
        <f>'3_Calculations'!F$9*G28/'3_Calculations'!F$45</f>
        <v>0.57373016148707834</v>
      </c>
      <c r="M28" s="14">
        <f>'3_Calculations'!G$9*H28/'3_Calculations'!G$45</f>
        <v>0.43944580207643302</v>
      </c>
      <c r="N28" s="22">
        <f>INDEX('3_Calculations'!C$14:C$24,MATCH($C28,'3_Calculations'!$B$14:$B$24,0))/100</f>
        <v>0.77900210903003531</v>
      </c>
      <c r="O28" s="22">
        <f>INDEX('3_Calculations'!D$14:D$24,MATCH($C28,'3_Calculations'!$B$14:$B$24,0))/100</f>
        <v>0.74806241472655133</v>
      </c>
      <c r="P28" s="22">
        <f>INDEX('3_Calculations'!E$14:E$24,MATCH($C28,'3_Calculations'!$B$14:$B$24,0))/100</f>
        <v>0.72919850367004901</v>
      </c>
      <c r="Q28" s="22">
        <f>INDEX('3_Calculations'!F$14:F$24,MATCH($C28,'3_Calculations'!$B$14:$B$24,0))/100</f>
        <v>0.70524239939621525</v>
      </c>
      <c r="R28" s="22">
        <f>INDEX('3_Calculations'!G$14:G$24,MATCH($C28,'3_Calculations'!$B$14:$B$24,0))/100</f>
        <v>0.54832228927393678</v>
      </c>
    </row>
    <row r="29" spans="1:18" x14ac:dyDescent="0.2">
      <c r="A29">
        <v>26</v>
      </c>
      <c r="B29" t="s">
        <v>70</v>
      </c>
      <c r="C29" t="s">
        <v>34</v>
      </c>
      <c r="D29" s="10">
        <f>INDEX('3_Calculations'!C$30:C$40,MATCH($C29,'3_Calculations'!$B$30:$B$40,0))</f>
        <v>0.95129468567931419</v>
      </c>
      <c r="E29" s="10">
        <f>INDEX('3_Calculations'!D$30:D$40,MATCH($C29,'3_Calculations'!$B$30:$B$40,0))</f>
        <v>0.94450154875812042</v>
      </c>
      <c r="F29" s="10">
        <f>INDEX('3_Calculations'!E$30:E$40,MATCH($C29,'3_Calculations'!$B$30:$B$40,0))</f>
        <v>0.94847198001193356</v>
      </c>
      <c r="G29" s="10">
        <f>INDEX('3_Calculations'!F$30:F$40,MATCH($C29,'3_Calculations'!$B$30:$B$40,0))</f>
        <v>0.95865370801439898</v>
      </c>
      <c r="H29" s="10">
        <f>INDEX('3_Calculations'!G$30:G$40,MATCH($C29,'3_Calculations'!$B$30:$B$40,0))</f>
        <v>0.9881774626861356</v>
      </c>
      <c r="I29" s="14">
        <f>'3_Calculations'!C$9*D29/'3_Calculations'!C$45</f>
        <v>0.6775081609565401</v>
      </c>
      <c r="J29" s="14">
        <f>'3_Calculations'!D$9*E29/'3_Calculations'!D$45</f>
        <v>0.63614247191993023</v>
      </c>
      <c r="K29" s="14">
        <f>'3_Calculations'!E$9*F29/'3_Calculations'!E$45</f>
        <v>0.6105765126285696</v>
      </c>
      <c r="L29" s="14">
        <f>'3_Calculations'!F$9*G29/'3_Calculations'!F$45</f>
        <v>0.57373016148707834</v>
      </c>
      <c r="M29" s="14">
        <f>'3_Calculations'!G$9*H29/'3_Calculations'!G$45</f>
        <v>0.43944580207643302</v>
      </c>
      <c r="N29" s="22">
        <f>INDEX('3_Calculations'!C$14:C$24,MATCH($C29,'3_Calculations'!$B$14:$B$24,0))/100</f>
        <v>0.77900210903003531</v>
      </c>
      <c r="O29" s="22">
        <f>INDEX('3_Calculations'!D$14:D$24,MATCH($C29,'3_Calculations'!$B$14:$B$24,0))/100</f>
        <v>0.74806241472655133</v>
      </c>
      <c r="P29" s="22">
        <f>INDEX('3_Calculations'!E$14:E$24,MATCH($C29,'3_Calculations'!$B$14:$B$24,0))/100</f>
        <v>0.72919850367004901</v>
      </c>
      <c r="Q29" s="22">
        <f>INDEX('3_Calculations'!F$14:F$24,MATCH($C29,'3_Calculations'!$B$14:$B$24,0))/100</f>
        <v>0.70524239939621525</v>
      </c>
      <c r="R29" s="22">
        <f>INDEX('3_Calculations'!G$14:G$24,MATCH($C29,'3_Calculations'!$B$14:$B$24,0))/100</f>
        <v>0.54832228927393678</v>
      </c>
    </row>
    <row r="30" spans="1:18" x14ac:dyDescent="0.2">
      <c r="A30">
        <v>27</v>
      </c>
      <c r="B30" t="s">
        <v>71</v>
      </c>
      <c r="C30" t="s">
        <v>34</v>
      </c>
      <c r="D30" s="10">
        <f>INDEX('3_Calculations'!C$30:C$40,MATCH($C30,'3_Calculations'!$B$30:$B$40,0))</f>
        <v>0.95129468567931419</v>
      </c>
      <c r="E30" s="10">
        <f>INDEX('3_Calculations'!D$30:D$40,MATCH($C30,'3_Calculations'!$B$30:$B$40,0))</f>
        <v>0.94450154875812042</v>
      </c>
      <c r="F30" s="10">
        <f>INDEX('3_Calculations'!E$30:E$40,MATCH($C30,'3_Calculations'!$B$30:$B$40,0))</f>
        <v>0.94847198001193356</v>
      </c>
      <c r="G30" s="10">
        <f>INDEX('3_Calculations'!F$30:F$40,MATCH($C30,'3_Calculations'!$B$30:$B$40,0))</f>
        <v>0.95865370801439898</v>
      </c>
      <c r="H30" s="10">
        <f>INDEX('3_Calculations'!G$30:G$40,MATCH($C30,'3_Calculations'!$B$30:$B$40,0))</f>
        <v>0.9881774626861356</v>
      </c>
      <c r="I30" s="14">
        <f>'3_Calculations'!C$9*D30/'3_Calculations'!C$45</f>
        <v>0.6775081609565401</v>
      </c>
      <c r="J30" s="14">
        <f>'3_Calculations'!D$9*E30/'3_Calculations'!D$45</f>
        <v>0.63614247191993023</v>
      </c>
      <c r="K30" s="14">
        <f>'3_Calculations'!E$9*F30/'3_Calculations'!E$45</f>
        <v>0.6105765126285696</v>
      </c>
      <c r="L30" s="14">
        <f>'3_Calculations'!F$9*G30/'3_Calculations'!F$45</f>
        <v>0.57373016148707834</v>
      </c>
      <c r="M30" s="14">
        <f>'3_Calculations'!G$9*H30/'3_Calculations'!G$45</f>
        <v>0.43944580207643302</v>
      </c>
      <c r="N30" s="22">
        <f>INDEX('3_Calculations'!C$14:C$24,MATCH($C30,'3_Calculations'!$B$14:$B$24,0))/100</f>
        <v>0.77900210903003531</v>
      </c>
      <c r="O30" s="22">
        <f>INDEX('3_Calculations'!D$14:D$24,MATCH($C30,'3_Calculations'!$B$14:$B$24,0))/100</f>
        <v>0.74806241472655133</v>
      </c>
      <c r="P30" s="22">
        <f>INDEX('3_Calculations'!E$14:E$24,MATCH($C30,'3_Calculations'!$B$14:$B$24,0))/100</f>
        <v>0.72919850367004901</v>
      </c>
      <c r="Q30" s="22">
        <f>INDEX('3_Calculations'!F$14:F$24,MATCH($C30,'3_Calculations'!$B$14:$B$24,0))/100</f>
        <v>0.70524239939621525</v>
      </c>
      <c r="R30" s="22">
        <f>INDEX('3_Calculations'!G$14:G$24,MATCH($C30,'3_Calculations'!$B$14:$B$24,0))/100</f>
        <v>0.54832228927393678</v>
      </c>
    </row>
    <row r="31" spans="1:18" x14ac:dyDescent="0.2">
      <c r="A31">
        <v>28</v>
      </c>
      <c r="B31" t="s">
        <v>72</v>
      </c>
      <c r="C31" t="s">
        <v>35</v>
      </c>
      <c r="D31" s="10">
        <f>INDEX('3_Calculations'!C$30:C$40,MATCH($C31,'3_Calculations'!$B$30:$B$40,0))</f>
        <v>0.95129468567931419</v>
      </c>
      <c r="E31" s="10">
        <f>INDEX('3_Calculations'!D$30:D$40,MATCH($C31,'3_Calculations'!$B$30:$B$40,0))</f>
        <v>0.94450154875812042</v>
      </c>
      <c r="F31" s="10">
        <f>INDEX('3_Calculations'!E$30:E$40,MATCH($C31,'3_Calculations'!$B$30:$B$40,0))</f>
        <v>0.94847198001193356</v>
      </c>
      <c r="G31" s="10">
        <f>INDEX('3_Calculations'!F$30:F$40,MATCH($C31,'3_Calculations'!$B$30:$B$40,0))</f>
        <v>0.95865370801439898</v>
      </c>
      <c r="H31" s="10">
        <f>INDEX('3_Calculations'!G$30:G$40,MATCH($C31,'3_Calculations'!$B$30:$B$40,0))</f>
        <v>0.98817746268613571</v>
      </c>
      <c r="I31" s="14">
        <f>'3_Calculations'!C$9*D31/'3_Calculations'!C$45</f>
        <v>0.6775081609565401</v>
      </c>
      <c r="J31" s="14">
        <f>'3_Calculations'!D$9*E31/'3_Calculations'!D$45</f>
        <v>0.63614247191993023</v>
      </c>
      <c r="K31" s="14">
        <f>'3_Calculations'!E$9*F31/'3_Calculations'!E$45</f>
        <v>0.6105765126285696</v>
      </c>
      <c r="L31" s="14">
        <f>'3_Calculations'!F$9*G31/'3_Calculations'!F$45</f>
        <v>0.57373016148707834</v>
      </c>
      <c r="M31" s="14">
        <f>'3_Calculations'!G$9*H31/'3_Calculations'!G$45</f>
        <v>0.43944580207643308</v>
      </c>
      <c r="N31" s="22">
        <f>INDEX('3_Calculations'!C$14:C$24,MATCH($C31,'3_Calculations'!$B$14:$B$24,0))/100</f>
        <v>0.77900210903003531</v>
      </c>
      <c r="O31" s="22">
        <f>INDEX('3_Calculations'!D$14:D$24,MATCH($C31,'3_Calculations'!$B$14:$B$24,0))/100</f>
        <v>0.74806241472655133</v>
      </c>
      <c r="P31" s="22">
        <f>INDEX('3_Calculations'!E$14:E$24,MATCH($C31,'3_Calculations'!$B$14:$B$24,0))/100</f>
        <v>0.72919850367004901</v>
      </c>
      <c r="Q31" s="22">
        <f>INDEX('3_Calculations'!F$14:F$24,MATCH($C31,'3_Calculations'!$B$14:$B$24,0))/100</f>
        <v>0.70524239939621525</v>
      </c>
      <c r="R31" s="22">
        <f>INDEX('3_Calculations'!G$14:G$24,MATCH($C31,'3_Calculations'!$B$14:$B$24,0))/100</f>
        <v>0.54832228927393689</v>
      </c>
    </row>
    <row r="32" spans="1:18" x14ac:dyDescent="0.2">
      <c r="A32">
        <v>29</v>
      </c>
      <c r="B32" t="s">
        <v>73</v>
      </c>
      <c r="C32" t="s">
        <v>31</v>
      </c>
      <c r="D32" s="10">
        <f>INDEX('3_Calculations'!C$30:C$40,MATCH($C32,'3_Calculations'!$B$30:$B$40,0))</f>
        <v>0.99999999999999967</v>
      </c>
      <c r="E32" s="10">
        <f>INDEX('3_Calculations'!D$30:D$40,MATCH($C32,'3_Calculations'!$B$30:$B$40,0))</f>
        <v>1</v>
      </c>
      <c r="F32" s="10">
        <f>INDEX('3_Calculations'!E$30:E$40,MATCH($C32,'3_Calculations'!$B$30:$B$40,0))</f>
        <v>1</v>
      </c>
      <c r="G32" s="10">
        <f>INDEX('3_Calculations'!F$30:F$40,MATCH($C32,'3_Calculations'!$B$30:$B$40,0))</f>
        <v>1</v>
      </c>
      <c r="H32" s="10">
        <f>INDEX('3_Calculations'!G$30:G$40,MATCH($C32,'3_Calculations'!$B$30:$B$40,0))</f>
        <v>1</v>
      </c>
      <c r="I32" s="14">
        <f>'3_Calculations'!C$9*D32/'3_Calculations'!C$45</f>
        <v>0.71219588541350376</v>
      </c>
      <c r="J32" s="14">
        <f>'3_Calculations'!D$9*E32/'3_Calculations'!D$45</f>
        <v>0.67352189390939943</v>
      </c>
      <c r="K32" s="14">
        <f>'3_Calculations'!E$9*F32/'3_Calculations'!E$45</f>
        <v>0.64374754921161448</v>
      </c>
      <c r="L32" s="14">
        <f>'3_Calculations'!F$9*G32/'3_Calculations'!F$45</f>
        <v>0.59847487856215642</v>
      </c>
      <c r="M32" s="14">
        <f>'3_Calculations'!G$9*H32/'3_Calculations'!G$45</f>
        <v>0.44470332371464899</v>
      </c>
      <c r="N32" s="22">
        <f>INDEX('3_Calculations'!C$14:C$24,MATCH($C32,'3_Calculations'!$B$14:$B$24,0))/100</f>
        <v>0.81888621975613574</v>
      </c>
      <c r="O32" s="22">
        <f>INDEX('3_Calculations'!D$14:D$24,MATCH($C32,'3_Calculations'!$B$14:$B$24,0))/100</f>
        <v>0.79201819807510376</v>
      </c>
      <c r="P32" s="22">
        <f>INDEX('3_Calculations'!E$14:E$24,MATCH($C32,'3_Calculations'!$B$14:$B$24,0))/100</f>
        <v>0.76881396502706834</v>
      </c>
      <c r="Q32" s="22">
        <f>INDEX('3_Calculations'!F$14:F$24,MATCH($C32,'3_Calculations'!$B$14:$B$24,0))/100</f>
        <v>0.73565917859634722</v>
      </c>
      <c r="R32" s="22">
        <f>INDEX('3_Calculations'!G$14:G$24,MATCH($C32,'3_Calculations'!$B$14:$B$24,0))/100</f>
        <v>0.55488240723831872</v>
      </c>
    </row>
    <row r="33" spans="1:18" x14ac:dyDescent="0.2">
      <c r="A33">
        <v>30</v>
      </c>
      <c r="B33" t="s">
        <v>74</v>
      </c>
      <c r="C33" t="s">
        <v>31</v>
      </c>
      <c r="D33" s="10">
        <f>INDEX('3_Calculations'!C$30:C$40,MATCH($C33,'3_Calculations'!$B$30:$B$40,0))</f>
        <v>0.99999999999999967</v>
      </c>
      <c r="E33" s="10">
        <f>INDEX('3_Calculations'!D$30:D$40,MATCH($C33,'3_Calculations'!$B$30:$B$40,0))</f>
        <v>1</v>
      </c>
      <c r="F33" s="10">
        <f>INDEX('3_Calculations'!E$30:E$40,MATCH($C33,'3_Calculations'!$B$30:$B$40,0))</f>
        <v>1</v>
      </c>
      <c r="G33" s="10">
        <f>INDEX('3_Calculations'!F$30:F$40,MATCH($C33,'3_Calculations'!$B$30:$B$40,0))</f>
        <v>1</v>
      </c>
      <c r="H33" s="10">
        <f>INDEX('3_Calculations'!G$30:G$40,MATCH($C33,'3_Calculations'!$B$30:$B$40,0))</f>
        <v>1</v>
      </c>
      <c r="I33" s="14">
        <f>'3_Calculations'!C$9*D33/'3_Calculations'!C$45</f>
        <v>0.71219588541350376</v>
      </c>
      <c r="J33" s="14">
        <f>'3_Calculations'!D$9*E33/'3_Calculations'!D$45</f>
        <v>0.67352189390939943</v>
      </c>
      <c r="K33" s="14">
        <f>'3_Calculations'!E$9*F33/'3_Calculations'!E$45</f>
        <v>0.64374754921161448</v>
      </c>
      <c r="L33" s="14">
        <f>'3_Calculations'!F$9*G33/'3_Calculations'!F$45</f>
        <v>0.59847487856215642</v>
      </c>
      <c r="M33" s="14">
        <f>'3_Calculations'!G$9*H33/'3_Calculations'!G$45</f>
        <v>0.44470332371464899</v>
      </c>
      <c r="N33" s="22">
        <f>INDEX('3_Calculations'!C$14:C$24,MATCH($C33,'3_Calculations'!$B$14:$B$24,0))/100</f>
        <v>0.81888621975613574</v>
      </c>
      <c r="O33" s="22">
        <f>INDEX('3_Calculations'!D$14:D$24,MATCH($C33,'3_Calculations'!$B$14:$B$24,0))/100</f>
        <v>0.79201819807510376</v>
      </c>
      <c r="P33" s="22">
        <f>INDEX('3_Calculations'!E$14:E$24,MATCH($C33,'3_Calculations'!$B$14:$B$24,0))/100</f>
        <v>0.76881396502706834</v>
      </c>
      <c r="Q33" s="22">
        <f>INDEX('3_Calculations'!F$14:F$24,MATCH($C33,'3_Calculations'!$B$14:$B$24,0))/100</f>
        <v>0.73565917859634722</v>
      </c>
      <c r="R33" s="22">
        <f>INDEX('3_Calculations'!G$14:G$24,MATCH($C33,'3_Calculations'!$B$14:$B$24,0))/100</f>
        <v>0.55488240723831872</v>
      </c>
    </row>
    <row r="34" spans="1:18" x14ac:dyDescent="0.2">
      <c r="A34">
        <v>31</v>
      </c>
      <c r="B34" t="s">
        <v>75</v>
      </c>
      <c r="C34" t="s">
        <v>35</v>
      </c>
      <c r="D34" s="10">
        <f>INDEX('3_Calculations'!C$30:C$40,MATCH($C34,'3_Calculations'!$B$30:$B$40,0))</f>
        <v>0.95129468567931419</v>
      </c>
      <c r="E34" s="10">
        <f>INDEX('3_Calculations'!D$30:D$40,MATCH($C34,'3_Calculations'!$B$30:$B$40,0))</f>
        <v>0.94450154875812042</v>
      </c>
      <c r="F34" s="10">
        <f>INDEX('3_Calculations'!E$30:E$40,MATCH($C34,'3_Calculations'!$B$30:$B$40,0))</f>
        <v>0.94847198001193356</v>
      </c>
      <c r="G34" s="10">
        <f>INDEX('3_Calculations'!F$30:F$40,MATCH($C34,'3_Calculations'!$B$30:$B$40,0))</f>
        <v>0.95865370801439898</v>
      </c>
      <c r="H34" s="10">
        <f>INDEX('3_Calculations'!G$30:G$40,MATCH($C34,'3_Calculations'!$B$30:$B$40,0))</f>
        <v>0.98817746268613571</v>
      </c>
      <c r="I34" s="14">
        <f>'3_Calculations'!C$9*D34/'3_Calculations'!C$45</f>
        <v>0.6775081609565401</v>
      </c>
      <c r="J34" s="14">
        <f>'3_Calculations'!D$9*E34/'3_Calculations'!D$45</f>
        <v>0.63614247191993023</v>
      </c>
      <c r="K34" s="14">
        <f>'3_Calculations'!E$9*F34/'3_Calculations'!E$45</f>
        <v>0.6105765126285696</v>
      </c>
      <c r="L34" s="14">
        <f>'3_Calculations'!F$9*G34/'3_Calculations'!F$45</f>
        <v>0.57373016148707834</v>
      </c>
      <c r="M34" s="14">
        <f>'3_Calculations'!G$9*H34/'3_Calculations'!G$45</f>
        <v>0.43944580207643308</v>
      </c>
      <c r="N34" s="22">
        <f>INDEX('3_Calculations'!C$14:C$24,MATCH($C34,'3_Calculations'!$B$14:$B$24,0))/100</f>
        <v>0.77900210903003531</v>
      </c>
      <c r="O34" s="22">
        <f>INDEX('3_Calculations'!D$14:D$24,MATCH($C34,'3_Calculations'!$B$14:$B$24,0))/100</f>
        <v>0.74806241472655133</v>
      </c>
      <c r="P34" s="22">
        <f>INDEX('3_Calculations'!E$14:E$24,MATCH($C34,'3_Calculations'!$B$14:$B$24,0))/100</f>
        <v>0.72919850367004901</v>
      </c>
      <c r="Q34" s="22">
        <f>INDEX('3_Calculations'!F$14:F$24,MATCH($C34,'3_Calculations'!$B$14:$B$24,0))/100</f>
        <v>0.70524239939621525</v>
      </c>
      <c r="R34" s="22">
        <f>INDEX('3_Calculations'!G$14:G$24,MATCH($C34,'3_Calculations'!$B$14:$B$24,0))/100</f>
        <v>0.54832228927393689</v>
      </c>
    </row>
    <row r="35" spans="1:18" x14ac:dyDescent="0.2">
      <c r="A35">
        <v>32</v>
      </c>
      <c r="B35" t="s">
        <v>76</v>
      </c>
      <c r="C35" t="s">
        <v>35</v>
      </c>
      <c r="D35" s="10">
        <f>INDEX('3_Calculations'!C$30:C$40,MATCH($C35,'3_Calculations'!$B$30:$B$40,0))</f>
        <v>0.95129468567931419</v>
      </c>
      <c r="E35" s="10">
        <f>INDEX('3_Calculations'!D$30:D$40,MATCH($C35,'3_Calculations'!$B$30:$B$40,0))</f>
        <v>0.94450154875812042</v>
      </c>
      <c r="F35" s="10">
        <f>INDEX('3_Calculations'!E$30:E$40,MATCH($C35,'3_Calculations'!$B$30:$B$40,0))</f>
        <v>0.94847198001193356</v>
      </c>
      <c r="G35" s="10">
        <f>INDEX('3_Calculations'!F$30:F$40,MATCH($C35,'3_Calculations'!$B$30:$B$40,0))</f>
        <v>0.95865370801439898</v>
      </c>
      <c r="H35" s="10">
        <f>INDEX('3_Calculations'!G$30:G$40,MATCH($C35,'3_Calculations'!$B$30:$B$40,0))</f>
        <v>0.98817746268613571</v>
      </c>
      <c r="I35" s="14">
        <f>'3_Calculations'!C$9*D35/'3_Calculations'!C$45</f>
        <v>0.6775081609565401</v>
      </c>
      <c r="J35" s="14">
        <f>'3_Calculations'!D$9*E35/'3_Calculations'!D$45</f>
        <v>0.63614247191993023</v>
      </c>
      <c r="K35" s="14">
        <f>'3_Calculations'!E$9*F35/'3_Calculations'!E$45</f>
        <v>0.6105765126285696</v>
      </c>
      <c r="L35" s="14">
        <f>'3_Calculations'!F$9*G35/'3_Calculations'!F$45</f>
        <v>0.57373016148707834</v>
      </c>
      <c r="M35" s="14">
        <f>'3_Calculations'!G$9*H35/'3_Calculations'!G$45</f>
        <v>0.43944580207643308</v>
      </c>
      <c r="N35" s="22">
        <f>INDEX('3_Calculations'!C$14:C$24,MATCH($C35,'3_Calculations'!$B$14:$B$24,0))/100</f>
        <v>0.77900210903003531</v>
      </c>
      <c r="O35" s="22">
        <f>INDEX('3_Calculations'!D$14:D$24,MATCH($C35,'3_Calculations'!$B$14:$B$24,0))/100</f>
        <v>0.74806241472655133</v>
      </c>
      <c r="P35" s="22">
        <f>INDEX('3_Calculations'!E$14:E$24,MATCH($C35,'3_Calculations'!$B$14:$B$24,0))/100</f>
        <v>0.72919850367004901</v>
      </c>
      <c r="Q35" s="22">
        <f>INDEX('3_Calculations'!F$14:F$24,MATCH($C35,'3_Calculations'!$B$14:$B$24,0))/100</f>
        <v>0.70524239939621525</v>
      </c>
      <c r="R35" s="22">
        <f>INDEX('3_Calculations'!G$14:G$24,MATCH($C35,'3_Calculations'!$B$14:$B$24,0))/100</f>
        <v>0.54832228927393689</v>
      </c>
    </row>
    <row r="36" spans="1:18" x14ac:dyDescent="0.2">
      <c r="A36">
        <v>33</v>
      </c>
      <c r="B36" t="s">
        <v>77</v>
      </c>
      <c r="C36" t="s">
        <v>35</v>
      </c>
      <c r="D36" s="10">
        <f>INDEX('3_Calculations'!C$30:C$40,MATCH($C36,'3_Calculations'!$B$30:$B$40,0))</f>
        <v>0.95129468567931419</v>
      </c>
      <c r="E36" s="10">
        <f>INDEX('3_Calculations'!D$30:D$40,MATCH($C36,'3_Calculations'!$B$30:$B$40,0))</f>
        <v>0.94450154875812042</v>
      </c>
      <c r="F36" s="10">
        <f>INDEX('3_Calculations'!E$30:E$40,MATCH($C36,'3_Calculations'!$B$30:$B$40,0))</f>
        <v>0.94847198001193356</v>
      </c>
      <c r="G36" s="10">
        <f>INDEX('3_Calculations'!F$30:F$40,MATCH($C36,'3_Calculations'!$B$30:$B$40,0))</f>
        <v>0.95865370801439898</v>
      </c>
      <c r="H36" s="10">
        <f>INDEX('3_Calculations'!G$30:G$40,MATCH($C36,'3_Calculations'!$B$30:$B$40,0))</f>
        <v>0.98817746268613571</v>
      </c>
      <c r="I36" s="14">
        <f>'3_Calculations'!C$9*D36/'3_Calculations'!C$45</f>
        <v>0.6775081609565401</v>
      </c>
      <c r="J36" s="14">
        <f>'3_Calculations'!D$9*E36/'3_Calculations'!D$45</f>
        <v>0.63614247191993023</v>
      </c>
      <c r="K36" s="14">
        <f>'3_Calculations'!E$9*F36/'3_Calculations'!E$45</f>
        <v>0.6105765126285696</v>
      </c>
      <c r="L36" s="14">
        <f>'3_Calculations'!F$9*G36/'3_Calculations'!F$45</f>
        <v>0.57373016148707834</v>
      </c>
      <c r="M36" s="14">
        <f>'3_Calculations'!G$9*H36/'3_Calculations'!G$45</f>
        <v>0.43944580207643308</v>
      </c>
      <c r="N36" s="22">
        <f>INDEX('3_Calculations'!C$14:C$24,MATCH($C36,'3_Calculations'!$B$14:$B$24,0))/100</f>
        <v>0.77900210903003531</v>
      </c>
      <c r="O36" s="22">
        <f>INDEX('3_Calculations'!D$14:D$24,MATCH($C36,'3_Calculations'!$B$14:$B$24,0))/100</f>
        <v>0.74806241472655133</v>
      </c>
      <c r="P36" s="22">
        <f>INDEX('3_Calculations'!E$14:E$24,MATCH($C36,'3_Calculations'!$B$14:$B$24,0))/100</f>
        <v>0.72919850367004901</v>
      </c>
      <c r="Q36" s="22">
        <f>INDEX('3_Calculations'!F$14:F$24,MATCH($C36,'3_Calculations'!$B$14:$B$24,0))/100</f>
        <v>0.70524239939621525</v>
      </c>
      <c r="R36" s="22">
        <f>INDEX('3_Calculations'!G$14:G$24,MATCH($C36,'3_Calculations'!$B$14:$B$24,0))/100</f>
        <v>0.54832228927393689</v>
      </c>
    </row>
    <row r="37" spans="1:18" x14ac:dyDescent="0.2">
      <c r="A37">
        <v>34</v>
      </c>
      <c r="B37" t="s">
        <v>78</v>
      </c>
      <c r="C37" t="s">
        <v>35</v>
      </c>
      <c r="D37" s="10">
        <f>INDEX('3_Calculations'!C$30:C$40,MATCH($C37,'3_Calculations'!$B$30:$B$40,0))</f>
        <v>0.95129468567931419</v>
      </c>
      <c r="E37" s="10">
        <f>INDEX('3_Calculations'!D$30:D$40,MATCH($C37,'3_Calculations'!$B$30:$B$40,0))</f>
        <v>0.94450154875812042</v>
      </c>
      <c r="F37" s="10">
        <f>INDEX('3_Calculations'!E$30:E$40,MATCH($C37,'3_Calculations'!$B$30:$B$40,0))</f>
        <v>0.94847198001193356</v>
      </c>
      <c r="G37" s="10">
        <f>INDEX('3_Calculations'!F$30:F$40,MATCH($C37,'3_Calculations'!$B$30:$B$40,0))</f>
        <v>0.95865370801439898</v>
      </c>
      <c r="H37" s="10">
        <f>INDEX('3_Calculations'!G$30:G$40,MATCH($C37,'3_Calculations'!$B$30:$B$40,0))</f>
        <v>0.98817746268613571</v>
      </c>
      <c r="I37" s="14">
        <f>'3_Calculations'!C$9*D37/'3_Calculations'!C$45</f>
        <v>0.6775081609565401</v>
      </c>
      <c r="J37" s="14">
        <f>'3_Calculations'!D$9*E37/'3_Calculations'!D$45</f>
        <v>0.63614247191993023</v>
      </c>
      <c r="K37" s="14">
        <f>'3_Calculations'!E$9*F37/'3_Calculations'!E$45</f>
        <v>0.6105765126285696</v>
      </c>
      <c r="L37" s="14">
        <f>'3_Calculations'!F$9*G37/'3_Calculations'!F$45</f>
        <v>0.57373016148707834</v>
      </c>
      <c r="M37" s="14">
        <f>'3_Calculations'!G$9*H37/'3_Calculations'!G$45</f>
        <v>0.43944580207643308</v>
      </c>
      <c r="N37" s="22">
        <f>INDEX('3_Calculations'!C$14:C$24,MATCH($C37,'3_Calculations'!$B$14:$B$24,0))/100</f>
        <v>0.77900210903003531</v>
      </c>
      <c r="O37" s="22">
        <f>INDEX('3_Calculations'!D$14:D$24,MATCH($C37,'3_Calculations'!$B$14:$B$24,0))/100</f>
        <v>0.74806241472655133</v>
      </c>
      <c r="P37" s="22">
        <f>INDEX('3_Calculations'!E$14:E$24,MATCH($C37,'3_Calculations'!$B$14:$B$24,0))/100</f>
        <v>0.72919850367004901</v>
      </c>
      <c r="Q37" s="22">
        <f>INDEX('3_Calculations'!F$14:F$24,MATCH($C37,'3_Calculations'!$B$14:$B$24,0))/100</f>
        <v>0.70524239939621525</v>
      </c>
      <c r="R37" s="22">
        <f>INDEX('3_Calculations'!G$14:G$24,MATCH($C37,'3_Calculations'!$B$14:$B$24,0))/100</f>
        <v>0.54832228927393689</v>
      </c>
    </row>
    <row r="38" spans="1:18" x14ac:dyDescent="0.2">
      <c r="A38">
        <v>35</v>
      </c>
      <c r="B38" t="s">
        <v>79</v>
      </c>
      <c r="C38" t="s">
        <v>35</v>
      </c>
      <c r="D38" s="10">
        <f>INDEX('3_Calculations'!C$30:C$40,MATCH($C38,'3_Calculations'!$B$30:$B$40,0))</f>
        <v>0.95129468567931419</v>
      </c>
      <c r="E38" s="10">
        <f>INDEX('3_Calculations'!D$30:D$40,MATCH($C38,'3_Calculations'!$B$30:$B$40,0))</f>
        <v>0.94450154875812042</v>
      </c>
      <c r="F38" s="10">
        <f>INDEX('3_Calculations'!E$30:E$40,MATCH($C38,'3_Calculations'!$B$30:$B$40,0))</f>
        <v>0.94847198001193356</v>
      </c>
      <c r="G38" s="10">
        <f>INDEX('3_Calculations'!F$30:F$40,MATCH($C38,'3_Calculations'!$B$30:$B$40,0))</f>
        <v>0.95865370801439898</v>
      </c>
      <c r="H38" s="10">
        <f>INDEX('3_Calculations'!G$30:G$40,MATCH($C38,'3_Calculations'!$B$30:$B$40,0))</f>
        <v>0.98817746268613571</v>
      </c>
      <c r="I38" s="14">
        <f>'3_Calculations'!C$9*D38/'3_Calculations'!C$45</f>
        <v>0.6775081609565401</v>
      </c>
      <c r="J38" s="14">
        <f>'3_Calculations'!D$9*E38/'3_Calculations'!D$45</f>
        <v>0.63614247191993023</v>
      </c>
      <c r="K38" s="14">
        <f>'3_Calculations'!E$9*F38/'3_Calculations'!E$45</f>
        <v>0.6105765126285696</v>
      </c>
      <c r="L38" s="14">
        <f>'3_Calculations'!F$9*G38/'3_Calculations'!F$45</f>
        <v>0.57373016148707834</v>
      </c>
      <c r="M38" s="14">
        <f>'3_Calculations'!G$9*H38/'3_Calculations'!G$45</f>
        <v>0.43944580207643308</v>
      </c>
      <c r="N38" s="22">
        <f>INDEX('3_Calculations'!C$14:C$24,MATCH($C38,'3_Calculations'!$B$14:$B$24,0))/100</f>
        <v>0.77900210903003531</v>
      </c>
      <c r="O38" s="22">
        <f>INDEX('3_Calculations'!D$14:D$24,MATCH($C38,'3_Calculations'!$B$14:$B$24,0))/100</f>
        <v>0.74806241472655133</v>
      </c>
      <c r="P38" s="22">
        <f>INDEX('3_Calculations'!E$14:E$24,MATCH($C38,'3_Calculations'!$B$14:$B$24,0))/100</f>
        <v>0.72919850367004901</v>
      </c>
      <c r="Q38" s="22">
        <f>INDEX('3_Calculations'!F$14:F$24,MATCH($C38,'3_Calculations'!$B$14:$B$24,0))/100</f>
        <v>0.70524239939621525</v>
      </c>
      <c r="R38" s="22">
        <f>INDEX('3_Calculations'!G$14:G$24,MATCH($C38,'3_Calculations'!$B$14:$B$24,0))/100</f>
        <v>0.54832228927393689</v>
      </c>
    </row>
    <row r="39" spans="1:18" x14ac:dyDescent="0.2">
      <c r="A39">
        <v>36</v>
      </c>
      <c r="B39" t="s">
        <v>80</v>
      </c>
      <c r="C39" t="s">
        <v>35</v>
      </c>
      <c r="D39" s="10">
        <f>INDEX('3_Calculations'!C$30:C$40,MATCH($C39,'3_Calculations'!$B$30:$B$40,0))</f>
        <v>0.95129468567931419</v>
      </c>
      <c r="E39" s="10">
        <f>INDEX('3_Calculations'!D$30:D$40,MATCH($C39,'3_Calculations'!$B$30:$B$40,0))</f>
        <v>0.94450154875812042</v>
      </c>
      <c r="F39" s="10">
        <f>INDEX('3_Calculations'!E$30:E$40,MATCH($C39,'3_Calculations'!$B$30:$B$40,0))</f>
        <v>0.94847198001193356</v>
      </c>
      <c r="G39" s="10">
        <f>INDEX('3_Calculations'!F$30:F$40,MATCH($C39,'3_Calculations'!$B$30:$B$40,0))</f>
        <v>0.95865370801439898</v>
      </c>
      <c r="H39" s="10">
        <f>INDEX('3_Calculations'!G$30:G$40,MATCH($C39,'3_Calculations'!$B$30:$B$40,0))</f>
        <v>0.98817746268613571</v>
      </c>
      <c r="I39" s="14">
        <f>'3_Calculations'!C$9*D39/'3_Calculations'!C$45</f>
        <v>0.6775081609565401</v>
      </c>
      <c r="J39" s="14">
        <f>'3_Calculations'!D$9*E39/'3_Calculations'!D$45</f>
        <v>0.63614247191993023</v>
      </c>
      <c r="K39" s="14">
        <f>'3_Calculations'!E$9*F39/'3_Calculations'!E$45</f>
        <v>0.6105765126285696</v>
      </c>
      <c r="L39" s="14">
        <f>'3_Calculations'!F$9*G39/'3_Calculations'!F$45</f>
        <v>0.57373016148707834</v>
      </c>
      <c r="M39" s="14">
        <f>'3_Calculations'!G$9*H39/'3_Calculations'!G$45</f>
        <v>0.43944580207643308</v>
      </c>
      <c r="N39" s="22">
        <f>INDEX('3_Calculations'!C$14:C$24,MATCH($C39,'3_Calculations'!$B$14:$B$24,0))/100</f>
        <v>0.77900210903003531</v>
      </c>
      <c r="O39" s="22">
        <f>INDEX('3_Calculations'!D$14:D$24,MATCH($C39,'3_Calculations'!$B$14:$B$24,0))/100</f>
        <v>0.74806241472655133</v>
      </c>
      <c r="P39" s="22">
        <f>INDEX('3_Calculations'!E$14:E$24,MATCH($C39,'3_Calculations'!$B$14:$B$24,0))/100</f>
        <v>0.72919850367004901</v>
      </c>
      <c r="Q39" s="22">
        <f>INDEX('3_Calculations'!F$14:F$24,MATCH($C39,'3_Calculations'!$B$14:$B$24,0))/100</f>
        <v>0.70524239939621525</v>
      </c>
      <c r="R39" s="22">
        <f>INDEX('3_Calculations'!G$14:G$24,MATCH($C39,'3_Calculations'!$B$14:$B$24,0))/100</f>
        <v>0.54832228927393689</v>
      </c>
    </row>
    <row r="40" spans="1:18" x14ac:dyDescent="0.2">
      <c r="A40">
        <v>37</v>
      </c>
      <c r="B40" t="s">
        <v>81</v>
      </c>
      <c r="C40" t="s">
        <v>35</v>
      </c>
      <c r="D40" s="10">
        <f>INDEX('3_Calculations'!C$30:C$40,MATCH($C40,'3_Calculations'!$B$30:$B$40,0))</f>
        <v>0.95129468567931419</v>
      </c>
      <c r="E40" s="10">
        <f>INDEX('3_Calculations'!D$30:D$40,MATCH($C40,'3_Calculations'!$B$30:$B$40,0))</f>
        <v>0.94450154875812042</v>
      </c>
      <c r="F40" s="10">
        <f>INDEX('3_Calculations'!E$30:E$40,MATCH($C40,'3_Calculations'!$B$30:$B$40,0))</f>
        <v>0.94847198001193356</v>
      </c>
      <c r="G40" s="10">
        <f>INDEX('3_Calculations'!F$30:F$40,MATCH($C40,'3_Calculations'!$B$30:$B$40,0))</f>
        <v>0.95865370801439898</v>
      </c>
      <c r="H40" s="10">
        <f>INDEX('3_Calculations'!G$30:G$40,MATCH($C40,'3_Calculations'!$B$30:$B$40,0))</f>
        <v>0.98817746268613571</v>
      </c>
      <c r="I40" s="14">
        <f>'3_Calculations'!C$9*D40/'3_Calculations'!C$45</f>
        <v>0.6775081609565401</v>
      </c>
      <c r="J40" s="14">
        <f>'3_Calculations'!D$9*E40/'3_Calculations'!D$45</f>
        <v>0.63614247191993023</v>
      </c>
      <c r="K40" s="14">
        <f>'3_Calculations'!E$9*F40/'3_Calculations'!E$45</f>
        <v>0.6105765126285696</v>
      </c>
      <c r="L40" s="14">
        <f>'3_Calculations'!F$9*G40/'3_Calculations'!F$45</f>
        <v>0.57373016148707834</v>
      </c>
      <c r="M40" s="14">
        <f>'3_Calculations'!G$9*H40/'3_Calculations'!G$45</f>
        <v>0.43944580207643308</v>
      </c>
      <c r="N40" s="22">
        <f>INDEX('3_Calculations'!C$14:C$24,MATCH($C40,'3_Calculations'!$B$14:$B$24,0))/100</f>
        <v>0.77900210903003531</v>
      </c>
      <c r="O40" s="22">
        <f>INDEX('3_Calculations'!D$14:D$24,MATCH($C40,'3_Calculations'!$B$14:$B$24,0))/100</f>
        <v>0.74806241472655133</v>
      </c>
      <c r="P40" s="22">
        <f>INDEX('3_Calculations'!E$14:E$24,MATCH($C40,'3_Calculations'!$B$14:$B$24,0))/100</f>
        <v>0.72919850367004901</v>
      </c>
      <c r="Q40" s="22">
        <f>INDEX('3_Calculations'!F$14:F$24,MATCH($C40,'3_Calculations'!$B$14:$B$24,0))/100</f>
        <v>0.70524239939621525</v>
      </c>
      <c r="R40" s="22">
        <f>INDEX('3_Calculations'!G$14:G$24,MATCH($C40,'3_Calculations'!$B$14:$B$24,0))/100</f>
        <v>0.54832228927393689</v>
      </c>
    </row>
    <row r="41" spans="1:18" x14ac:dyDescent="0.2">
      <c r="A41">
        <v>38</v>
      </c>
      <c r="B41" t="s">
        <v>82</v>
      </c>
      <c r="C41" t="s">
        <v>35</v>
      </c>
      <c r="D41" s="10">
        <f>INDEX('3_Calculations'!C$30:C$40,MATCH($C41,'3_Calculations'!$B$30:$B$40,0))</f>
        <v>0.95129468567931419</v>
      </c>
      <c r="E41" s="10">
        <f>INDEX('3_Calculations'!D$30:D$40,MATCH($C41,'3_Calculations'!$B$30:$B$40,0))</f>
        <v>0.94450154875812042</v>
      </c>
      <c r="F41" s="10">
        <f>INDEX('3_Calculations'!E$30:E$40,MATCH($C41,'3_Calculations'!$B$30:$B$40,0))</f>
        <v>0.94847198001193356</v>
      </c>
      <c r="G41" s="10">
        <f>INDEX('3_Calculations'!F$30:F$40,MATCH($C41,'3_Calculations'!$B$30:$B$40,0))</f>
        <v>0.95865370801439898</v>
      </c>
      <c r="H41" s="10">
        <f>INDEX('3_Calculations'!G$30:G$40,MATCH($C41,'3_Calculations'!$B$30:$B$40,0))</f>
        <v>0.98817746268613571</v>
      </c>
      <c r="I41" s="14">
        <f>'3_Calculations'!C$9*D41/'3_Calculations'!C$45</f>
        <v>0.6775081609565401</v>
      </c>
      <c r="J41" s="14">
        <f>'3_Calculations'!D$9*E41/'3_Calculations'!D$45</f>
        <v>0.63614247191993023</v>
      </c>
      <c r="K41" s="14">
        <f>'3_Calculations'!E$9*F41/'3_Calculations'!E$45</f>
        <v>0.6105765126285696</v>
      </c>
      <c r="L41" s="14">
        <f>'3_Calculations'!F$9*G41/'3_Calculations'!F$45</f>
        <v>0.57373016148707834</v>
      </c>
      <c r="M41" s="14">
        <f>'3_Calculations'!G$9*H41/'3_Calculations'!G$45</f>
        <v>0.43944580207643308</v>
      </c>
      <c r="N41" s="22">
        <f>INDEX('3_Calculations'!C$14:C$24,MATCH($C41,'3_Calculations'!$B$14:$B$24,0))/100</f>
        <v>0.77900210903003531</v>
      </c>
      <c r="O41" s="22">
        <f>INDEX('3_Calculations'!D$14:D$24,MATCH($C41,'3_Calculations'!$B$14:$B$24,0))/100</f>
        <v>0.74806241472655133</v>
      </c>
      <c r="P41" s="22">
        <f>INDEX('3_Calculations'!E$14:E$24,MATCH($C41,'3_Calculations'!$B$14:$B$24,0))/100</f>
        <v>0.72919850367004901</v>
      </c>
      <c r="Q41" s="22">
        <f>INDEX('3_Calculations'!F$14:F$24,MATCH($C41,'3_Calculations'!$B$14:$B$24,0))/100</f>
        <v>0.70524239939621525</v>
      </c>
      <c r="R41" s="22">
        <f>INDEX('3_Calculations'!G$14:G$24,MATCH($C41,'3_Calculations'!$B$14:$B$24,0))/100</f>
        <v>0.54832228927393689</v>
      </c>
    </row>
    <row r="42" spans="1:18" x14ac:dyDescent="0.2">
      <c r="A42">
        <v>39</v>
      </c>
      <c r="B42" t="s">
        <v>83</v>
      </c>
      <c r="C42" t="s">
        <v>35</v>
      </c>
      <c r="D42" s="10">
        <f>INDEX('3_Calculations'!C$30:C$40,MATCH($C42,'3_Calculations'!$B$30:$B$40,0))</f>
        <v>0.95129468567931419</v>
      </c>
      <c r="E42" s="10">
        <f>INDEX('3_Calculations'!D$30:D$40,MATCH($C42,'3_Calculations'!$B$30:$B$40,0))</f>
        <v>0.94450154875812042</v>
      </c>
      <c r="F42" s="10">
        <f>INDEX('3_Calculations'!E$30:E$40,MATCH($C42,'3_Calculations'!$B$30:$B$40,0))</f>
        <v>0.94847198001193356</v>
      </c>
      <c r="G42" s="10">
        <f>INDEX('3_Calculations'!F$30:F$40,MATCH($C42,'3_Calculations'!$B$30:$B$40,0))</f>
        <v>0.95865370801439898</v>
      </c>
      <c r="H42" s="10">
        <f>INDEX('3_Calculations'!G$30:G$40,MATCH($C42,'3_Calculations'!$B$30:$B$40,0))</f>
        <v>0.98817746268613571</v>
      </c>
      <c r="I42" s="14">
        <f>'3_Calculations'!C$9*D42/'3_Calculations'!C$45</f>
        <v>0.6775081609565401</v>
      </c>
      <c r="J42" s="14">
        <f>'3_Calculations'!D$9*E42/'3_Calculations'!D$45</f>
        <v>0.63614247191993023</v>
      </c>
      <c r="K42" s="14">
        <f>'3_Calculations'!E$9*F42/'3_Calculations'!E$45</f>
        <v>0.6105765126285696</v>
      </c>
      <c r="L42" s="14">
        <f>'3_Calculations'!F$9*G42/'3_Calculations'!F$45</f>
        <v>0.57373016148707834</v>
      </c>
      <c r="M42" s="14">
        <f>'3_Calculations'!G$9*H42/'3_Calculations'!G$45</f>
        <v>0.43944580207643308</v>
      </c>
      <c r="N42" s="22">
        <f>INDEX('3_Calculations'!C$14:C$24,MATCH($C42,'3_Calculations'!$B$14:$B$24,0))/100</f>
        <v>0.77900210903003531</v>
      </c>
      <c r="O42" s="22">
        <f>INDEX('3_Calculations'!D$14:D$24,MATCH($C42,'3_Calculations'!$B$14:$B$24,0))/100</f>
        <v>0.74806241472655133</v>
      </c>
      <c r="P42" s="22">
        <f>INDEX('3_Calculations'!E$14:E$24,MATCH($C42,'3_Calculations'!$B$14:$B$24,0))/100</f>
        <v>0.72919850367004901</v>
      </c>
      <c r="Q42" s="22">
        <f>INDEX('3_Calculations'!F$14:F$24,MATCH($C42,'3_Calculations'!$B$14:$B$24,0))/100</f>
        <v>0.70524239939621525</v>
      </c>
      <c r="R42" s="22">
        <f>INDEX('3_Calculations'!G$14:G$24,MATCH($C42,'3_Calculations'!$B$14:$B$24,0))/100</f>
        <v>0.54832228927393689</v>
      </c>
    </row>
    <row r="43" spans="1:18" x14ac:dyDescent="0.2">
      <c r="A43">
        <v>40</v>
      </c>
      <c r="B43" t="s">
        <v>84</v>
      </c>
      <c r="C43" t="s">
        <v>35</v>
      </c>
      <c r="D43" s="10">
        <f>INDEX('3_Calculations'!C$30:C$40,MATCH($C43,'3_Calculations'!$B$30:$B$40,0))</f>
        <v>0.95129468567931419</v>
      </c>
      <c r="E43" s="10">
        <f>INDEX('3_Calculations'!D$30:D$40,MATCH($C43,'3_Calculations'!$B$30:$B$40,0))</f>
        <v>0.94450154875812042</v>
      </c>
      <c r="F43" s="10">
        <f>INDEX('3_Calculations'!E$30:E$40,MATCH($C43,'3_Calculations'!$B$30:$B$40,0))</f>
        <v>0.94847198001193356</v>
      </c>
      <c r="G43" s="10">
        <f>INDEX('3_Calculations'!F$30:F$40,MATCH($C43,'3_Calculations'!$B$30:$B$40,0))</f>
        <v>0.95865370801439898</v>
      </c>
      <c r="H43" s="10">
        <f>INDEX('3_Calculations'!G$30:G$40,MATCH($C43,'3_Calculations'!$B$30:$B$40,0))</f>
        <v>0.98817746268613571</v>
      </c>
      <c r="I43" s="14">
        <f>'3_Calculations'!C$9*D43/'3_Calculations'!C$45</f>
        <v>0.6775081609565401</v>
      </c>
      <c r="J43" s="14">
        <f>'3_Calculations'!D$9*E43/'3_Calculations'!D$45</f>
        <v>0.63614247191993023</v>
      </c>
      <c r="K43" s="14">
        <f>'3_Calculations'!E$9*F43/'3_Calculations'!E$45</f>
        <v>0.6105765126285696</v>
      </c>
      <c r="L43" s="14">
        <f>'3_Calculations'!F$9*G43/'3_Calculations'!F$45</f>
        <v>0.57373016148707834</v>
      </c>
      <c r="M43" s="14">
        <f>'3_Calculations'!G$9*H43/'3_Calculations'!G$45</f>
        <v>0.43944580207643308</v>
      </c>
      <c r="N43" s="22">
        <f>INDEX('3_Calculations'!C$14:C$24,MATCH($C43,'3_Calculations'!$B$14:$B$24,0))/100</f>
        <v>0.77900210903003531</v>
      </c>
      <c r="O43" s="22">
        <f>INDEX('3_Calculations'!D$14:D$24,MATCH($C43,'3_Calculations'!$B$14:$B$24,0))/100</f>
        <v>0.74806241472655133</v>
      </c>
      <c r="P43" s="22">
        <f>INDEX('3_Calculations'!E$14:E$24,MATCH($C43,'3_Calculations'!$B$14:$B$24,0))/100</f>
        <v>0.72919850367004901</v>
      </c>
      <c r="Q43" s="22">
        <f>INDEX('3_Calculations'!F$14:F$24,MATCH($C43,'3_Calculations'!$B$14:$B$24,0))/100</f>
        <v>0.70524239939621525</v>
      </c>
      <c r="R43" s="22">
        <f>INDEX('3_Calculations'!G$14:G$24,MATCH($C43,'3_Calculations'!$B$14:$B$24,0))/100</f>
        <v>0.54832228927393689</v>
      </c>
    </row>
    <row r="44" spans="1:18" x14ac:dyDescent="0.2">
      <c r="A44">
        <v>41</v>
      </c>
      <c r="B44" t="s">
        <v>85</v>
      </c>
      <c r="C44" t="s">
        <v>35</v>
      </c>
      <c r="D44" s="10">
        <f>INDEX('3_Calculations'!C$30:C$40,MATCH($C44,'3_Calculations'!$B$30:$B$40,0))</f>
        <v>0.95129468567931419</v>
      </c>
      <c r="E44" s="10">
        <f>INDEX('3_Calculations'!D$30:D$40,MATCH($C44,'3_Calculations'!$B$30:$B$40,0))</f>
        <v>0.94450154875812042</v>
      </c>
      <c r="F44" s="10">
        <f>INDEX('3_Calculations'!E$30:E$40,MATCH($C44,'3_Calculations'!$B$30:$B$40,0))</f>
        <v>0.94847198001193356</v>
      </c>
      <c r="G44" s="10">
        <f>INDEX('3_Calculations'!F$30:F$40,MATCH($C44,'3_Calculations'!$B$30:$B$40,0))</f>
        <v>0.95865370801439898</v>
      </c>
      <c r="H44" s="10">
        <f>INDEX('3_Calculations'!G$30:G$40,MATCH($C44,'3_Calculations'!$B$30:$B$40,0))</f>
        <v>0.98817746268613571</v>
      </c>
      <c r="I44" s="14">
        <f>'3_Calculations'!C$9*D44/'3_Calculations'!C$45</f>
        <v>0.6775081609565401</v>
      </c>
      <c r="J44" s="14">
        <f>'3_Calculations'!D$9*E44/'3_Calculations'!D$45</f>
        <v>0.63614247191993023</v>
      </c>
      <c r="K44" s="14">
        <f>'3_Calculations'!E$9*F44/'3_Calculations'!E$45</f>
        <v>0.6105765126285696</v>
      </c>
      <c r="L44" s="14">
        <f>'3_Calculations'!F$9*G44/'3_Calculations'!F$45</f>
        <v>0.57373016148707834</v>
      </c>
      <c r="M44" s="14">
        <f>'3_Calculations'!G$9*H44/'3_Calculations'!G$45</f>
        <v>0.43944580207643308</v>
      </c>
      <c r="N44" s="22">
        <f>INDEX('3_Calculations'!C$14:C$24,MATCH($C44,'3_Calculations'!$B$14:$B$24,0))/100</f>
        <v>0.77900210903003531</v>
      </c>
      <c r="O44" s="22">
        <f>INDEX('3_Calculations'!D$14:D$24,MATCH($C44,'3_Calculations'!$B$14:$B$24,0))/100</f>
        <v>0.74806241472655133</v>
      </c>
      <c r="P44" s="22">
        <f>INDEX('3_Calculations'!E$14:E$24,MATCH($C44,'3_Calculations'!$B$14:$B$24,0))/100</f>
        <v>0.72919850367004901</v>
      </c>
      <c r="Q44" s="22">
        <f>INDEX('3_Calculations'!F$14:F$24,MATCH($C44,'3_Calculations'!$B$14:$B$24,0))/100</f>
        <v>0.70524239939621525</v>
      </c>
      <c r="R44" s="22">
        <f>INDEX('3_Calculations'!G$14:G$24,MATCH($C44,'3_Calculations'!$B$14:$B$24,0))/100</f>
        <v>0.54832228927393689</v>
      </c>
    </row>
    <row r="45" spans="1:18" x14ac:dyDescent="0.2">
      <c r="A45">
        <v>42</v>
      </c>
      <c r="B45" t="s">
        <v>86</v>
      </c>
      <c r="C45" t="s">
        <v>35</v>
      </c>
      <c r="D45" s="10">
        <f>INDEX('3_Calculations'!C$30:C$40,MATCH($C45,'3_Calculations'!$B$30:$B$40,0))</f>
        <v>0.95129468567931419</v>
      </c>
      <c r="E45" s="10">
        <f>INDEX('3_Calculations'!D$30:D$40,MATCH($C45,'3_Calculations'!$B$30:$B$40,0))</f>
        <v>0.94450154875812042</v>
      </c>
      <c r="F45" s="10">
        <f>INDEX('3_Calculations'!E$30:E$40,MATCH($C45,'3_Calculations'!$B$30:$B$40,0))</f>
        <v>0.94847198001193356</v>
      </c>
      <c r="G45" s="10">
        <f>INDEX('3_Calculations'!F$30:F$40,MATCH($C45,'3_Calculations'!$B$30:$B$40,0))</f>
        <v>0.95865370801439898</v>
      </c>
      <c r="H45" s="10">
        <f>INDEX('3_Calculations'!G$30:G$40,MATCH($C45,'3_Calculations'!$B$30:$B$40,0))</f>
        <v>0.98817746268613571</v>
      </c>
      <c r="I45" s="14">
        <f>'3_Calculations'!C$9*D45/'3_Calculations'!C$45</f>
        <v>0.6775081609565401</v>
      </c>
      <c r="J45" s="14">
        <f>'3_Calculations'!D$9*E45/'3_Calculations'!D$45</f>
        <v>0.63614247191993023</v>
      </c>
      <c r="K45" s="14">
        <f>'3_Calculations'!E$9*F45/'3_Calculations'!E$45</f>
        <v>0.6105765126285696</v>
      </c>
      <c r="L45" s="14">
        <f>'3_Calculations'!F$9*G45/'3_Calculations'!F$45</f>
        <v>0.57373016148707834</v>
      </c>
      <c r="M45" s="14">
        <f>'3_Calculations'!G$9*H45/'3_Calculations'!G$45</f>
        <v>0.43944580207643308</v>
      </c>
      <c r="N45" s="22">
        <f>INDEX('3_Calculations'!C$14:C$24,MATCH($C45,'3_Calculations'!$B$14:$B$24,0))/100</f>
        <v>0.77900210903003531</v>
      </c>
      <c r="O45" s="22">
        <f>INDEX('3_Calculations'!D$14:D$24,MATCH($C45,'3_Calculations'!$B$14:$B$24,0))/100</f>
        <v>0.74806241472655133</v>
      </c>
      <c r="P45" s="22">
        <f>INDEX('3_Calculations'!E$14:E$24,MATCH($C45,'3_Calculations'!$B$14:$B$24,0))/100</f>
        <v>0.72919850367004901</v>
      </c>
      <c r="Q45" s="22">
        <f>INDEX('3_Calculations'!F$14:F$24,MATCH($C45,'3_Calculations'!$B$14:$B$24,0))/100</f>
        <v>0.70524239939621525</v>
      </c>
      <c r="R45" s="22">
        <f>INDEX('3_Calculations'!G$14:G$24,MATCH($C45,'3_Calculations'!$B$14:$B$24,0))/100</f>
        <v>0.54832228927393689</v>
      </c>
    </row>
    <row r="46" spans="1:18" x14ac:dyDescent="0.2">
      <c r="A46">
        <v>43</v>
      </c>
      <c r="B46" t="s">
        <v>87</v>
      </c>
      <c r="C46" t="s">
        <v>32</v>
      </c>
      <c r="D46" s="10">
        <f>INDEX('3_Calculations'!C$30:C$40,MATCH($C46,'3_Calculations'!$B$30:$B$40,0))</f>
        <v>1.0442341746324169</v>
      </c>
      <c r="E46" s="10">
        <f>INDEX('3_Calculations'!D$30:D$40,MATCH($C46,'3_Calculations'!$B$30:$B$40,0))</f>
        <v>1.0525194502930282</v>
      </c>
      <c r="F46" s="10">
        <f>INDEX('3_Calculations'!E$30:E$40,MATCH($C46,'3_Calculations'!$B$30:$B$40,0))</f>
        <v>1.060140956197327</v>
      </c>
      <c r="G46" s="10">
        <f>INDEX('3_Calculations'!F$30:F$40,MATCH($C46,'3_Calculations'!$B$30:$B$40,0))</f>
        <v>1.071865023667079</v>
      </c>
      <c r="H46" s="10">
        <f>INDEX('3_Calculations'!G$30:G$40,MATCH($C46,'3_Calculations'!$B$30:$B$40,0))</f>
        <v>1.1604367292800135</v>
      </c>
      <c r="I46" s="14">
        <f>'3_Calculations'!C$9*D46/'3_Calculations'!C$45</f>
        <v>0.74369928258137363</v>
      </c>
      <c r="J46" s="14">
        <f>'3_Calculations'!D$9*E46/'3_Calculations'!D$45</f>
        <v>0.70889489353784041</v>
      </c>
      <c r="K46" s="14">
        <f>'3_Calculations'!E$9*F46/'3_Calculations'!E$45</f>
        <v>0.68246314237088679</v>
      </c>
      <c r="L46" s="14">
        <f>'3_Calculations'!F$9*G46/'3_Calculations'!F$45</f>
        <v>0.64148428987417805</v>
      </c>
      <c r="M46" s="14">
        <f>'3_Calculations'!G$9*H46/'3_Calculations'!G$45</f>
        <v>0.5160500704713783</v>
      </c>
      <c r="N46" s="22">
        <f>INDEX('3_Calculations'!C$14:C$24,MATCH($C46,'3_Calculations'!$B$14:$B$24,0))/100</f>
        <v>0.85510897580490863</v>
      </c>
      <c r="O46" s="22">
        <f>INDEX('3_Calculations'!D$14:D$24,MATCH($C46,'3_Calculations'!$B$14:$B$24,0))/100</f>
        <v>0.83361455846008292</v>
      </c>
      <c r="P46" s="22">
        <f>INDEX('3_Calculations'!E$14:E$24,MATCH($C46,'3_Calculations'!$B$14:$B$24,0))/100</f>
        <v>0.81505117202165456</v>
      </c>
      <c r="Q46" s="22">
        <f>INDEX('3_Calculations'!F$14:F$24,MATCH($C46,'3_Calculations'!$B$14:$B$24,0))/100</f>
        <v>0.7885273428770776</v>
      </c>
      <c r="R46" s="22">
        <f>INDEX('3_Calculations'!G$14:G$24,MATCH($C46,'3_Calculations'!$B$14:$B$24,0))/100</f>
        <v>0.64390592579065509</v>
      </c>
    </row>
    <row r="47" spans="1:18" x14ac:dyDescent="0.2">
      <c r="A47">
        <v>44</v>
      </c>
      <c r="B47" t="s">
        <v>88</v>
      </c>
      <c r="C47" t="s">
        <v>35</v>
      </c>
      <c r="D47" s="10">
        <f>INDEX('3_Calculations'!C$30:C$40,MATCH($C47,'3_Calculations'!$B$30:$B$40,0))</f>
        <v>0.95129468567931419</v>
      </c>
      <c r="E47" s="10">
        <f>INDEX('3_Calculations'!D$30:D$40,MATCH($C47,'3_Calculations'!$B$30:$B$40,0))</f>
        <v>0.94450154875812042</v>
      </c>
      <c r="F47" s="10">
        <f>INDEX('3_Calculations'!E$30:E$40,MATCH($C47,'3_Calculations'!$B$30:$B$40,0))</f>
        <v>0.94847198001193356</v>
      </c>
      <c r="G47" s="10">
        <f>INDEX('3_Calculations'!F$30:F$40,MATCH($C47,'3_Calculations'!$B$30:$B$40,0))</f>
        <v>0.95865370801439898</v>
      </c>
      <c r="H47" s="10">
        <f>INDEX('3_Calculations'!G$30:G$40,MATCH($C47,'3_Calculations'!$B$30:$B$40,0))</f>
        <v>0.98817746268613571</v>
      </c>
      <c r="I47" s="14">
        <f>'3_Calculations'!C$9*D47/'3_Calculations'!C$45</f>
        <v>0.6775081609565401</v>
      </c>
      <c r="J47" s="14">
        <f>'3_Calculations'!D$9*E47/'3_Calculations'!D$45</f>
        <v>0.63614247191993023</v>
      </c>
      <c r="K47" s="14">
        <f>'3_Calculations'!E$9*F47/'3_Calculations'!E$45</f>
        <v>0.6105765126285696</v>
      </c>
      <c r="L47" s="14">
        <f>'3_Calculations'!F$9*G47/'3_Calculations'!F$45</f>
        <v>0.57373016148707834</v>
      </c>
      <c r="M47" s="14">
        <f>'3_Calculations'!G$9*H47/'3_Calculations'!G$45</f>
        <v>0.43944580207643308</v>
      </c>
      <c r="N47" s="22">
        <f>INDEX('3_Calculations'!C$14:C$24,MATCH($C47,'3_Calculations'!$B$14:$B$24,0))/100</f>
        <v>0.77900210903003531</v>
      </c>
      <c r="O47" s="22">
        <f>INDEX('3_Calculations'!D$14:D$24,MATCH($C47,'3_Calculations'!$B$14:$B$24,0))/100</f>
        <v>0.74806241472655133</v>
      </c>
      <c r="P47" s="22">
        <f>INDEX('3_Calculations'!E$14:E$24,MATCH($C47,'3_Calculations'!$B$14:$B$24,0))/100</f>
        <v>0.72919850367004901</v>
      </c>
      <c r="Q47" s="22">
        <f>INDEX('3_Calculations'!F$14:F$24,MATCH($C47,'3_Calculations'!$B$14:$B$24,0))/100</f>
        <v>0.70524239939621525</v>
      </c>
      <c r="R47" s="22">
        <f>INDEX('3_Calculations'!G$14:G$24,MATCH($C47,'3_Calculations'!$B$14:$B$24,0))/100</f>
        <v>0.54832228927393689</v>
      </c>
    </row>
    <row r="48" spans="1:18" x14ac:dyDescent="0.2">
      <c r="A48">
        <v>45</v>
      </c>
      <c r="B48" t="s">
        <v>89</v>
      </c>
      <c r="C48" t="s">
        <v>35</v>
      </c>
      <c r="D48" s="10">
        <f>INDEX('3_Calculations'!C$30:C$40,MATCH($C48,'3_Calculations'!$B$30:$B$40,0))</f>
        <v>0.95129468567931419</v>
      </c>
      <c r="E48" s="10">
        <f>INDEX('3_Calculations'!D$30:D$40,MATCH($C48,'3_Calculations'!$B$30:$B$40,0))</f>
        <v>0.94450154875812042</v>
      </c>
      <c r="F48" s="10">
        <f>INDEX('3_Calculations'!E$30:E$40,MATCH($C48,'3_Calculations'!$B$30:$B$40,0))</f>
        <v>0.94847198001193356</v>
      </c>
      <c r="G48" s="10">
        <f>INDEX('3_Calculations'!F$30:F$40,MATCH($C48,'3_Calculations'!$B$30:$B$40,0))</f>
        <v>0.95865370801439898</v>
      </c>
      <c r="H48" s="10">
        <f>INDEX('3_Calculations'!G$30:G$40,MATCH($C48,'3_Calculations'!$B$30:$B$40,0))</f>
        <v>0.98817746268613571</v>
      </c>
      <c r="I48" s="14">
        <f>'3_Calculations'!C$9*D48/'3_Calculations'!C$45</f>
        <v>0.6775081609565401</v>
      </c>
      <c r="J48" s="14">
        <f>'3_Calculations'!D$9*E48/'3_Calculations'!D$45</f>
        <v>0.63614247191993023</v>
      </c>
      <c r="K48" s="14">
        <f>'3_Calculations'!E$9*F48/'3_Calculations'!E$45</f>
        <v>0.6105765126285696</v>
      </c>
      <c r="L48" s="14">
        <f>'3_Calculations'!F$9*G48/'3_Calculations'!F$45</f>
        <v>0.57373016148707834</v>
      </c>
      <c r="M48" s="14">
        <f>'3_Calculations'!G$9*H48/'3_Calculations'!G$45</f>
        <v>0.43944580207643308</v>
      </c>
      <c r="N48" s="22">
        <f>INDEX('3_Calculations'!C$14:C$24,MATCH($C48,'3_Calculations'!$B$14:$B$24,0))/100</f>
        <v>0.77900210903003531</v>
      </c>
      <c r="O48" s="22">
        <f>INDEX('3_Calculations'!D$14:D$24,MATCH($C48,'3_Calculations'!$B$14:$B$24,0))/100</f>
        <v>0.74806241472655133</v>
      </c>
      <c r="P48" s="22">
        <f>INDEX('3_Calculations'!E$14:E$24,MATCH($C48,'3_Calculations'!$B$14:$B$24,0))/100</f>
        <v>0.72919850367004901</v>
      </c>
      <c r="Q48" s="22">
        <f>INDEX('3_Calculations'!F$14:F$24,MATCH($C48,'3_Calculations'!$B$14:$B$24,0))/100</f>
        <v>0.70524239939621525</v>
      </c>
      <c r="R48" s="22">
        <f>INDEX('3_Calculations'!G$14:G$24,MATCH($C48,'3_Calculations'!$B$14:$B$24,0))/100</f>
        <v>0.54832228927393689</v>
      </c>
    </row>
    <row r="49" spans="1:18" x14ac:dyDescent="0.2">
      <c r="A49">
        <v>46</v>
      </c>
      <c r="B49" t="s">
        <v>90</v>
      </c>
      <c r="C49" t="s">
        <v>35</v>
      </c>
      <c r="D49" s="10">
        <f>INDEX('3_Calculations'!C$30:C$40,MATCH($C49,'3_Calculations'!$B$30:$B$40,0))</f>
        <v>0.95129468567931419</v>
      </c>
      <c r="E49" s="10">
        <f>INDEX('3_Calculations'!D$30:D$40,MATCH($C49,'3_Calculations'!$B$30:$B$40,0))</f>
        <v>0.94450154875812042</v>
      </c>
      <c r="F49" s="10">
        <f>INDEX('3_Calculations'!E$30:E$40,MATCH($C49,'3_Calculations'!$B$30:$B$40,0))</f>
        <v>0.94847198001193356</v>
      </c>
      <c r="G49" s="10">
        <f>INDEX('3_Calculations'!F$30:F$40,MATCH($C49,'3_Calculations'!$B$30:$B$40,0))</f>
        <v>0.95865370801439898</v>
      </c>
      <c r="H49" s="10">
        <f>INDEX('3_Calculations'!G$30:G$40,MATCH($C49,'3_Calculations'!$B$30:$B$40,0))</f>
        <v>0.98817746268613571</v>
      </c>
      <c r="I49" s="14">
        <f>'3_Calculations'!C$9*D49/'3_Calculations'!C$45</f>
        <v>0.6775081609565401</v>
      </c>
      <c r="J49" s="14">
        <f>'3_Calculations'!D$9*E49/'3_Calculations'!D$45</f>
        <v>0.63614247191993023</v>
      </c>
      <c r="K49" s="14">
        <f>'3_Calculations'!E$9*F49/'3_Calculations'!E$45</f>
        <v>0.6105765126285696</v>
      </c>
      <c r="L49" s="14">
        <f>'3_Calculations'!F$9*G49/'3_Calculations'!F$45</f>
        <v>0.57373016148707834</v>
      </c>
      <c r="M49" s="14">
        <f>'3_Calculations'!G$9*H49/'3_Calculations'!G$45</f>
        <v>0.43944580207643308</v>
      </c>
      <c r="N49" s="22">
        <f>INDEX('3_Calculations'!C$14:C$24,MATCH($C49,'3_Calculations'!$B$14:$B$24,0))/100</f>
        <v>0.77900210903003531</v>
      </c>
      <c r="O49" s="22">
        <f>INDEX('3_Calculations'!D$14:D$24,MATCH($C49,'3_Calculations'!$B$14:$B$24,0))/100</f>
        <v>0.74806241472655133</v>
      </c>
      <c r="P49" s="22">
        <f>INDEX('3_Calculations'!E$14:E$24,MATCH($C49,'3_Calculations'!$B$14:$B$24,0))/100</f>
        <v>0.72919850367004901</v>
      </c>
      <c r="Q49" s="22">
        <f>INDEX('3_Calculations'!F$14:F$24,MATCH($C49,'3_Calculations'!$B$14:$B$24,0))/100</f>
        <v>0.70524239939621525</v>
      </c>
      <c r="R49" s="22">
        <f>INDEX('3_Calculations'!G$14:G$24,MATCH($C49,'3_Calculations'!$B$14:$B$24,0))/100</f>
        <v>0.54832228927393689</v>
      </c>
    </row>
    <row r="50" spans="1:18" x14ac:dyDescent="0.2">
      <c r="A50">
        <v>47</v>
      </c>
      <c r="B50" t="s">
        <v>91</v>
      </c>
      <c r="C50" t="s">
        <v>35</v>
      </c>
      <c r="D50" s="10">
        <f>INDEX('3_Calculations'!C$30:C$40,MATCH($C50,'3_Calculations'!$B$30:$B$40,0))</f>
        <v>0.95129468567931419</v>
      </c>
      <c r="E50" s="10">
        <f>INDEX('3_Calculations'!D$30:D$40,MATCH($C50,'3_Calculations'!$B$30:$B$40,0))</f>
        <v>0.94450154875812042</v>
      </c>
      <c r="F50" s="10">
        <f>INDEX('3_Calculations'!E$30:E$40,MATCH($C50,'3_Calculations'!$B$30:$B$40,0))</f>
        <v>0.94847198001193356</v>
      </c>
      <c r="G50" s="10">
        <f>INDEX('3_Calculations'!F$30:F$40,MATCH($C50,'3_Calculations'!$B$30:$B$40,0))</f>
        <v>0.95865370801439898</v>
      </c>
      <c r="H50" s="10">
        <f>INDEX('3_Calculations'!G$30:G$40,MATCH($C50,'3_Calculations'!$B$30:$B$40,0))</f>
        <v>0.98817746268613571</v>
      </c>
      <c r="I50" s="14">
        <f>'3_Calculations'!C$9*D50/'3_Calculations'!C$45</f>
        <v>0.6775081609565401</v>
      </c>
      <c r="J50" s="14">
        <f>'3_Calculations'!D$9*E50/'3_Calculations'!D$45</f>
        <v>0.63614247191993023</v>
      </c>
      <c r="K50" s="14">
        <f>'3_Calculations'!E$9*F50/'3_Calculations'!E$45</f>
        <v>0.6105765126285696</v>
      </c>
      <c r="L50" s="14">
        <f>'3_Calculations'!F$9*G50/'3_Calculations'!F$45</f>
        <v>0.57373016148707834</v>
      </c>
      <c r="M50" s="14">
        <f>'3_Calculations'!G$9*H50/'3_Calculations'!G$45</f>
        <v>0.43944580207643308</v>
      </c>
      <c r="N50" s="22">
        <f>INDEX('3_Calculations'!C$14:C$24,MATCH($C50,'3_Calculations'!$B$14:$B$24,0))/100</f>
        <v>0.77900210903003531</v>
      </c>
      <c r="O50" s="22">
        <f>INDEX('3_Calculations'!D$14:D$24,MATCH($C50,'3_Calculations'!$B$14:$B$24,0))/100</f>
        <v>0.74806241472655133</v>
      </c>
      <c r="P50" s="22">
        <f>INDEX('3_Calculations'!E$14:E$24,MATCH($C50,'3_Calculations'!$B$14:$B$24,0))/100</f>
        <v>0.72919850367004901</v>
      </c>
      <c r="Q50" s="22">
        <f>INDEX('3_Calculations'!F$14:F$24,MATCH($C50,'3_Calculations'!$B$14:$B$24,0))/100</f>
        <v>0.70524239939621525</v>
      </c>
      <c r="R50" s="22">
        <f>INDEX('3_Calculations'!G$14:G$24,MATCH($C50,'3_Calculations'!$B$14:$B$24,0))/100</f>
        <v>0.54832228927393689</v>
      </c>
    </row>
    <row r="51" spans="1:18" x14ac:dyDescent="0.2">
      <c r="A51">
        <v>48</v>
      </c>
      <c r="B51" t="s">
        <v>92</v>
      </c>
      <c r="C51" t="s">
        <v>35</v>
      </c>
      <c r="D51" s="10">
        <f>INDEX('3_Calculations'!C$30:C$40,MATCH($C51,'3_Calculations'!$B$30:$B$40,0))</f>
        <v>0.95129468567931419</v>
      </c>
      <c r="E51" s="10">
        <f>INDEX('3_Calculations'!D$30:D$40,MATCH($C51,'3_Calculations'!$B$30:$B$40,0))</f>
        <v>0.94450154875812042</v>
      </c>
      <c r="F51" s="10">
        <f>INDEX('3_Calculations'!E$30:E$40,MATCH($C51,'3_Calculations'!$B$30:$B$40,0))</f>
        <v>0.94847198001193356</v>
      </c>
      <c r="G51" s="10">
        <f>INDEX('3_Calculations'!F$30:F$40,MATCH($C51,'3_Calculations'!$B$30:$B$40,0))</f>
        <v>0.95865370801439898</v>
      </c>
      <c r="H51" s="10">
        <f>INDEX('3_Calculations'!G$30:G$40,MATCH($C51,'3_Calculations'!$B$30:$B$40,0))</f>
        <v>0.98817746268613571</v>
      </c>
      <c r="I51" s="14">
        <f>'3_Calculations'!C$9*D51/'3_Calculations'!C$45</f>
        <v>0.6775081609565401</v>
      </c>
      <c r="J51" s="14">
        <f>'3_Calculations'!D$9*E51/'3_Calculations'!D$45</f>
        <v>0.63614247191993023</v>
      </c>
      <c r="K51" s="14">
        <f>'3_Calculations'!E$9*F51/'3_Calculations'!E$45</f>
        <v>0.6105765126285696</v>
      </c>
      <c r="L51" s="14">
        <f>'3_Calculations'!F$9*G51/'3_Calculations'!F$45</f>
        <v>0.57373016148707834</v>
      </c>
      <c r="M51" s="14">
        <f>'3_Calculations'!G$9*H51/'3_Calculations'!G$45</f>
        <v>0.43944580207643308</v>
      </c>
      <c r="N51" s="22">
        <f>INDEX('3_Calculations'!C$14:C$24,MATCH($C51,'3_Calculations'!$B$14:$B$24,0))/100</f>
        <v>0.77900210903003531</v>
      </c>
      <c r="O51" s="22">
        <f>INDEX('3_Calculations'!D$14:D$24,MATCH($C51,'3_Calculations'!$B$14:$B$24,0))/100</f>
        <v>0.74806241472655133</v>
      </c>
      <c r="P51" s="22">
        <f>INDEX('3_Calculations'!E$14:E$24,MATCH($C51,'3_Calculations'!$B$14:$B$24,0))/100</f>
        <v>0.72919850367004901</v>
      </c>
      <c r="Q51" s="22">
        <f>INDEX('3_Calculations'!F$14:F$24,MATCH($C51,'3_Calculations'!$B$14:$B$24,0))/100</f>
        <v>0.70524239939621525</v>
      </c>
      <c r="R51" s="22">
        <f>INDEX('3_Calculations'!G$14:G$24,MATCH($C51,'3_Calculations'!$B$14:$B$24,0))/100</f>
        <v>0.54832228927393689</v>
      </c>
    </row>
    <row r="52" spans="1:18" x14ac:dyDescent="0.2">
      <c r="A52">
        <v>49</v>
      </c>
      <c r="B52" t="s">
        <v>93</v>
      </c>
      <c r="C52" t="s">
        <v>35</v>
      </c>
      <c r="D52" s="10">
        <f>INDEX('3_Calculations'!C$30:C$40,MATCH($C52,'3_Calculations'!$B$30:$B$40,0))</f>
        <v>0.95129468567931419</v>
      </c>
      <c r="E52" s="10">
        <f>INDEX('3_Calculations'!D$30:D$40,MATCH($C52,'3_Calculations'!$B$30:$B$40,0))</f>
        <v>0.94450154875812042</v>
      </c>
      <c r="F52" s="10">
        <f>INDEX('3_Calculations'!E$30:E$40,MATCH($C52,'3_Calculations'!$B$30:$B$40,0))</f>
        <v>0.94847198001193356</v>
      </c>
      <c r="G52" s="10">
        <f>INDEX('3_Calculations'!F$30:F$40,MATCH($C52,'3_Calculations'!$B$30:$B$40,0))</f>
        <v>0.95865370801439898</v>
      </c>
      <c r="H52" s="10">
        <f>INDEX('3_Calculations'!G$30:G$40,MATCH($C52,'3_Calculations'!$B$30:$B$40,0))</f>
        <v>0.98817746268613571</v>
      </c>
      <c r="I52" s="14">
        <f>'3_Calculations'!C$9*D52/'3_Calculations'!C$45</f>
        <v>0.6775081609565401</v>
      </c>
      <c r="J52" s="14">
        <f>'3_Calculations'!D$9*E52/'3_Calculations'!D$45</f>
        <v>0.63614247191993023</v>
      </c>
      <c r="K52" s="14">
        <f>'3_Calculations'!E$9*F52/'3_Calculations'!E$45</f>
        <v>0.6105765126285696</v>
      </c>
      <c r="L52" s="14">
        <f>'3_Calculations'!F$9*G52/'3_Calculations'!F$45</f>
        <v>0.57373016148707834</v>
      </c>
      <c r="M52" s="14">
        <f>'3_Calculations'!G$9*H52/'3_Calculations'!G$45</f>
        <v>0.43944580207643308</v>
      </c>
      <c r="N52" s="22">
        <f>INDEX('3_Calculations'!C$14:C$24,MATCH($C52,'3_Calculations'!$B$14:$B$24,0))/100</f>
        <v>0.77900210903003531</v>
      </c>
      <c r="O52" s="22">
        <f>INDEX('3_Calculations'!D$14:D$24,MATCH($C52,'3_Calculations'!$B$14:$B$24,0))/100</f>
        <v>0.74806241472655133</v>
      </c>
      <c r="P52" s="22">
        <f>INDEX('3_Calculations'!E$14:E$24,MATCH($C52,'3_Calculations'!$B$14:$B$24,0))/100</f>
        <v>0.72919850367004901</v>
      </c>
      <c r="Q52" s="22">
        <f>INDEX('3_Calculations'!F$14:F$24,MATCH($C52,'3_Calculations'!$B$14:$B$24,0))/100</f>
        <v>0.70524239939621525</v>
      </c>
      <c r="R52" s="22">
        <f>INDEX('3_Calculations'!G$14:G$24,MATCH($C52,'3_Calculations'!$B$14:$B$24,0))/100</f>
        <v>0.54832228927393689</v>
      </c>
    </row>
    <row r="53" spans="1:18" x14ac:dyDescent="0.2">
      <c r="A53">
        <v>50</v>
      </c>
      <c r="B53" t="s">
        <v>94</v>
      </c>
      <c r="C53" t="s">
        <v>35</v>
      </c>
      <c r="D53" s="10">
        <f>INDEX('3_Calculations'!C$30:C$40,MATCH($C53,'3_Calculations'!$B$30:$B$40,0))</f>
        <v>0.95129468567931419</v>
      </c>
      <c r="E53" s="10">
        <f>INDEX('3_Calculations'!D$30:D$40,MATCH($C53,'3_Calculations'!$B$30:$B$40,0))</f>
        <v>0.94450154875812042</v>
      </c>
      <c r="F53" s="10">
        <f>INDEX('3_Calculations'!E$30:E$40,MATCH($C53,'3_Calculations'!$B$30:$B$40,0))</f>
        <v>0.94847198001193356</v>
      </c>
      <c r="G53" s="10">
        <f>INDEX('3_Calculations'!F$30:F$40,MATCH($C53,'3_Calculations'!$B$30:$B$40,0))</f>
        <v>0.95865370801439898</v>
      </c>
      <c r="H53" s="10">
        <f>INDEX('3_Calculations'!G$30:G$40,MATCH($C53,'3_Calculations'!$B$30:$B$40,0))</f>
        <v>0.98817746268613571</v>
      </c>
      <c r="I53" s="14">
        <f>'3_Calculations'!C$9*D53/'3_Calculations'!C$45</f>
        <v>0.6775081609565401</v>
      </c>
      <c r="J53" s="14">
        <f>'3_Calculations'!D$9*E53/'3_Calculations'!D$45</f>
        <v>0.63614247191993023</v>
      </c>
      <c r="K53" s="14">
        <f>'3_Calculations'!E$9*F53/'3_Calculations'!E$45</f>
        <v>0.6105765126285696</v>
      </c>
      <c r="L53" s="14">
        <f>'3_Calculations'!F$9*G53/'3_Calculations'!F$45</f>
        <v>0.57373016148707834</v>
      </c>
      <c r="M53" s="14">
        <f>'3_Calculations'!G$9*H53/'3_Calculations'!G$45</f>
        <v>0.43944580207643308</v>
      </c>
      <c r="N53" s="22">
        <f>INDEX('3_Calculations'!C$14:C$24,MATCH($C53,'3_Calculations'!$B$14:$B$24,0))/100</f>
        <v>0.77900210903003531</v>
      </c>
      <c r="O53" s="22">
        <f>INDEX('3_Calculations'!D$14:D$24,MATCH($C53,'3_Calculations'!$B$14:$B$24,0))/100</f>
        <v>0.74806241472655133</v>
      </c>
      <c r="P53" s="22">
        <f>INDEX('3_Calculations'!E$14:E$24,MATCH($C53,'3_Calculations'!$B$14:$B$24,0))/100</f>
        <v>0.72919850367004901</v>
      </c>
      <c r="Q53" s="22">
        <f>INDEX('3_Calculations'!F$14:F$24,MATCH($C53,'3_Calculations'!$B$14:$B$24,0))/100</f>
        <v>0.70524239939621525</v>
      </c>
      <c r="R53" s="22">
        <f>INDEX('3_Calculations'!G$14:G$24,MATCH($C53,'3_Calculations'!$B$14:$B$24,0))/100</f>
        <v>0.54832228927393689</v>
      </c>
    </row>
    <row r="54" spans="1:18" x14ac:dyDescent="0.2">
      <c r="A54">
        <v>51</v>
      </c>
      <c r="B54" t="s">
        <v>95</v>
      </c>
      <c r="C54" t="s">
        <v>35</v>
      </c>
      <c r="D54" s="10">
        <f>INDEX('3_Calculations'!C$30:C$40,MATCH($C54,'3_Calculations'!$B$30:$B$40,0))</f>
        <v>0.95129468567931419</v>
      </c>
      <c r="E54" s="10">
        <f>INDEX('3_Calculations'!D$30:D$40,MATCH($C54,'3_Calculations'!$B$30:$B$40,0))</f>
        <v>0.94450154875812042</v>
      </c>
      <c r="F54" s="10">
        <f>INDEX('3_Calculations'!E$30:E$40,MATCH($C54,'3_Calculations'!$B$30:$B$40,0))</f>
        <v>0.94847198001193356</v>
      </c>
      <c r="G54" s="10">
        <f>INDEX('3_Calculations'!F$30:F$40,MATCH($C54,'3_Calculations'!$B$30:$B$40,0))</f>
        <v>0.95865370801439898</v>
      </c>
      <c r="H54" s="10">
        <f>INDEX('3_Calculations'!G$30:G$40,MATCH($C54,'3_Calculations'!$B$30:$B$40,0))</f>
        <v>0.98817746268613571</v>
      </c>
      <c r="I54" s="14">
        <f>'3_Calculations'!C$9*D54/'3_Calculations'!C$45</f>
        <v>0.6775081609565401</v>
      </c>
      <c r="J54" s="14">
        <f>'3_Calculations'!D$9*E54/'3_Calculations'!D$45</f>
        <v>0.63614247191993023</v>
      </c>
      <c r="K54" s="14">
        <f>'3_Calculations'!E$9*F54/'3_Calculations'!E$45</f>
        <v>0.6105765126285696</v>
      </c>
      <c r="L54" s="14">
        <f>'3_Calculations'!F$9*G54/'3_Calculations'!F$45</f>
        <v>0.57373016148707834</v>
      </c>
      <c r="M54" s="14">
        <f>'3_Calculations'!G$9*H54/'3_Calculations'!G$45</f>
        <v>0.43944580207643308</v>
      </c>
      <c r="N54" s="22">
        <f>INDEX('3_Calculations'!C$14:C$24,MATCH($C54,'3_Calculations'!$B$14:$B$24,0))/100</f>
        <v>0.77900210903003531</v>
      </c>
      <c r="O54" s="22">
        <f>INDEX('3_Calculations'!D$14:D$24,MATCH($C54,'3_Calculations'!$B$14:$B$24,0))/100</f>
        <v>0.74806241472655133</v>
      </c>
      <c r="P54" s="22">
        <f>INDEX('3_Calculations'!E$14:E$24,MATCH($C54,'3_Calculations'!$B$14:$B$24,0))/100</f>
        <v>0.72919850367004901</v>
      </c>
      <c r="Q54" s="22">
        <f>INDEX('3_Calculations'!F$14:F$24,MATCH($C54,'3_Calculations'!$B$14:$B$24,0))/100</f>
        <v>0.70524239939621525</v>
      </c>
      <c r="R54" s="22">
        <f>INDEX('3_Calculations'!G$14:G$24,MATCH($C54,'3_Calculations'!$B$14:$B$24,0))/100</f>
        <v>0.54832228927393689</v>
      </c>
    </row>
    <row r="55" spans="1:18" x14ac:dyDescent="0.2">
      <c r="A55">
        <v>52</v>
      </c>
      <c r="B55" t="s">
        <v>96</v>
      </c>
      <c r="C55" t="s">
        <v>35</v>
      </c>
      <c r="D55" s="10">
        <f>INDEX('3_Calculations'!C$30:C$40,MATCH($C55,'3_Calculations'!$B$30:$B$40,0))</f>
        <v>0.95129468567931419</v>
      </c>
      <c r="E55" s="10">
        <f>INDEX('3_Calculations'!D$30:D$40,MATCH($C55,'3_Calculations'!$B$30:$B$40,0))</f>
        <v>0.94450154875812042</v>
      </c>
      <c r="F55" s="10">
        <f>INDEX('3_Calculations'!E$30:E$40,MATCH($C55,'3_Calculations'!$B$30:$B$40,0))</f>
        <v>0.94847198001193356</v>
      </c>
      <c r="G55" s="10">
        <f>INDEX('3_Calculations'!F$30:F$40,MATCH($C55,'3_Calculations'!$B$30:$B$40,0))</f>
        <v>0.95865370801439898</v>
      </c>
      <c r="H55" s="10">
        <f>INDEX('3_Calculations'!G$30:G$40,MATCH($C55,'3_Calculations'!$B$30:$B$40,0))</f>
        <v>0.98817746268613571</v>
      </c>
      <c r="I55" s="14">
        <f>'3_Calculations'!C$9*D55/'3_Calculations'!C$45</f>
        <v>0.6775081609565401</v>
      </c>
      <c r="J55" s="14">
        <f>'3_Calculations'!D$9*E55/'3_Calculations'!D$45</f>
        <v>0.63614247191993023</v>
      </c>
      <c r="K55" s="14">
        <f>'3_Calculations'!E$9*F55/'3_Calculations'!E$45</f>
        <v>0.6105765126285696</v>
      </c>
      <c r="L55" s="14">
        <f>'3_Calculations'!F$9*G55/'3_Calculations'!F$45</f>
        <v>0.57373016148707834</v>
      </c>
      <c r="M55" s="14">
        <f>'3_Calculations'!G$9*H55/'3_Calculations'!G$45</f>
        <v>0.43944580207643308</v>
      </c>
      <c r="N55" s="22">
        <f>INDEX('3_Calculations'!C$14:C$24,MATCH($C55,'3_Calculations'!$B$14:$B$24,0))/100</f>
        <v>0.77900210903003531</v>
      </c>
      <c r="O55" s="22">
        <f>INDEX('3_Calculations'!D$14:D$24,MATCH($C55,'3_Calculations'!$B$14:$B$24,0))/100</f>
        <v>0.74806241472655133</v>
      </c>
      <c r="P55" s="22">
        <f>INDEX('3_Calculations'!E$14:E$24,MATCH($C55,'3_Calculations'!$B$14:$B$24,0))/100</f>
        <v>0.72919850367004901</v>
      </c>
      <c r="Q55" s="22">
        <f>INDEX('3_Calculations'!F$14:F$24,MATCH($C55,'3_Calculations'!$B$14:$B$24,0))/100</f>
        <v>0.70524239939621525</v>
      </c>
      <c r="R55" s="22">
        <f>INDEX('3_Calculations'!G$14:G$24,MATCH($C55,'3_Calculations'!$B$14:$B$24,0))/100</f>
        <v>0.54832228927393689</v>
      </c>
    </row>
    <row r="56" spans="1:18" x14ac:dyDescent="0.2">
      <c r="A56">
        <v>53</v>
      </c>
      <c r="B56" t="s">
        <v>97</v>
      </c>
      <c r="C56" t="s">
        <v>35</v>
      </c>
      <c r="D56" s="10">
        <f>INDEX('3_Calculations'!C$30:C$40,MATCH($C56,'3_Calculations'!$B$30:$B$40,0))</f>
        <v>0.95129468567931419</v>
      </c>
      <c r="E56" s="10">
        <f>INDEX('3_Calculations'!D$30:D$40,MATCH($C56,'3_Calculations'!$B$30:$B$40,0))</f>
        <v>0.94450154875812042</v>
      </c>
      <c r="F56" s="10">
        <f>INDEX('3_Calculations'!E$30:E$40,MATCH($C56,'3_Calculations'!$B$30:$B$40,0))</f>
        <v>0.94847198001193356</v>
      </c>
      <c r="G56" s="10">
        <f>INDEX('3_Calculations'!F$30:F$40,MATCH($C56,'3_Calculations'!$B$30:$B$40,0))</f>
        <v>0.95865370801439898</v>
      </c>
      <c r="H56" s="10">
        <f>INDEX('3_Calculations'!G$30:G$40,MATCH($C56,'3_Calculations'!$B$30:$B$40,0))</f>
        <v>0.98817746268613571</v>
      </c>
      <c r="I56" s="14">
        <f>'3_Calculations'!C$9*D56/'3_Calculations'!C$45</f>
        <v>0.6775081609565401</v>
      </c>
      <c r="J56" s="14">
        <f>'3_Calculations'!D$9*E56/'3_Calculations'!D$45</f>
        <v>0.63614247191993023</v>
      </c>
      <c r="K56" s="14">
        <f>'3_Calculations'!E$9*F56/'3_Calculations'!E$45</f>
        <v>0.6105765126285696</v>
      </c>
      <c r="L56" s="14">
        <f>'3_Calculations'!F$9*G56/'3_Calculations'!F$45</f>
        <v>0.57373016148707834</v>
      </c>
      <c r="M56" s="14">
        <f>'3_Calculations'!G$9*H56/'3_Calculations'!G$45</f>
        <v>0.43944580207643308</v>
      </c>
      <c r="N56" s="22">
        <f>INDEX('3_Calculations'!C$14:C$24,MATCH($C56,'3_Calculations'!$B$14:$B$24,0))/100</f>
        <v>0.77900210903003531</v>
      </c>
      <c r="O56" s="22">
        <f>INDEX('3_Calculations'!D$14:D$24,MATCH($C56,'3_Calculations'!$B$14:$B$24,0))/100</f>
        <v>0.74806241472655133</v>
      </c>
      <c r="P56" s="22">
        <f>INDEX('3_Calculations'!E$14:E$24,MATCH($C56,'3_Calculations'!$B$14:$B$24,0))/100</f>
        <v>0.72919850367004901</v>
      </c>
      <c r="Q56" s="22">
        <f>INDEX('3_Calculations'!F$14:F$24,MATCH($C56,'3_Calculations'!$B$14:$B$24,0))/100</f>
        <v>0.70524239939621525</v>
      </c>
      <c r="R56" s="22">
        <f>INDEX('3_Calculations'!G$14:G$24,MATCH($C56,'3_Calculations'!$B$14:$B$24,0))/100</f>
        <v>0.54832228927393689</v>
      </c>
    </row>
    <row r="57" spans="1:18" x14ac:dyDescent="0.2">
      <c r="A57">
        <v>54</v>
      </c>
      <c r="B57" t="s">
        <v>98</v>
      </c>
      <c r="C57" t="s">
        <v>35</v>
      </c>
      <c r="D57" s="10">
        <f>INDEX('3_Calculations'!C$30:C$40,MATCH($C57,'3_Calculations'!$B$30:$B$40,0))</f>
        <v>0.95129468567931419</v>
      </c>
      <c r="E57" s="10">
        <f>INDEX('3_Calculations'!D$30:D$40,MATCH($C57,'3_Calculations'!$B$30:$B$40,0))</f>
        <v>0.94450154875812042</v>
      </c>
      <c r="F57" s="10">
        <f>INDEX('3_Calculations'!E$30:E$40,MATCH($C57,'3_Calculations'!$B$30:$B$40,0))</f>
        <v>0.94847198001193356</v>
      </c>
      <c r="G57" s="10">
        <f>INDEX('3_Calculations'!F$30:F$40,MATCH($C57,'3_Calculations'!$B$30:$B$40,0))</f>
        <v>0.95865370801439898</v>
      </c>
      <c r="H57" s="10">
        <f>INDEX('3_Calculations'!G$30:G$40,MATCH($C57,'3_Calculations'!$B$30:$B$40,0))</f>
        <v>0.98817746268613571</v>
      </c>
      <c r="I57" s="14">
        <f>'3_Calculations'!C$9*D57/'3_Calculations'!C$45</f>
        <v>0.6775081609565401</v>
      </c>
      <c r="J57" s="14">
        <f>'3_Calculations'!D$9*E57/'3_Calculations'!D$45</f>
        <v>0.63614247191993023</v>
      </c>
      <c r="K57" s="14">
        <f>'3_Calculations'!E$9*F57/'3_Calculations'!E$45</f>
        <v>0.6105765126285696</v>
      </c>
      <c r="L57" s="14">
        <f>'3_Calculations'!F$9*G57/'3_Calculations'!F$45</f>
        <v>0.57373016148707834</v>
      </c>
      <c r="M57" s="14">
        <f>'3_Calculations'!G$9*H57/'3_Calculations'!G$45</f>
        <v>0.43944580207643308</v>
      </c>
      <c r="N57" s="22">
        <f>INDEX('3_Calculations'!C$14:C$24,MATCH($C57,'3_Calculations'!$B$14:$B$24,0))/100</f>
        <v>0.77900210903003531</v>
      </c>
      <c r="O57" s="22">
        <f>INDEX('3_Calculations'!D$14:D$24,MATCH($C57,'3_Calculations'!$B$14:$B$24,0))/100</f>
        <v>0.74806241472655133</v>
      </c>
      <c r="P57" s="22">
        <f>INDEX('3_Calculations'!E$14:E$24,MATCH($C57,'3_Calculations'!$B$14:$B$24,0))/100</f>
        <v>0.72919850367004901</v>
      </c>
      <c r="Q57" s="22">
        <f>INDEX('3_Calculations'!F$14:F$24,MATCH($C57,'3_Calculations'!$B$14:$B$24,0))/100</f>
        <v>0.70524239939621525</v>
      </c>
      <c r="R57" s="22">
        <f>INDEX('3_Calculations'!G$14:G$24,MATCH($C57,'3_Calculations'!$B$14:$B$24,0))/100</f>
        <v>0.54832228927393689</v>
      </c>
    </row>
    <row r="58" spans="1:18" x14ac:dyDescent="0.2">
      <c r="A58">
        <v>55</v>
      </c>
      <c r="B58" t="s">
        <v>99</v>
      </c>
      <c r="C58" t="s">
        <v>35</v>
      </c>
      <c r="D58" s="10">
        <f>INDEX('3_Calculations'!C$30:C$40,MATCH($C58,'3_Calculations'!$B$30:$B$40,0))</f>
        <v>0.95129468567931419</v>
      </c>
      <c r="E58" s="10">
        <f>INDEX('3_Calculations'!D$30:D$40,MATCH($C58,'3_Calculations'!$B$30:$B$40,0))</f>
        <v>0.94450154875812042</v>
      </c>
      <c r="F58" s="10">
        <f>INDEX('3_Calculations'!E$30:E$40,MATCH($C58,'3_Calculations'!$B$30:$B$40,0))</f>
        <v>0.94847198001193356</v>
      </c>
      <c r="G58" s="10">
        <f>INDEX('3_Calculations'!F$30:F$40,MATCH($C58,'3_Calculations'!$B$30:$B$40,0))</f>
        <v>0.95865370801439898</v>
      </c>
      <c r="H58" s="10">
        <f>INDEX('3_Calculations'!G$30:G$40,MATCH($C58,'3_Calculations'!$B$30:$B$40,0))</f>
        <v>0.98817746268613571</v>
      </c>
      <c r="I58" s="14">
        <f>'3_Calculations'!C$9*D58/'3_Calculations'!C$45</f>
        <v>0.6775081609565401</v>
      </c>
      <c r="J58" s="14">
        <f>'3_Calculations'!D$9*E58/'3_Calculations'!D$45</f>
        <v>0.63614247191993023</v>
      </c>
      <c r="K58" s="14">
        <f>'3_Calculations'!E$9*F58/'3_Calculations'!E$45</f>
        <v>0.6105765126285696</v>
      </c>
      <c r="L58" s="14">
        <f>'3_Calculations'!F$9*G58/'3_Calculations'!F$45</f>
        <v>0.57373016148707834</v>
      </c>
      <c r="M58" s="14">
        <f>'3_Calculations'!G$9*H58/'3_Calculations'!G$45</f>
        <v>0.43944580207643308</v>
      </c>
      <c r="N58" s="22">
        <f>INDEX('3_Calculations'!C$14:C$24,MATCH($C58,'3_Calculations'!$B$14:$B$24,0))/100</f>
        <v>0.77900210903003531</v>
      </c>
      <c r="O58" s="22">
        <f>INDEX('3_Calculations'!D$14:D$24,MATCH($C58,'3_Calculations'!$B$14:$B$24,0))/100</f>
        <v>0.74806241472655133</v>
      </c>
      <c r="P58" s="22">
        <f>INDEX('3_Calculations'!E$14:E$24,MATCH($C58,'3_Calculations'!$B$14:$B$24,0))/100</f>
        <v>0.72919850367004901</v>
      </c>
      <c r="Q58" s="22">
        <f>INDEX('3_Calculations'!F$14:F$24,MATCH($C58,'3_Calculations'!$B$14:$B$24,0))/100</f>
        <v>0.70524239939621525</v>
      </c>
      <c r="R58" s="22">
        <f>INDEX('3_Calculations'!G$14:G$24,MATCH($C58,'3_Calculations'!$B$14:$B$24,0))/100</f>
        <v>0.54832228927393689</v>
      </c>
    </row>
    <row r="59" spans="1:18" x14ac:dyDescent="0.2">
      <c r="A59">
        <v>56</v>
      </c>
      <c r="B59" t="s">
        <v>100</v>
      </c>
      <c r="C59" t="s">
        <v>35</v>
      </c>
      <c r="D59" s="10">
        <f>INDEX('3_Calculations'!C$30:C$40,MATCH($C59,'3_Calculations'!$B$30:$B$40,0))</f>
        <v>0.95129468567931419</v>
      </c>
      <c r="E59" s="10">
        <f>INDEX('3_Calculations'!D$30:D$40,MATCH($C59,'3_Calculations'!$B$30:$B$40,0))</f>
        <v>0.94450154875812042</v>
      </c>
      <c r="F59" s="10">
        <f>INDEX('3_Calculations'!E$30:E$40,MATCH($C59,'3_Calculations'!$B$30:$B$40,0))</f>
        <v>0.94847198001193356</v>
      </c>
      <c r="G59" s="10">
        <f>INDEX('3_Calculations'!F$30:F$40,MATCH($C59,'3_Calculations'!$B$30:$B$40,0))</f>
        <v>0.95865370801439898</v>
      </c>
      <c r="H59" s="10">
        <f>INDEX('3_Calculations'!G$30:G$40,MATCH($C59,'3_Calculations'!$B$30:$B$40,0))</f>
        <v>0.98817746268613571</v>
      </c>
      <c r="I59" s="14">
        <f>'3_Calculations'!C$9*D59/'3_Calculations'!C$45</f>
        <v>0.6775081609565401</v>
      </c>
      <c r="J59" s="14">
        <f>'3_Calculations'!D$9*E59/'3_Calculations'!D$45</f>
        <v>0.63614247191993023</v>
      </c>
      <c r="K59" s="14">
        <f>'3_Calculations'!E$9*F59/'3_Calculations'!E$45</f>
        <v>0.6105765126285696</v>
      </c>
      <c r="L59" s="14">
        <f>'3_Calculations'!F$9*G59/'3_Calculations'!F$45</f>
        <v>0.57373016148707834</v>
      </c>
      <c r="M59" s="14">
        <f>'3_Calculations'!G$9*H59/'3_Calculations'!G$45</f>
        <v>0.43944580207643308</v>
      </c>
      <c r="N59" s="22">
        <f>INDEX('3_Calculations'!C$14:C$24,MATCH($C59,'3_Calculations'!$B$14:$B$24,0))/100</f>
        <v>0.77900210903003531</v>
      </c>
      <c r="O59" s="22">
        <f>INDEX('3_Calculations'!D$14:D$24,MATCH($C59,'3_Calculations'!$B$14:$B$24,0))/100</f>
        <v>0.74806241472655133</v>
      </c>
      <c r="P59" s="22">
        <f>INDEX('3_Calculations'!E$14:E$24,MATCH($C59,'3_Calculations'!$B$14:$B$24,0))/100</f>
        <v>0.72919850367004901</v>
      </c>
      <c r="Q59" s="22">
        <f>INDEX('3_Calculations'!F$14:F$24,MATCH($C59,'3_Calculations'!$B$14:$B$24,0))/100</f>
        <v>0.70524239939621525</v>
      </c>
      <c r="R59" s="22">
        <f>INDEX('3_Calculations'!G$14:G$24,MATCH($C59,'3_Calculations'!$B$14:$B$24,0))/100</f>
        <v>0.54832228927393689</v>
      </c>
    </row>
    <row r="60" spans="1:18" x14ac:dyDescent="0.2">
      <c r="A60">
        <v>57</v>
      </c>
      <c r="B60" t="s">
        <v>101</v>
      </c>
      <c r="C60" t="s">
        <v>33</v>
      </c>
      <c r="D60" s="10">
        <f>INDEX('3_Calculations'!C$30:C$40,MATCH($C60,'3_Calculations'!$B$30:$B$40,0))</f>
        <v>0.99999999999999967</v>
      </c>
      <c r="E60" s="10">
        <f>INDEX('3_Calculations'!D$30:D$40,MATCH($C60,'3_Calculations'!$B$30:$B$40,0))</f>
        <v>1</v>
      </c>
      <c r="F60" s="10">
        <f>INDEX('3_Calculations'!E$30:E$40,MATCH($C60,'3_Calculations'!$B$30:$B$40,0))</f>
        <v>0.99999999999999978</v>
      </c>
      <c r="G60" s="10">
        <f>INDEX('3_Calculations'!F$30:F$40,MATCH($C60,'3_Calculations'!$B$30:$B$40,0))</f>
        <v>1</v>
      </c>
      <c r="H60" s="10">
        <f>INDEX('3_Calculations'!G$30:G$40,MATCH($C60,'3_Calculations'!$B$30:$B$40,0))</f>
        <v>1</v>
      </c>
      <c r="I60" s="14">
        <f>'3_Calculations'!C$9*D60/'3_Calculations'!C$45</f>
        <v>0.71219588541350376</v>
      </c>
      <c r="J60" s="14">
        <f>'3_Calculations'!D$9*E60/'3_Calculations'!D$45</f>
        <v>0.67352189390939943</v>
      </c>
      <c r="K60" s="14">
        <f>'3_Calculations'!E$9*F60/'3_Calculations'!E$45</f>
        <v>0.64374754921161437</v>
      </c>
      <c r="L60" s="14">
        <f>'3_Calculations'!F$9*G60/'3_Calculations'!F$45</f>
        <v>0.59847487856215642</v>
      </c>
      <c r="M60" s="14">
        <f>'3_Calculations'!G$9*H60/'3_Calculations'!G$45</f>
        <v>0.44470332371464899</v>
      </c>
      <c r="N60" s="22">
        <f>INDEX('3_Calculations'!C$14:C$24,MATCH($C60,'3_Calculations'!$B$14:$B$24,0))/100</f>
        <v>0.81888621975613574</v>
      </c>
      <c r="O60" s="22">
        <f>INDEX('3_Calculations'!D$14:D$24,MATCH($C60,'3_Calculations'!$B$14:$B$24,0))/100</f>
        <v>0.79201819807510376</v>
      </c>
      <c r="P60" s="22">
        <f>INDEX('3_Calculations'!E$14:E$24,MATCH($C60,'3_Calculations'!$B$14:$B$24,0))/100</f>
        <v>0.76881396502706822</v>
      </c>
      <c r="Q60" s="22">
        <f>INDEX('3_Calculations'!F$14:F$24,MATCH($C60,'3_Calculations'!$B$14:$B$24,0))/100</f>
        <v>0.73565917859634722</v>
      </c>
      <c r="R60" s="22">
        <f>INDEX('3_Calculations'!G$14:G$24,MATCH($C60,'3_Calculations'!$B$14:$B$24,0))/100</f>
        <v>0.55488240723831872</v>
      </c>
    </row>
    <row r="61" spans="1:18" x14ac:dyDescent="0.2">
      <c r="A61">
        <v>58</v>
      </c>
      <c r="B61" t="s">
        <v>102</v>
      </c>
      <c r="C61" t="s">
        <v>33</v>
      </c>
      <c r="D61" s="10">
        <f>INDEX('3_Calculations'!C$30:C$40,MATCH($C61,'3_Calculations'!$B$30:$B$40,0))</f>
        <v>0.99999999999999967</v>
      </c>
      <c r="E61" s="10">
        <f>INDEX('3_Calculations'!D$30:D$40,MATCH($C61,'3_Calculations'!$B$30:$B$40,0))</f>
        <v>1</v>
      </c>
      <c r="F61" s="10">
        <f>INDEX('3_Calculations'!E$30:E$40,MATCH($C61,'3_Calculations'!$B$30:$B$40,0))</f>
        <v>0.99999999999999978</v>
      </c>
      <c r="G61" s="10">
        <f>INDEX('3_Calculations'!F$30:F$40,MATCH($C61,'3_Calculations'!$B$30:$B$40,0))</f>
        <v>1</v>
      </c>
      <c r="H61" s="10">
        <f>INDEX('3_Calculations'!G$30:G$40,MATCH($C61,'3_Calculations'!$B$30:$B$40,0))</f>
        <v>1</v>
      </c>
      <c r="I61" s="14">
        <f>'3_Calculations'!C$9*D61/'3_Calculations'!C$45</f>
        <v>0.71219588541350376</v>
      </c>
      <c r="J61" s="14">
        <f>'3_Calculations'!D$9*E61/'3_Calculations'!D$45</f>
        <v>0.67352189390939943</v>
      </c>
      <c r="K61" s="14">
        <f>'3_Calculations'!E$9*F61/'3_Calculations'!E$45</f>
        <v>0.64374754921161437</v>
      </c>
      <c r="L61" s="14">
        <f>'3_Calculations'!F$9*G61/'3_Calculations'!F$45</f>
        <v>0.59847487856215642</v>
      </c>
      <c r="M61" s="14">
        <f>'3_Calculations'!G$9*H61/'3_Calculations'!G$45</f>
        <v>0.44470332371464899</v>
      </c>
      <c r="N61" s="22">
        <f>INDEX('3_Calculations'!C$14:C$24,MATCH($C61,'3_Calculations'!$B$14:$B$24,0))/100</f>
        <v>0.81888621975613574</v>
      </c>
      <c r="O61" s="22">
        <f>INDEX('3_Calculations'!D$14:D$24,MATCH($C61,'3_Calculations'!$B$14:$B$24,0))/100</f>
        <v>0.79201819807510376</v>
      </c>
      <c r="P61" s="22">
        <f>INDEX('3_Calculations'!E$14:E$24,MATCH($C61,'3_Calculations'!$B$14:$B$24,0))/100</f>
        <v>0.76881396502706822</v>
      </c>
      <c r="Q61" s="22">
        <f>INDEX('3_Calculations'!F$14:F$24,MATCH($C61,'3_Calculations'!$B$14:$B$24,0))/100</f>
        <v>0.73565917859634722</v>
      </c>
      <c r="R61" s="22">
        <f>INDEX('3_Calculations'!G$14:G$24,MATCH($C61,'3_Calculations'!$B$14:$B$24,0))/100</f>
        <v>0.55488240723831872</v>
      </c>
    </row>
    <row r="62" spans="1:18" x14ac:dyDescent="0.2">
      <c r="A62">
        <v>59</v>
      </c>
      <c r="B62" t="s">
        <v>103</v>
      </c>
      <c r="C62" t="s">
        <v>33</v>
      </c>
      <c r="D62" s="10">
        <f>INDEX('3_Calculations'!C$30:C$40,MATCH($C62,'3_Calculations'!$B$30:$B$40,0))</f>
        <v>0.99999999999999967</v>
      </c>
      <c r="E62" s="10">
        <f>INDEX('3_Calculations'!D$30:D$40,MATCH($C62,'3_Calculations'!$B$30:$B$40,0))</f>
        <v>1</v>
      </c>
      <c r="F62" s="10">
        <f>INDEX('3_Calculations'!E$30:E$40,MATCH($C62,'3_Calculations'!$B$30:$B$40,0))</f>
        <v>0.99999999999999978</v>
      </c>
      <c r="G62" s="10">
        <f>INDEX('3_Calculations'!F$30:F$40,MATCH($C62,'3_Calculations'!$B$30:$B$40,0))</f>
        <v>1</v>
      </c>
      <c r="H62" s="10">
        <f>INDEX('3_Calculations'!G$30:G$40,MATCH($C62,'3_Calculations'!$B$30:$B$40,0))</f>
        <v>1</v>
      </c>
      <c r="I62" s="14">
        <f>'3_Calculations'!C$9*D62/'3_Calculations'!C$45</f>
        <v>0.71219588541350376</v>
      </c>
      <c r="J62" s="14">
        <f>'3_Calculations'!D$9*E62/'3_Calculations'!D$45</f>
        <v>0.67352189390939943</v>
      </c>
      <c r="K62" s="14">
        <f>'3_Calculations'!E$9*F62/'3_Calculations'!E$45</f>
        <v>0.64374754921161437</v>
      </c>
      <c r="L62" s="14">
        <f>'3_Calculations'!F$9*G62/'3_Calculations'!F$45</f>
        <v>0.59847487856215642</v>
      </c>
      <c r="M62" s="14">
        <f>'3_Calculations'!G$9*H62/'3_Calculations'!G$45</f>
        <v>0.44470332371464899</v>
      </c>
      <c r="N62" s="22">
        <f>INDEX('3_Calculations'!C$14:C$24,MATCH($C62,'3_Calculations'!$B$14:$B$24,0))/100</f>
        <v>0.81888621975613574</v>
      </c>
      <c r="O62" s="22">
        <f>INDEX('3_Calculations'!D$14:D$24,MATCH($C62,'3_Calculations'!$B$14:$B$24,0))/100</f>
        <v>0.79201819807510376</v>
      </c>
      <c r="P62" s="22">
        <f>INDEX('3_Calculations'!E$14:E$24,MATCH($C62,'3_Calculations'!$B$14:$B$24,0))/100</f>
        <v>0.76881396502706822</v>
      </c>
      <c r="Q62" s="22">
        <f>INDEX('3_Calculations'!F$14:F$24,MATCH($C62,'3_Calculations'!$B$14:$B$24,0))/100</f>
        <v>0.73565917859634722</v>
      </c>
      <c r="R62" s="22">
        <f>INDEX('3_Calculations'!G$14:G$24,MATCH($C62,'3_Calculations'!$B$14:$B$24,0))/100</f>
        <v>0.55488240723831872</v>
      </c>
    </row>
    <row r="63" spans="1:18" x14ac:dyDescent="0.2">
      <c r="A63">
        <v>60</v>
      </c>
      <c r="B63" t="s">
        <v>104</v>
      </c>
      <c r="C63" t="s">
        <v>35</v>
      </c>
      <c r="D63" s="10">
        <f>INDEX('3_Calculations'!C$30:C$40,MATCH($C63,'3_Calculations'!$B$30:$B$40,0))</f>
        <v>0.95129468567931419</v>
      </c>
      <c r="E63" s="10">
        <f>INDEX('3_Calculations'!D$30:D$40,MATCH($C63,'3_Calculations'!$B$30:$B$40,0))</f>
        <v>0.94450154875812042</v>
      </c>
      <c r="F63" s="10">
        <f>INDEX('3_Calculations'!E$30:E$40,MATCH($C63,'3_Calculations'!$B$30:$B$40,0))</f>
        <v>0.94847198001193356</v>
      </c>
      <c r="G63" s="10">
        <f>INDEX('3_Calculations'!F$30:F$40,MATCH($C63,'3_Calculations'!$B$30:$B$40,0))</f>
        <v>0.95865370801439898</v>
      </c>
      <c r="H63" s="10">
        <f>INDEX('3_Calculations'!G$30:G$40,MATCH($C63,'3_Calculations'!$B$30:$B$40,0))</f>
        <v>0.98817746268613571</v>
      </c>
      <c r="I63" s="14">
        <f>'3_Calculations'!C$9*D63/'3_Calculations'!C$45</f>
        <v>0.6775081609565401</v>
      </c>
      <c r="J63" s="14">
        <f>'3_Calculations'!D$9*E63/'3_Calculations'!D$45</f>
        <v>0.63614247191993023</v>
      </c>
      <c r="K63" s="14">
        <f>'3_Calculations'!E$9*F63/'3_Calculations'!E$45</f>
        <v>0.6105765126285696</v>
      </c>
      <c r="L63" s="14">
        <f>'3_Calculations'!F$9*G63/'3_Calculations'!F$45</f>
        <v>0.57373016148707834</v>
      </c>
      <c r="M63" s="14">
        <f>'3_Calculations'!G$9*H63/'3_Calculations'!G$45</f>
        <v>0.43944580207643308</v>
      </c>
      <c r="N63" s="22">
        <f>INDEX('3_Calculations'!C$14:C$24,MATCH($C63,'3_Calculations'!$B$14:$B$24,0))/100</f>
        <v>0.77900210903003531</v>
      </c>
      <c r="O63" s="22">
        <f>INDEX('3_Calculations'!D$14:D$24,MATCH($C63,'3_Calculations'!$B$14:$B$24,0))/100</f>
        <v>0.74806241472655133</v>
      </c>
      <c r="P63" s="22">
        <f>INDEX('3_Calculations'!E$14:E$24,MATCH($C63,'3_Calculations'!$B$14:$B$24,0))/100</f>
        <v>0.72919850367004901</v>
      </c>
      <c r="Q63" s="22">
        <f>INDEX('3_Calculations'!F$14:F$24,MATCH($C63,'3_Calculations'!$B$14:$B$24,0))/100</f>
        <v>0.70524239939621525</v>
      </c>
      <c r="R63" s="22">
        <f>INDEX('3_Calculations'!G$14:G$24,MATCH($C63,'3_Calculations'!$B$14:$B$24,0))/100</f>
        <v>0.54832228927393689</v>
      </c>
    </row>
    <row r="64" spans="1:18" x14ac:dyDescent="0.2">
      <c r="A64">
        <v>61</v>
      </c>
      <c r="B64" t="s">
        <v>105</v>
      </c>
      <c r="C64" t="s">
        <v>33</v>
      </c>
      <c r="D64" s="10">
        <f>INDEX('3_Calculations'!C$30:C$40,MATCH($C64,'3_Calculations'!$B$30:$B$40,0))</f>
        <v>0.99999999999999967</v>
      </c>
      <c r="E64" s="10">
        <f>INDEX('3_Calculations'!D$30:D$40,MATCH($C64,'3_Calculations'!$B$30:$B$40,0))</f>
        <v>1</v>
      </c>
      <c r="F64" s="10">
        <f>INDEX('3_Calculations'!E$30:E$40,MATCH($C64,'3_Calculations'!$B$30:$B$40,0))</f>
        <v>0.99999999999999978</v>
      </c>
      <c r="G64" s="10">
        <f>INDEX('3_Calculations'!F$30:F$40,MATCH($C64,'3_Calculations'!$B$30:$B$40,0))</f>
        <v>1</v>
      </c>
      <c r="H64" s="10">
        <f>INDEX('3_Calculations'!G$30:G$40,MATCH($C64,'3_Calculations'!$B$30:$B$40,0))</f>
        <v>1</v>
      </c>
      <c r="I64" s="14">
        <f>'3_Calculations'!C$9*D64/'3_Calculations'!C$45</f>
        <v>0.71219588541350376</v>
      </c>
      <c r="J64" s="14">
        <f>'3_Calculations'!D$9*E64/'3_Calculations'!D$45</f>
        <v>0.67352189390939943</v>
      </c>
      <c r="K64" s="14">
        <f>'3_Calculations'!E$9*F64/'3_Calculations'!E$45</f>
        <v>0.64374754921161437</v>
      </c>
      <c r="L64" s="14">
        <f>'3_Calculations'!F$9*G64/'3_Calculations'!F$45</f>
        <v>0.59847487856215642</v>
      </c>
      <c r="M64" s="14">
        <f>'3_Calculations'!G$9*H64/'3_Calculations'!G$45</f>
        <v>0.44470332371464899</v>
      </c>
      <c r="N64" s="22">
        <f>INDEX('3_Calculations'!C$14:C$24,MATCH($C64,'3_Calculations'!$B$14:$B$24,0))/100</f>
        <v>0.81888621975613574</v>
      </c>
      <c r="O64" s="22">
        <f>INDEX('3_Calculations'!D$14:D$24,MATCH($C64,'3_Calculations'!$B$14:$B$24,0))/100</f>
        <v>0.79201819807510376</v>
      </c>
      <c r="P64" s="22">
        <f>INDEX('3_Calculations'!E$14:E$24,MATCH($C64,'3_Calculations'!$B$14:$B$24,0))/100</f>
        <v>0.76881396502706822</v>
      </c>
      <c r="Q64" s="22">
        <f>INDEX('3_Calculations'!F$14:F$24,MATCH($C64,'3_Calculations'!$B$14:$B$24,0))/100</f>
        <v>0.73565917859634722</v>
      </c>
      <c r="R64" s="22">
        <f>INDEX('3_Calculations'!G$14:G$24,MATCH($C64,'3_Calculations'!$B$14:$B$24,0))/100</f>
        <v>0.55488240723831872</v>
      </c>
    </row>
    <row r="65" spans="1:18" x14ac:dyDescent="0.2">
      <c r="A65">
        <v>62</v>
      </c>
      <c r="B65" t="s">
        <v>106</v>
      </c>
      <c r="C65" t="s">
        <v>35</v>
      </c>
      <c r="D65" s="10">
        <f>INDEX('3_Calculations'!C$30:C$40,MATCH($C65,'3_Calculations'!$B$30:$B$40,0))</f>
        <v>0.95129468567931419</v>
      </c>
      <c r="E65" s="10">
        <f>INDEX('3_Calculations'!D$30:D$40,MATCH($C65,'3_Calculations'!$B$30:$B$40,0))</f>
        <v>0.94450154875812042</v>
      </c>
      <c r="F65" s="10">
        <f>INDEX('3_Calculations'!E$30:E$40,MATCH($C65,'3_Calculations'!$B$30:$B$40,0))</f>
        <v>0.94847198001193356</v>
      </c>
      <c r="G65" s="10">
        <f>INDEX('3_Calculations'!F$30:F$40,MATCH($C65,'3_Calculations'!$B$30:$B$40,0))</f>
        <v>0.95865370801439898</v>
      </c>
      <c r="H65" s="10">
        <f>INDEX('3_Calculations'!G$30:G$40,MATCH($C65,'3_Calculations'!$B$30:$B$40,0))</f>
        <v>0.98817746268613571</v>
      </c>
      <c r="I65" s="14">
        <f>'3_Calculations'!C$9*D65/'3_Calculations'!C$45</f>
        <v>0.6775081609565401</v>
      </c>
      <c r="J65" s="14">
        <f>'3_Calculations'!D$9*E65/'3_Calculations'!D$45</f>
        <v>0.63614247191993023</v>
      </c>
      <c r="K65" s="14">
        <f>'3_Calculations'!E$9*F65/'3_Calculations'!E$45</f>
        <v>0.6105765126285696</v>
      </c>
      <c r="L65" s="14">
        <f>'3_Calculations'!F$9*G65/'3_Calculations'!F$45</f>
        <v>0.57373016148707834</v>
      </c>
      <c r="M65" s="14">
        <f>'3_Calculations'!G$9*H65/'3_Calculations'!G$45</f>
        <v>0.43944580207643308</v>
      </c>
      <c r="N65" s="22">
        <f>INDEX('3_Calculations'!C$14:C$24,MATCH($C65,'3_Calculations'!$B$14:$B$24,0))/100</f>
        <v>0.77900210903003531</v>
      </c>
      <c r="O65" s="22">
        <f>INDEX('3_Calculations'!D$14:D$24,MATCH($C65,'3_Calculations'!$B$14:$B$24,0))/100</f>
        <v>0.74806241472655133</v>
      </c>
      <c r="P65" s="22">
        <f>INDEX('3_Calculations'!E$14:E$24,MATCH($C65,'3_Calculations'!$B$14:$B$24,0))/100</f>
        <v>0.72919850367004901</v>
      </c>
      <c r="Q65" s="22">
        <f>INDEX('3_Calculations'!F$14:F$24,MATCH($C65,'3_Calculations'!$B$14:$B$24,0))/100</f>
        <v>0.70524239939621525</v>
      </c>
      <c r="R65" s="22">
        <f>INDEX('3_Calculations'!G$14:G$24,MATCH($C65,'3_Calculations'!$B$14:$B$24,0))/100</f>
        <v>0.54832228927393689</v>
      </c>
    </row>
    <row r="66" spans="1:18" x14ac:dyDescent="0.2">
      <c r="A66">
        <v>63</v>
      </c>
      <c r="B66" t="s">
        <v>107</v>
      </c>
      <c r="C66" t="s">
        <v>35</v>
      </c>
      <c r="D66" s="10">
        <f>INDEX('3_Calculations'!C$30:C$40,MATCH($C66,'3_Calculations'!$B$30:$B$40,0))</f>
        <v>0.95129468567931419</v>
      </c>
      <c r="E66" s="10">
        <f>INDEX('3_Calculations'!D$30:D$40,MATCH($C66,'3_Calculations'!$B$30:$B$40,0))</f>
        <v>0.94450154875812042</v>
      </c>
      <c r="F66" s="10">
        <f>INDEX('3_Calculations'!E$30:E$40,MATCH($C66,'3_Calculations'!$B$30:$B$40,0))</f>
        <v>0.94847198001193356</v>
      </c>
      <c r="G66" s="10">
        <f>INDEX('3_Calculations'!F$30:F$40,MATCH($C66,'3_Calculations'!$B$30:$B$40,0))</f>
        <v>0.95865370801439898</v>
      </c>
      <c r="H66" s="10">
        <f>INDEX('3_Calculations'!G$30:G$40,MATCH($C66,'3_Calculations'!$B$30:$B$40,0))</f>
        <v>0.98817746268613571</v>
      </c>
      <c r="I66" s="14">
        <f>'3_Calculations'!C$9*D66/'3_Calculations'!C$45</f>
        <v>0.6775081609565401</v>
      </c>
      <c r="J66" s="14">
        <f>'3_Calculations'!D$9*E66/'3_Calculations'!D$45</f>
        <v>0.63614247191993023</v>
      </c>
      <c r="K66" s="14">
        <f>'3_Calculations'!E$9*F66/'3_Calculations'!E$45</f>
        <v>0.6105765126285696</v>
      </c>
      <c r="L66" s="14">
        <f>'3_Calculations'!F$9*G66/'3_Calculations'!F$45</f>
        <v>0.57373016148707834</v>
      </c>
      <c r="M66" s="14">
        <f>'3_Calculations'!G$9*H66/'3_Calculations'!G$45</f>
        <v>0.43944580207643308</v>
      </c>
      <c r="N66" s="22">
        <f>INDEX('3_Calculations'!C$14:C$24,MATCH($C66,'3_Calculations'!$B$14:$B$24,0))/100</f>
        <v>0.77900210903003531</v>
      </c>
      <c r="O66" s="22">
        <f>INDEX('3_Calculations'!D$14:D$24,MATCH($C66,'3_Calculations'!$B$14:$B$24,0))/100</f>
        <v>0.74806241472655133</v>
      </c>
      <c r="P66" s="22">
        <f>INDEX('3_Calculations'!E$14:E$24,MATCH($C66,'3_Calculations'!$B$14:$B$24,0))/100</f>
        <v>0.72919850367004901</v>
      </c>
      <c r="Q66" s="22">
        <f>INDEX('3_Calculations'!F$14:F$24,MATCH($C66,'3_Calculations'!$B$14:$B$24,0))/100</f>
        <v>0.70524239939621525</v>
      </c>
      <c r="R66" s="22">
        <f>INDEX('3_Calculations'!G$14:G$24,MATCH($C66,'3_Calculations'!$B$14:$B$24,0))/100</f>
        <v>0.54832228927393689</v>
      </c>
    </row>
    <row r="67" spans="1:18" x14ac:dyDescent="0.2">
      <c r="A67">
        <v>64</v>
      </c>
      <c r="B67" t="s">
        <v>108</v>
      </c>
      <c r="C67" t="s">
        <v>35</v>
      </c>
      <c r="D67" s="10">
        <f>INDEX('3_Calculations'!C$30:C$40,MATCH($C67,'3_Calculations'!$B$30:$B$40,0))</f>
        <v>0.95129468567931419</v>
      </c>
      <c r="E67" s="10">
        <f>INDEX('3_Calculations'!D$30:D$40,MATCH($C67,'3_Calculations'!$B$30:$B$40,0))</f>
        <v>0.94450154875812042</v>
      </c>
      <c r="F67" s="10">
        <f>INDEX('3_Calculations'!E$30:E$40,MATCH($C67,'3_Calculations'!$B$30:$B$40,0))</f>
        <v>0.94847198001193356</v>
      </c>
      <c r="G67" s="10">
        <f>INDEX('3_Calculations'!F$30:F$40,MATCH($C67,'3_Calculations'!$B$30:$B$40,0))</f>
        <v>0.95865370801439898</v>
      </c>
      <c r="H67" s="10">
        <f>INDEX('3_Calculations'!G$30:G$40,MATCH($C67,'3_Calculations'!$B$30:$B$40,0))</f>
        <v>0.98817746268613571</v>
      </c>
      <c r="I67" s="14">
        <f>'3_Calculations'!C$9*D67/'3_Calculations'!C$45</f>
        <v>0.6775081609565401</v>
      </c>
      <c r="J67" s="14">
        <f>'3_Calculations'!D$9*E67/'3_Calculations'!D$45</f>
        <v>0.63614247191993023</v>
      </c>
      <c r="K67" s="14">
        <f>'3_Calculations'!E$9*F67/'3_Calculations'!E$45</f>
        <v>0.6105765126285696</v>
      </c>
      <c r="L67" s="14">
        <f>'3_Calculations'!F$9*G67/'3_Calculations'!F$45</f>
        <v>0.57373016148707834</v>
      </c>
      <c r="M67" s="14">
        <f>'3_Calculations'!G$9*H67/'3_Calculations'!G$45</f>
        <v>0.43944580207643308</v>
      </c>
      <c r="N67" s="22">
        <f>INDEX('3_Calculations'!C$14:C$24,MATCH($C67,'3_Calculations'!$B$14:$B$24,0))/100</f>
        <v>0.77900210903003531</v>
      </c>
      <c r="O67" s="22">
        <f>INDEX('3_Calculations'!D$14:D$24,MATCH($C67,'3_Calculations'!$B$14:$B$24,0))/100</f>
        <v>0.74806241472655133</v>
      </c>
      <c r="P67" s="22">
        <f>INDEX('3_Calculations'!E$14:E$24,MATCH($C67,'3_Calculations'!$B$14:$B$24,0))/100</f>
        <v>0.72919850367004901</v>
      </c>
      <c r="Q67" s="22">
        <f>INDEX('3_Calculations'!F$14:F$24,MATCH($C67,'3_Calculations'!$B$14:$B$24,0))/100</f>
        <v>0.70524239939621525</v>
      </c>
      <c r="R67" s="22">
        <f>INDEX('3_Calculations'!G$14:G$24,MATCH($C67,'3_Calculations'!$B$14:$B$24,0))/100</f>
        <v>0.54832228927393689</v>
      </c>
    </row>
    <row r="68" spans="1:18" x14ac:dyDescent="0.2">
      <c r="A68">
        <v>65</v>
      </c>
      <c r="B68" t="s">
        <v>109</v>
      </c>
      <c r="C68" t="s">
        <v>35</v>
      </c>
      <c r="D68" s="10">
        <f>INDEX('3_Calculations'!C$30:C$40,MATCH($C68,'3_Calculations'!$B$30:$B$40,0))</f>
        <v>0.95129468567931419</v>
      </c>
      <c r="E68" s="10">
        <f>INDEX('3_Calculations'!D$30:D$40,MATCH($C68,'3_Calculations'!$B$30:$B$40,0))</f>
        <v>0.94450154875812042</v>
      </c>
      <c r="F68" s="10">
        <f>INDEX('3_Calculations'!E$30:E$40,MATCH($C68,'3_Calculations'!$B$30:$B$40,0))</f>
        <v>0.94847198001193356</v>
      </c>
      <c r="G68" s="10">
        <f>INDEX('3_Calculations'!F$30:F$40,MATCH($C68,'3_Calculations'!$B$30:$B$40,0))</f>
        <v>0.95865370801439898</v>
      </c>
      <c r="H68" s="10">
        <f>INDEX('3_Calculations'!G$30:G$40,MATCH($C68,'3_Calculations'!$B$30:$B$40,0))</f>
        <v>0.98817746268613571</v>
      </c>
      <c r="I68" s="14">
        <f>'3_Calculations'!C$9*D68/'3_Calculations'!C$45</f>
        <v>0.6775081609565401</v>
      </c>
      <c r="J68" s="14">
        <f>'3_Calculations'!D$9*E68/'3_Calculations'!D$45</f>
        <v>0.63614247191993023</v>
      </c>
      <c r="K68" s="14">
        <f>'3_Calculations'!E$9*F68/'3_Calculations'!E$45</f>
        <v>0.6105765126285696</v>
      </c>
      <c r="L68" s="14">
        <f>'3_Calculations'!F$9*G68/'3_Calculations'!F$45</f>
        <v>0.57373016148707834</v>
      </c>
      <c r="M68" s="14">
        <f>'3_Calculations'!G$9*H68/'3_Calculations'!G$45</f>
        <v>0.43944580207643308</v>
      </c>
      <c r="N68" s="22">
        <f>INDEX('3_Calculations'!C$14:C$24,MATCH($C68,'3_Calculations'!$B$14:$B$24,0))/100</f>
        <v>0.77900210903003531</v>
      </c>
      <c r="O68" s="22">
        <f>INDEX('3_Calculations'!D$14:D$24,MATCH($C68,'3_Calculations'!$B$14:$B$24,0))/100</f>
        <v>0.74806241472655133</v>
      </c>
      <c r="P68" s="22">
        <f>INDEX('3_Calculations'!E$14:E$24,MATCH($C68,'3_Calculations'!$B$14:$B$24,0))/100</f>
        <v>0.72919850367004901</v>
      </c>
      <c r="Q68" s="22">
        <f>INDEX('3_Calculations'!F$14:F$24,MATCH($C68,'3_Calculations'!$B$14:$B$24,0))/100</f>
        <v>0.70524239939621525</v>
      </c>
      <c r="R68" s="22">
        <f>INDEX('3_Calculations'!G$14:G$24,MATCH($C68,'3_Calculations'!$B$14:$B$24,0))/100</f>
        <v>0.54832228927393689</v>
      </c>
    </row>
    <row r="69" spans="1:18" x14ac:dyDescent="0.2">
      <c r="A69">
        <v>66</v>
      </c>
      <c r="B69" t="s">
        <v>110</v>
      </c>
      <c r="C69" t="s">
        <v>35</v>
      </c>
      <c r="D69" s="10">
        <f>INDEX('3_Calculations'!C$30:C$40,MATCH($C69,'3_Calculations'!$B$30:$B$40,0))</f>
        <v>0.95129468567931419</v>
      </c>
      <c r="E69" s="10">
        <f>INDEX('3_Calculations'!D$30:D$40,MATCH($C69,'3_Calculations'!$B$30:$B$40,0))</f>
        <v>0.94450154875812042</v>
      </c>
      <c r="F69" s="10">
        <f>INDEX('3_Calculations'!E$30:E$40,MATCH($C69,'3_Calculations'!$B$30:$B$40,0))</f>
        <v>0.94847198001193356</v>
      </c>
      <c r="G69" s="10">
        <f>INDEX('3_Calculations'!F$30:F$40,MATCH($C69,'3_Calculations'!$B$30:$B$40,0))</f>
        <v>0.95865370801439898</v>
      </c>
      <c r="H69" s="10">
        <f>INDEX('3_Calculations'!G$30:G$40,MATCH($C69,'3_Calculations'!$B$30:$B$40,0))</f>
        <v>0.98817746268613571</v>
      </c>
      <c r="I69" s="14">
        <f>'3_Calculations'!C$9*D69/'3_Calculations'!C$45</f>
        <v>0.6775081609565401</v>
      </c>
      <c r="J69" s="14">
        <f>'3_Calculations'!D$9*E69/'3_Calculations'!D$45</f>
        <v>0.63614247191993023</v>
      </c>
      <c r="K69" s="14">
        <f>'3_Calculations'!E$9*F69/'3_Calculations'!E$45</f>
        <v>0.6105765126285696</v>
      </c>
      <c r="L69" s="14">
        <f>'3_Calculations'!F$9*G69/'3_Calculations'!F$45</f>
        <v>0.57373016148707834</v>
      </c>
      <c r="M69" s="14">
        <f>'3_Calculations'!G$9*H69/'3_Calculations'!G$45</f>
        <v>0.43944580207643308</v>
      </c>
      <c r="N69" s="22">
        <f>INDEX('3_Calculations'!C$14:C$24,MATCH($C69,'3_Calculations'!$B$14:$B$24,0))/100</f>
        <v>0.77900210903003531</v>
      </c>
      <c r="O69" s="22">
        <f>INDEX('3_Calculations'!D$14:D$24,MATCH($C69,'3_Calculations'!$B$14:$B$24,0))/100</f>
        <v>0.74806241472655133</v>
      </c>
      <c r="P69" s="22">
        <f>INDEX('3_Calculations'!E$14:E$24,MATCH($C69,'3_Calculations'!$B$14:$B$24,0))/100</f>
        <v>0.72919850367004901</v>
      </c>
      <c r="Q69" s="22">
        <f>INDEX('3_Calculations'!F$14:F$24,MATCH($C69,'3_Calculations'!$B$14:$B$24,0))/100</f>
        <v>0.70524239939621525</v>
      </c>
      <c r="R69" s="22">
        <f>INDEX('3_Calculations'!G$14:G$24,MATCH($C69,'3_Calculations'!$B$14:$B$24,0))/100</f>
        <v>0.54832228927393689</v>
      </c>
    </row>
    <row r="70" spans="1:18" x14ac:dyDescent="0.2">
      <c r="A70">
        <v>67</v>
      </c>
      <c r="B70" t="s">
        <v>111</v>
      </c>
      <c r="C70" t="s">
        <v>35</v>
      </c>
      <c r="D70" s="10">
        <f>INDEX('3_Calculations'!C$30:C$40,MATCH($C70,'3_Calculations'!$B$30:$B$40,0))</f>
        <v>0.95129468567931419</v>
      </c>
      <c r="E70" s="10">
        <f>INDEX('3_Calculations'!D$30:D$40,MATCH($C70,'3_Calculations'!$B$30:$B$40,0))</f>
        <v>0.94450154875812042</v>
      </c>
      <c r="F70" s="10">
        <f>INDEX('3_Calculations'!E$30:E$40,MATCH($C70,'3_Calculations'!$B$30:$B$40,0))</f>
        <v>0.94847198001193356</v>
      </c>
      <c r="G70" s="10">
        <f>INDEX('3_Calculations'!F$30:F$40,MATCH($C70,'3_Calculations'!$B$30:$B$40,0))</f>
        <v>0.95865370801439898</v>
      </c>
      <c r="H70" s="10">
        <f>INDEX('3_Calculations'!G$30:G$40,MATCH($C70,'3_Calculations'!$B$30:$B$40,0))</f>
        <v>0.98817746268613571</v>
      </c>
      <c r="I70" s="14">
        <f>'3_Calculations'!C$9*D70/'3_Calculations'!C$45</f>
        <v>0.6775081609565401</v>
      </c>
      <c r="J70" s="14">
        <f>'3_Calculations'!D$9*E70/'3_Calculations'!D$45</f>
        <v>0.63614247191993023</v>
      </c>
      <c r="K70" s="14">
        <f>'3_Calculations'!E$9*F70/'3_Calculations'!E$45</f>
        <v>0.6105765126285696</v>
      </c>
      <c r="L70" s="14">
        <f>'3_Calculations'!F$9*G70/'3_Calculations'!F$45</f>
        <v>0.57373016148707834</v>
      </c>
      <c r="M70" s="14">
        <f>'3_Calculations'!G$9*H70/'3_Calculations'!G$45</f>
        <v>0.43944580207643308</v>
      </c>
      <c r="N70" s="22">
        <f>INDEX('3_Calculations'!C$14:C$24,MATCH($C70,'3_Calculations'!$B$14:$B$24,0))/100</f>
        <v>0.77900210903003531</v>
      </c>
      <c r="O70" s="22">
        <f>INDEX('3_Calculations'!D$14:D$24,MATCH($C70,'3_Calculations'!$B$14:$B$24,0))/100</f>
        <v>0.74806241472655133</v>
      </c>
      <c r="P70" s="22">
        <f>INDEX('3_Calculations'!E$14:E$24,MATCH($C70,'3_Calculations'!$B$14:$B$24,0))/100</f>
        <v>0.72919850367004901</v>
      </c>
      <c r="Q70" s="22">
        <f>INDEX('3_Calculations'!F$14:F$24,MATCH($C70,'3_Calculations'!$B$14:$B$24,0))/100</f>
        <v>0.70524239939621525</v>
      </c>
      <c r="R70" s="22">
        <f>INDEX('3_Calculations'!G$14:G$24,MATCH($C70,'3_Calculations'!$B$14:$B$24,0))/100</f>
        <v>0.54832228927393689</v>
      </c>
    </row>
    <row r="72" spans="1:18" x14ac:dyDescent="0.2">
      <c r="B72" s="2" t="s">
        <v>127</v>
      </c>
      <c r="I72" s="15">
        <f>SUMPRODUCT('2_Egypt_CQ Mapping'!D4:D70,I4:I70)/SUM('2_Egypt_CQ Mapping'!D4:D70)</f>
        <v>0.7205196836026575</v>
      </c>
      <c r="J72" s="15">
        <f>SUMPRODUCT('2_Egypt_CQ Mapping'!E4:E70,J4:J70)/SUM('2_Egypt_CQ Mapping'!E4:E70)</f>
        <v>0.68064742216061147</v>
      </c>
      <c r="K72" s="15">
        <f>SUMPRODUCT('2_Egypt_CQ Mapping'!F4:F70,K4:K70)/SUM('2_Egypt_CQ Mapping'!F4:F70)</f>
        <v>0.65188581252771116</v>
      </c>
      <c r="L72" s="15">
        <f>SUMPRODUCT('2_Egypt_CQ Mapping'!G4:G70,L4:L70)/SUM('2_Egypt_CQ Mapping'!G4:G70)</f>
        <v>0.60892892198467097</v>
      </c>
      <c r="M72" s="15">
        <f>SUMPRODUCT('2_Egypt_CQ Mapping'!H4:H70,M4:M70)/SUM('2_Egypt_CQ Mapping'!H4:H70)</f>
        <v>0.46486925376120181</v>
      </c>
    </row>
    <row r="73" spans="1:18" x14ac:dyDescent="0.2">
      <c r="B73" s="2" t="s">
        <v>152</v>
      </c>
      <c r="I73" s="16">
        <f>'3_Calculations'!C9</f>
        <v>0.72051968360265706</v>
      </c>
      <c r="J73" s="16">
        <f>'3_Calculations'!D9</f>
        <v>0.68064742216061136</v>
      </c>
      <c r="K73" s="16">
        <f>'3_Calculations'!E9</f>
        <v>0.65188581252771116</v>
      </c>
      <c r="L73" s="16">
        <f>'3_Calculations'!F9</f>
        <v>0.60892892198467141</v>
      </c>
      <c r="M73" s="16">
        <f>'3_Calculations'!G9</f>
        <v>0.46486925376120203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9"/>
  <sheetViews>
    <sheetView zoomScale="125" workbookViewId="0">
      <selection activeCell="B30" sqref="B30"/>
    </sheetView>
  </sheetViews>
  <sheetFormatPr baseColWidth="10" defaultColWidth="8.83203125" defaultRowHeight="15" x14ac:dyDescent="0.2"/>
  <cols>
    <col min="1" max="1" width="24" customWidth="1"/>
    <col min="2" max="6" width="12" customWidth="1"/>
    <col min="7" max="7" width="14.1640625" customWidth="1"/>
    <col min="8" max="8" width="16.33203125" customWidth="1"/>
    <col min="9" max="9" width="12" customWidth="1"/>
  </cols>
  <sheetData>
    <row r="1" spans="1:9" ht="17" x14ac:dyDescent="0.2">
      <c r="A1" s="1" t="s">
        <v>159</v>
      </c>
    </row>
    <row r="3" spans="1:9" x14ac:dyDescent="0.2">
      <c r="A3" t="s">
        <v>128</v>
      </c>
    </row>
    <row r="4" spans="1:9" x14ac:dyDescent="0.2">
      <c r="A4" t="s">
        <v>160</v>
      </c>
    </row>
    <row r="5" spans="1:9" x14ac:dyDescent="0.2">
      <c r="A5" t="s">
        <v>163</v>
      </c>
    </row>
    <row r="7" spans="1:9" x14ac:dyDescent="0.2">
      <c r="A7" s="3" t="s">
        <v>39</v>
      </c>
      <c r="B7" s="3" t="s">
        <v>129</v>
      </c>
      <c r="C7" s="3" t="s">
        <v>130</v>
      </c>
      <c r="D7" s="3" t="s">
        <v>131</v>
      </c>
      <c r="E7" s="3" t="s">
        <v>132</v>
      </c>
      <c r="F7" s="3" t="s">
        <v>133</v>
      </c>
      <c r="G7" s="3" t="s">
        <v>134</v>
      </c>
      <c r="H7" s="3" t="s">
        <v>161</v>
      </c>
      <c r="I7" s="3" t="s">
        <v>135</v>
      </c>
    </row>
    <row r="8" spans="1:9" x14ac:dyDescent="0.2">
      <c r="A8" t="s">
        <v>25</v>
      </c>
      <c r="B8" s="12">
        <v>15.49045772223174</v>
      </c>
      <c r="C8" s="12">
        <v>14.799836563218889</v>
      </c>
      <c r="D8" s="12">
        <v>13.84573444157239</v>
      </c>
      <c r="E8" s="12">
        <v>12.526444655505591</v>
      </c>
      <c r="F8" s="12">
        <v>7.3265985450285367</v>
      </c>
      <c r="G8" s="12">
        <f t="shared" ref="G8:G18" si="0">IF(F8=0,"n/a (unused)",B8/F8)</f>
        <v>2.1142768539901495</v>
      </c>
      <c r="H8" s="10">
        <f>'3_Calculations'!C30</f>
        <v>1.1105854365810424</v>
      </c>
      <c r="I8" s="21" t="str">
        <f t="shared" ref="I8:I18" si="1">IF(NOT(ISNUMBER(G8)),"-",IF(OR(AND(G8&gt;1,H8&gt;1),AND(G8&lt;1,H8&lt;1)),"yes","check"))</f>
        <v>yes</v>
      </c>
    </row>
    <row r="9" spans="1:9" x14ac:dyDescent="0.2">
      <c r="A9" t="s">
        <v>26</v>
      </c>
      <c r="B9" s="12">
        <v>0</v>
      </c>
      <c r="C9" s="12">
        <v>0</v>
      </c>
      <c r="D9" s="12">
        <v>0</v>
      </c>
      <c r="E9" s="12">
        <v>0</v>
      </c>
      <c r="F9" s="12">
        <v>0</v>
      </c>
      <c r="G9" s="20" t="str">
        <f t="shared" si="0"/>
        <v>n/a (unused)</v>
      </c>
      <c r="H9" s="10">
        <f>'3_Calculations'!C31</f>
        <v>1.0442341746324171</v>
      </c>
      <c r="I9" s="21" t="str">
        <f t="shared" si="1"/>
        <v>-</v>
      </c>
    </row>
    <row r="10" spans="1:9" x14ac:dyDescent="0.2">
      <c r="A10" t="s">
        <v>27</v>
      </c>
      <c r="B10" s="12">
        <v>1.6810614534558801</v>
      </c>
      <c r="C10" s="12">
        <v>1.9237362293951119</v>
      </c>
      <c r="D10" s="12">
        <v>1.9401858261860401</v>
      </c>
      <c r="E10" s="12">
        <v>1.74134277181759</v>
      </c>
      <c r="F10" s="12">
        <v>1.0750640810491701</v>
      </c>
      <c r="G10" s="12">
        <f t="shared" si="0"/>
        <v>1.5636848845468903</v>
      </c>
      <c r="H10" s="10">
        <f>'3_Calculations'!C32</f>
        <v>1.0221170873162084</v>
      </c>
      <c r="I10" s="21" t="str">
        <f t="shared" si="1"/>
        <v>yes</v>
      </c>
    </row>
    <row r="11" spans="1:9" x14ac:dyDescent="0.2">
      <c r="A11" t="s">
        <v>28</v>
      </c>
      <c r="B11" s="12">
        <v>14.405945782880639</v>
      </c>
      <c r="C11" s="12">
        <v>12.582795046612819</v>
      </c>
      <c r="D11" s="12">
        <v>11.658479240553829</v>
      </c>
      <c r="E11" s="12">
        <v>10.2258530506507</v>
      </c>
      <c r="F11" s="12">
        <v>6.615910893939823</v>
      </c>
      <c r="G11" s="12">
        <f t="shared" si="0"/>
        <v>2.1774697413286646</v>
      </c>
      <c r="H11" s="10">
        <f>'3_Calculations'!C33</f>
        <v>1.0442341746324171</v>
      </c>
      <c r="I11" s="21" t="str">
        <f t="shared" si="1"/>
        <v>yes</v>
      </c>
    </row>
    <row r="12" spans="1:9" x14ac:dyDescent="0.2">
      <c r="A12" t="s">
        <v>29</v>
      </c>
      <c r="B12" s="12">
        <v>1.078530107901791</v>
      </c>
      <c r="C12" s="12">
        <v>1.243051972942911</v>
      </c>
      <c r="D12" s="12">
        <v>1.3504156254945281</v>
      </c>
      <c r="E12" s="12">
        <v>1.2895644611503541</v>
      </c>
      <c r="F12" s="12">
        <v>1.127177281762253</v>
      </c>
      <c r="G12" s="12">
        <f t="shared" si="0"/>
        <v>0.95684159479828601</v>
      </c>
      <c r="H12" s="10">
        <f>'3_Calculations'!C34</f>
        <v>0.88941456341895664</v>
      </c>
      <c r="I12" s="21" t="str">
        <f t="shared" si="1"/>
        <v>yes</v>
      </c>
    </row>
    <row r="13" spans="1:9" x14ac:dyDescent="0.2">
      <c r="A13" t="s">
        <v>30</v>
      </c>
      <c r="B13" s="12">
        <v>1.5623846884027111</v>
      </c>
      <c r="C13" s="12">
        <v>1.735035121304052</v>
      </c>
      <c r="D13" s="12">
        <v>1.76401916083468</v>
      </c>
      <c r="E13" s="12">
        <v>1.65258398760574</v>
      </c>
      <c r="F13" s="12">
        <v>1.136355278807798</v>
      </c>
      <c r="G13" s="12">
        <f t="shared" si="0"/>
        <v>1.374908637765013</v>
      </c>
      <c r="H13" s="10">
        <f>'3_Calculations'!C35</f>
        <v>0.99999999999999967</v>
      </c>
      <c r="I13" s="21" t="str">
        <f t="shared" si="1"/>
        <v>check</v>
      </c>
    </row>
    <row r="14" spans="1:9" x14ac:dyDescent="0.2">
      <c r="A14" t="s">
        <v>31</v>
      </c>
      <c r="B14" s="12">
        <v>13.69721925628002</v>
      </c>
      <c r="C14" s="12">
        <v>12.183378212114659</v>
      </c>
      <c r="D14" s="12">
        <v>11.18069074987403</v>
      </c>
      <c r="E14" s="12">
        <v>10.396200808614861</v>
      </c>
      <c r="F14" s="12">
        <v>9.0690168827397919</v>
      </c>
      <c r="G14" s="12">
        <f t="shared" si="0"/>
        <v>1.5103312115725192</v>
      </c>
      <c r="H14" s="10">
        <f>'3_Calculations'!C36</f>
        <v>0.99999999999999967</v>
      </c>
      <c r="I14" s="21" t="str">
        <f t="shared" si="1"/>
        <v>check</v>
      </c>
    </row>
    <row r="15" spans="1:9" x14ac:dyDescent="0.2">
      <c r="A15" t="s">
        <v>32</v>
      </c>
      <c r="B15" s="12">
        <v>11.51952755527577</v>
      </c>
      <c r="C15" s="12">
        <v>10.964958806069481</v>
      </c>
      <c r="D15" s="12">
        <v>10.59668873550107</v>
      </c>
      <c r="E15" s="12">
        <v>9.7499590192036951</v>
      </c>
      <c r="F15" s="12">
        <v>9.6094581087892514</v>
      </c>
      <c r="G15" s="12">
        <f t="shared" si="0"/>
        <v>1.1987697354900253</v>
      </c>
      <c r="H15" s="10">
        <f>'3_Calculations'!C37</f>
        <v>1.0442341746324169</v>
      </c>
      <c r="I15" s="21" t="str">
        <f t="shared" si="1"/>
        <v>yes</v>
      </c>
    </row>
    <row r="16" spans="1:9" x14ac:dyDescent="0.2">
      <c r="A16" t="s">
        <v>33</v>
      </c>
      <c r="B16" s="12">
        <v>7.5300764081481564</v>
      </c>
      <c r="C16" s="12">
        <v>8.3631606799231815</v>
      </c>
      <c r="D16" s="12">
        <v>8.630860132558011</v>
      </c>
      <c r="E16" s="12">
        <v>9.6040784184590073</v>
      </c>
      <c r="F16" s="12">
        <v>9.8025445300974994</v>
      </c>
      <c r="G16" s="12">
        <f t="shared" si="0"/>
        <v>0.76817568999844776</v>
      </c>
      <c r="H16" s="10">
        <f>'3_Calculations'!C38</f>
        <v>0.99999999999999967</v>
      </c>
      <c r="I16" s="21" t="str">
        <f t="shared" si="1"/>
        <v>check</v>
      </c>
    </row>
    <row r="17" spans="1:9" x14ac:dyDescent="0.2">
      <c r="A17" t="s">
        <v>34</v>
      </c>
      <c r="B17" s="12">
        <v>11.53670676857098</v>
      </c>
      <c r="C17" s="12">
        <v>12.35528741545461</v>
      </c>
      <c r="D17" s="12">
        <v>11.971134758648811</v>
      </c>
      <c r="E17" s="12">
        <v>12.726486476639939</v>
      </c>
      <c r="F17" s="12">
        <v>10.91597937897029</v>
      </c>
      <c r="G17" s="12">
        <f t="shared" si="0"/>
        <v>1.0568641042686948</v>
      </c>
      <c r="H17" s="10">
        <f>'3_Calculations'!C39</f>
        <v>0.95129468567931419</v>
      </c>
      <c r="I17" s="21" t="str">
        <f t="shared" si="1"/>
        <v>check</v>
      </c>
    </row>
    <row r="18" spans="1:9" x14ac:dyDescent="0.2">
      <c r="A18" t="s">
        <v>35</v>
      </c>
      <c r="B18" s="12">
        <v>21.498090256852301</v>
      </c>
      <c r="C18" s="12">
        <v>23.84875995296429</v>
      </c>
      <c r="D18" s="12">
        <v>27.061791328776621</v>
      </c>
      <c r="E18" s="12">
        <v>30.087486350352521</v>
      </c>
      <c r="F18" s="12">
        <v>43.321895018815567</v>
      </c>
      <c r="G18" s="12">
        <f t="shared" si="0"/>
        <v>0.49624076341801876</v>
      </c>
      <c r="H18" s="10">
        <f>'3_Calculations'!C40</f>
        <v>0.95129468567931419</v>
      </c>
      <c r="I18" s="21" t="str">
        <f t="shared" si="1"/>
        <v>yes</v>
      </c>
    </row>
    <row r="20" spans="1:9" x14ac:dyDescent="0.2">
      <c r="A20" t="s">
        <v>136</v>
      </c>
    </row>
    <row r="22" spans="1:9" x14ac:dyDescent="0.2">
      <c r="A22" t="s">
        <v>162</v>
      </c>
    </row>
    <row r="24" spans="1:9" x14ac:dyDescent="0.2">
      <c r="A24" s="2" t="s">
        <v>137</v>
      </c>
    </row>
    <row r="25" spans="1:9" x14ac:dyDescent="0.2">
      <c r="A25" t="s">
        <v>138</v>
      </c>
    </row>
    <row r="26" spans="1:9" x14ac:dyDescent="0.2">
      <c r="A26" t="s">
        <v>164</v>
      </c>
    </row>
    <row r="27" spans="1:9" x14ac:dyDescent="0.2">
      <c r="A27" t="s">
        <v>165</v>
      </c>
    </row>
    <row r="28" spans="1:9" x14ac:dyDescent="0.2">
      <c r="A28" t="s">
        <v>139</v>
      </c>
    </row>
    <row r="29" spans="1:9" x14ac:dyDescent="0.2">
      <c r="A29" t="s">
        <v>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0_README</vt:lpstr>
      <vt:lpstr>1_Rwanda_LES_Step4</vt:lpstr>
      <vt:lpstr>2_Egypt_CQ Mapping</vt:lpstr>
      <vt:lpstr>3_Calculations</vt:lpstr>
      <vt:lpstr>4_Egypt_Subsistence</vt:lpstr>
      <vt:lpstr>5_CrossCheck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Menna Koura</cp:lastModifiedBy>
  <dcterms:created xsi:type="dcterms:W3CDTF">2026-05-25T00:24:56Z</dcterms:created>
  <dcterms:modified xsi:type="dcterms:W3CDTF">2026-05-25T03:26:33Z</dcterms:modified>
</cp:coreProperties>
</file>